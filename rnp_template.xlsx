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67.xml"/>
  <Override ContentType="application/vnd.openxmlformats-officedocument.spreadsheetml.table+xml" PartName="/xl/tables/table4.xml"/>
  <Override ContentType="application/vnd.openxmlformats-officedocument.spreadsheetml.table+xml" PartName="/xl/tables/table32.xml"/>
  <Override ContentType="application/vnd.openxmlformats-officedocument.spreadsheetml.table+xml" PartName="/xl/tables/table117.xml"/>
  <Override ContentType="application/vnd.openxmlformats-officedocument.spreadsheetml.table+xml" PartName="/xl/tables/table59.xml"/>
  <Override ContentType="application/vnd.openxmlformats-officedocument.spreadsheetml.table+xml" PartName="/xl/tables/table125.xml"/>
  <Override ContentType="application/vnd.openxmlformats-officedocument.spreadsheetml.table+xml" PartName="/xl/tables/table91.xml"/>
  <Override ContentType="application/vnd.openxmlformats-officedocument.spreadsheetml.table+xml" PartName="/xl/tables/table24.xml"/>
  <Override ContentType="application/vnd.openxmlformats-officedocument.spreadsheetml.table+xml" PartName="/xl/tables/table50.xml"/>
  <Override ContentType="application/vnd.openxmlformats-officedocument.spreadsheetml.table+xml" PartName="/xl/tables/table93.xml"/>
  <Override ContentType="application/vnd.openxmlformats-officedocument.spreadsheetml.table+xml" PartName="/xl/tables/table49.xml"/>
  <Override ContentType="application/vnd.openxmlformats-officedocument.spreadsheetml.table+xml" PartName="/xl/tables/table127.xml"/>
  <Override ContentType="application/vnd.openxmlformats-officedocument.spreadsheetml.table+xml" PartName="/xl/tables/table57.xml"/>
  <Override ContentType="application/vnd.openxmlformats-officedocument.spreadsheetml.table+xml" PartName="/xl/tables/table100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75.xml"/>
  <Override ContentType="application/vnd.openxmlformats-officedocument.spreadsheetml.table+xml" PartName="/xl/tables/table109.xml"/>
  <Override ContentType="application/vnd.openxmlformats-officedocument.spreadsheetml.table+xml" PartName="/xl/tables/table18.xml"/>
  <Override ContentType="application/vnd.openxmlformats-officedocument.spreadsheetml.table+xml" PartName="/xl/tables/table81.xml"/>
  <Override ContentType="application/vnd.openxmlformats-officedocument.spreadsheetml.table+xml" PartName="/xl/tables/table115.xml"/>
  <Override ContentType="application/vnd.openxmlformats-officedocument.spreadsheetml.table+xml" PartName="/xl/tables/table102.xml"/>
  <Override ContentType="application/vnd.openxmlformats-officedocument.spreadsheetml.table+xml" PartName="/xl/tables/table22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6.xml"/>
  <Override ContentType="application/vnd.openxmlformats-officedocument.spreadsheetml.table+xml" PartName="/xl/tables/table65.xml"/>
  <Override ContentType="application/vnd.openxmlformats-officedocument.spreadsheetml.table+xml" PartName="/xl/tables/table20.xml"/>
  <Override ContentType="application/vnd.openxmlformats-officedocument.spreadsheetml.table+xml" PartName="/xl/tables/table47.xml"/>
  <Override ContentType="application/vnd.openxmlformats-officedocument.spreadsheetml.table+xml" PartName="/xl/tables/table129.xml"/>
  <Override ContentType="application/vnd.openxmlformats-officedocument.spreadsheetml.table+xml" PartName="/xl/tables/table34.xml"/>
  <Override ContentType="application/vnd.openxmlformats-officedocument.spreadsheetml.table+xml" PartName="/xl/tables/table120.xml"/>
  <Override ContentType="application/vnd.openxmlformats-officedocument.spreadsheetml.table+xml" PartName="/xl/tables/table16.xml"/>
  <Override ContentType="application/vnd.openxmlformats-officedocument.spreadsheetml.table+xml" PartName="/xl/tables/table77.xml"/>
  <Override ContentType="application/vnd.openxmlformats-officedocument.spreadsheetml.table+xml" PartName="/xl/tables/table104.xml"/>
  <Override ContentType="application/vnd.openxmlformats-officedocument.spreadsheetml.table+xml" PartName="/xl/tables/table29.xml"/>
  <Override ContentType="application/vnd.openxmlformats-officedocument.spreadsheetml.table+xml" PartName="/xl/tables/table112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89.xml"/>
  <Override ContentType="application/vnd.openxmlformats-officedocument.spreadsheetml.table+xml" PartName="/xl/tables/table63.xml"/>
  <Override ContentType="application/vnd.openxmlformats-officedocument.spreadsheetml.table+xml" PartName="/xl/tables/table121.xml"/>
  <Override ContentType="application/vnd.openxmlformats-officedocument.spreadsheetml.table+xml" PartName="/xl/tables/table79.xml"/>
  <Override ContentType="application/vnd.openxmlformats-officedocument.spreadsheetml.table+xml" PartName="/xl/tables/table80.xml"/>
  <Override ContentType="application/vnd.openxmlformats-officedocument.spreadsheetml.table+xml" PartName="/xl/tables/table36.xml"/>
  <Override ContentType="application/vnd.openxmlformats-officedocument.spreadsheetml.table+xml" PartName="/xl/tables/table61.xml"/>
  <Override ContentType="application/vnd.openxmlformats-officedocument.spreadsheetml.table+xml" PartName="/xl/tables/table87.xml"/>
  <Override ContentType="application/vnd.openxmlformats-officedocument.spreadsheetml.table+xml" PartName="/xl/tables/table96.xml"/>
  <Override ContentType="application/vnd.openxmlformats-officedocument.spreadsheetml.table+xml" PartName="/xl/tables/table19.xml"/>
  <Override ContentType="application/vnd.openxmlformats-officedocument.spreadsheetml.table+xml" PartName="/xl/tables/table44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53.xml"/>
  <Override ContentType="application/vnd.openxmlformats-officedocument.spreadsheetml.table+xml" PartName="/xl/tables/table131.xml"/>
  <Override ContentType="application/vnd.openxmlformats-officedocument.spreadsheetml.table+xml" PartName="/xl/tables/table9.xml"/>
  <Override ContentType="application/vnd.openxmlformats-officedocument.spreadsheetml.table+xml" PartName="/xl/tables/table123.xml"/>
  <Override ContentType="application/vnd.openxmlformats-officedocument.spreadsheetml.table+xml" PartName="/xl/tables/table119.xml"/>
  <Override ContentType="application/vnd.openxmlformats-officedocument.spreadsheetml.table+xml" PartName="/xl/tables/table2.xml"/>
  <Override ContentType="application/vnd.openxmlformats-officedocument.spreadsheetml.table+xml" PartName="/xl/tables/table106.xml"/>
  <Override ContentType="application/vnd.openxmlformats-officedocument.spreadsheetml.table+xml" PartName="/xl/tables/table110.xml"/>
  <Override ContentType="application/vnd.openxmlformats-officedocument.spreadsheetml.table+xml" PartName="/xl/tables/table55.xml"/>
  <Override ContentType="application/vnd.openxmlformats-officedocument.spreadsheetml.table+xml" PartName="/xl/tables/table68.xml"/>
  <Override ContentType="application/vnd.openxmlformats-officedocument.spreadsheetml.table+xml" PartName="/xl/tables/table42.xml"/>
  <Override ContentType="application/vnd.openxmlformats-officedocument.spreadsheetml.table+xml" PartName="/xl/tables/table72.xml"/>
  <Override ContentType="application/vnd.openxmlformats-officedocument.spreadsheetml.table+xml" PartName="/xl/tables/table85.xml"/>
  <Override ContentType="application/vnd.openxmlformats-officedocument.spreadsheetml.table+xml" PartName="/xl/tables/table98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table+xml" PartName="/xl/tables/table92.xml"/>
  <Override ContentType="application/vnd.openxmlformats-officedocument.spreadsheetml.table+xml" PartName="/xl/tables/table84.xml"/>
  <Override ContentType="application/vnd.openxmlformats-officedocument.spreadsheetml.table+xml" PartName="/xl/tables/table58.xml"/>
  <Override ContentType="application/vnd.openxmlformats-officedocument.spreadsheetml.table+xml" PartName="/xl/tables/table76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5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74.xml"/>
  <Override ContentType="application/vnd.openxmlformats-officedocument.spreadsheetml.table+xml" PartName="/xl/tables/table118.xml"/>
  <Override ContentType="application/vnd.openxmlformats-officedocument.spreadsheetml.table+xml" PartName="/xl/tables/table126.xml"/>
  <Override ContentType="application/vnd.openxmlformats-officedocument.spreadsheetml.table+xml" PartName="/xl/tables/table23.xml"/>
  <Override ContentType="application/vnd.openxmlformats-officedocument.spreadsheetml.table+xml" PartName="/xl/tables/table66.xml"/>
  <Override ContentType="application/vnd.openxmlformats-officedocument.spreadsheetml.table+xml" PartName="/xl/tables/table128.xml"/>
  <Override ContentType="application/vnd.openxmlformats-officedocument.spreadsheetml.table+xml" PartName="/xl/tables/table48.xml"/>
  <Override ContentType="application/vnd.openxmlformats-officedocument.spreadsheetml.table+xml" PartName="/xl/tables/table101.xml"/>
  <Override ContentType="application/vnd.openxmlformats-officedocument.spreadsheetml.table+xml" PartName="/xl/tables/table114.xml"/>
  <Override ContentType="application/vnd.openxmlformats-officedocument.spreadsheetml.table+xml" PartName="/xl/tables/table35.xml"/>
  <Override ContentType="application/vnd.openxmlformats-officedocument.spreadsheetml.table+xml" PartName="/xl/tables/table132.xml"/>
  <Override ContentType="application/vnd.openxmlformats-officedocument.spreadsheetml.table+xml" PartName="/xl/tables/table78.xml"/>
  <Override ContentType="application/vnd.openxmlformats-officedocument.spreadsheetml.table+xml" PartName="/xl/tables/table10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16.xml"/>
  <Override ContentType="application/vnd.openxmlformats-officedocument.spreadsheetml.table+xml" PartName="/xl/tables/table7.xml"/>
  <Override ContentType="application/vnd.openxmlformats-officedocument.spreadsheetml.table+xml" PartName="/xl/tables/table21.xml"/>
  <Override ContentType="application/vnd.openxmlformats-officedocument.spreadsheetml.table+xml" PartName="/xl/tables/table94.xml"/>
  <Override ContentType="application/vnd.openxmlformats-officedocument.spreadsheetml.table+xml" PartName="/xl/tables/table51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62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45.xml"/>
  <Override ContentType="application/vnd.openxmlformats-officedocument.spreadsheetml.table+xml" PartName="/xl/tables/table28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130.xml"/>
  <Override ContentType="application/vnd.openxmlformats-officedocument.spreadsheetml.table+xml" PartName="/xl/tables/table71.xml"/>
  <Override ContentType="application/vnd.openxmlformats-officedocument.spreadsheetml.table+xml" PartName="/xl/tables/table113.xml"/>
  <Override ContentType="application/vnd.openxmlformats-officedocument.spreadsheetml.table+xml" PartName="/xl/tables/table88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13.xml"/>
  <Override ContentType="application/vnd.openxmlformats-officedocument.spreadsheetml.table+xml" PartName="/xl/tables/table86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99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39.xml"/>
  <Override ContentType="application/vnd.openxmlformats-officedocument.spreadsheetml.table+xml" PartName="/xl/tables/table111.xml"/>
  <Override ContentType="application/vnd.openxmlformats-officedocument.spreadsheetml.table+xml" PartName="/xl/tables/table3.xml"/>
  <Override ContentType="application/vnd.openxmlformats-officedocument.spreadsheetml.table+xml" PartName="/xl/tables/table107.xml"/>
  <Override ContentType="application/vnd.openxmlformats-officedocument.spreadsheetml.table+xml" PartName="/xl/tables/table60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прель" sheetId="1" r:id="rId5"/>
    <sheet state="visible" name="Май" sheetId="2" r:id="rId6"/>
  </sheets>
  <definedNames>
    <definedName localSheetId="1" name="next_monday">'Май'!$G$8</definedName>
    <definedName localSheetId="1" name="orange_percent">'Май'!$D$6</definedName>
    <definedName localSheetId="0" name="yellow_percent">'Апрель'!$D$7</definedName>
    <definedName localSheetId="0" name="green_percent">'Апрель'!$D$8</definedName>
    <definedName localSheetId="1" name="date">'Май'!$G$6</definedName>
    <definedName localSheetId="0" name="orange">'Апрель'!$A$7</definedName>
    <definedName localSheetId="0" name="date">'Апрель'!$G$6</definedName>
    <definedName localSheetId="1" name="green_percent">'Май'!$D$8</definedName>
    <definedName localSheetId="0" name="red">'Апрель'!$A$6</definedName>
    <definedName localSheetId="0" name="product_1">#REF!</definedName>
    <definedName localSheetId="0" name="green">'Апрель'!$A$9</definedName>
    <definedName localSheetId="1" name="red">'Май'!$A$6</definedName>
    <definedName localSheetId="1" name="orange">'Май'!$A$7</definedName>
    <definedName localSheetId="1" name="yellow">'Май'!$A$8</definedName>
    <definedName localSheetId="1" name="product_1">#REF!</definedName>
    <definedName localSheetId="1" name="yellow_percent">'Май'!$D$7</definedName>
    <definedName localSheetId="0" name="yellow">'Апрель'!$A$8</definedName>
    <definedName localSheetId="0" name="next_monday">'Апрель'!$G$8</definedName>
    <definedName localSheetId="0" name="orange_percent">'Апрель'!$D$6</definedName>
    <definedName localSheetId="1" name="green">'Май'!$A$9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С какого дня вы начинаете вести учет?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С какого дня вы начинаете вести учет?</t>
      </text>
    </comment>
  </commentList>
</comments>
</file>

<file path=xl/sharedStrings.xml><?xml version="1.0" encoding="utf-8"?>
<sst xmlns="http://schemas.openxmlformats.org/spreadsheetml/2006/main" count="724" uniqueCount="91">
  <si>
    <t xml:space="preserve">Лист РНП 'Месяц' (План) предназначен для </t>
  </si>
  <si>
    <t>-</t>
  </si>
  <si>
    <t>Цветовое кодирование:</t>
  </si>
  <si>
    <t>% выполнения по выручке</t>
  </si>
  <si>
    <t>Расход на маркетинг</t>
  </si>
  <si>
    <t>#9c260f</t>
  </si>
  <si>
    <r>
      <rPr>
        <rFont val="Proxima Nova"/>
        <b/>
        <color rgb="FF990000"/>
        <sz val="12.0"/>
      </rPr>
      <t>«Плохо»</t>
    </r>
    <r>
      <rPr>
        <rFont val="Proxima Nova"/>
        <b/>
        <color theme="1"/>
        <sz val="12.0"/>
      </rPr>
      <t xml:space="preserve"> </t>
    </r>
    <r>
      <rPr>
        <rFont val="Proxima Nova"/>
        <b val="0"/>
        <color theme="1"/>
        <sz val="12.0"/>
      </rPr>
      <t>до:</t>
    </r>
  </si>
  <si>
    <t>#fab012</t>
  </si>
  <si>
    <r>
      <rPr>
        <rFont val="Proxima Nova"/>
        <b/>
        <color rgb="FFBF9000"/>
        <sz val="12.0"/>
      </rPr>
      <t xml:space="preserve">«Выше среднего» </t>
    </r>
    <r>
      <rPr>
        <rFont val="Proxima Nova"/>
        <b val="0"/>
        <color rgb="FF000000"/>
        <sz val="12.0"/>
      </rPr>
      <t>от:</t>
    </r>
  </si>
  <si>
    <t>#ebe964</t>
  </si>
  <si>
    <r>
      <rPr>
        <rFont val="Proxima Nova"/>
        <b/>
        <color rgb="FF274E13"/>
        <sz val="12.0"/>
      </rPr>
      <t>«Хорошо»</t>
    </r>
    <r>
      <rPr>
        <rFont val="Proxima Nova"/>
        <b/>
        <color theme="1"/>
        <sz val="12.0"/>
      </rPr>
      <t xml:space="preserve"> </t>
    </r>
    <r>
      <rPr>
        <rFont val="Proxima Nova"/>
        <b val="0"/>
        <color theme="1"/>
        <sz val="12.0"/>
      </rPr>
      <t>от:</t>
    </r>
  </si>
  <si>
    <t>#367516</t>
  </si>
  <si>
    <t>Результаты за месяц</t>
  </si>
  <si>
    <t>План - из декомпозиции</t>
  </si>
  <si>
    <t>Неделя 1-5</t>
  </si>
  <si>
    <t>План</t>
  </si>
  <si>
    <t>Факт</t>
  </si>
  <si>
    <t>% выполнения</t>
  </si>
  <si>
    <t>ИТОГО маркетинг</t>
  </si>
  <si>
    <t>Бюджет на рекламу</t>
  </si>
  <si>
    <t>ДРР</t>
  </si>
  <si>
    <t>Лиды</t>
  </si>
  <si>
    <t xml:space="preserve">Стоимость лида </t>
  </si>
  <si>
    <t>Квал лиды</t>
  </si>
  <si>
    <t xml:space="preserve">Стоимость квал лида </t>
  </si>
  <si>
    <t>Конверсия из лида в квал лида</t>
  </si>
  <si>
    <t>Количество продаж</t>
  </si>
  <si>
    <t>Стоимость одной продажи</t>
  </si>
  <si>
    <t>Количество продаж прошлых периодов</t>
  </si>
  <si>
    <t>Сумма продаж по заявкам апреля</t>
  </si>
  <si>
    <t>Сайт, органика</t>
  </si>
  <si>
    <t>Затраты на сайт</t>
  </si>
  <si>
    <t>Трафик на сайт (органика)</t>
  </si>
  <si>
    <t>Всего лидов с сайта (органика)</t>
  </si>
  <si>
    <t>Конверсия сайта в заявку</t>
  </si>
  <si>
    <t>Количество квал лидов</t>
  </si>
  <si>
    <t>Стоимость квал лида</t>
  </si>
  <si>
    <t>КП отправлено</t>
  </si>
  <si>
    <t>Конверсия из кваллида в КП отпр.</t>
  </si>
  <si>
    <t>Сумма продаж</t>
  </si>
  <si>
    <t>Конверсия из КП в продажу</t>
  </si>
  <si>
    <t>Сумма продаж прошлых периодов</t>
  </si>
  <si>
    <t>Контекстная реклама</t>
  </si>
  <si>
    <t>Затраты на контекстную рекламу</t>
  </si>
  <si>
    <t>Трафик на лендинг</t>
  </si>
  <si>
    <t>Всего лидов с лендинга</t>
  </si>
  <si>
    <t>Конверсия лэндинга в заявку</t>
  </si>
  <si>
    <t>Конверсия в продажу</t>
  </si>
  <si>
    <t xml:space="preserve">Телеграм </t>
  </si>
  <si>
    <t>Затраты на посевы</t>
  </si>
  <si>
    <t>Охваты</t>
  </si>
  <si>
    <t>Количество подписчиков в Senler</t>
  </si>
  <si>
    <t xml:space="preserve">Охваты посевы </t>
  </si>
  <si>
    <t>Подписки на телеграм</t>
  </si>
  <si>
    <t>Стоимость подписки</t>
  </si>
  <si>
    <t xml:space="preserve">Всего лидов </t>
  </si>
  <si>
    <t>Конверсия в заявку</t>
  </si>
  <si>
    <t>Конверсия из квал лида в продажу</t>
  </si>
  <si>
    <t>Вконтакте</t>
  </si>
  <si>
    <t>Охваты ВКонтакте</t>
  </si>
  <si>
    <t>Кол-во подписчиков в Senler</t>
  </si>
  <si>
    <t>Подписки ВКонтакте</t>
  </si>
  <si>
    <t>МАХ</t>
  </si>
  <si>
    <t>Охваты МАХ</t>
  </si>
  <si>
    <t>Подписки МАХ</t>
  </si>
  <si>
    <t>Статьи в СМИ</t>
  </si>
  <si>
    <t>Затраты на размещение статей</t>
  </si>
  <si>
    <t>Переходы на сайт</t>
  </si>
  <si>
    <t>Всего лидов со СМИ</t>
  </si>
  <si>
    <t>Конверсия из переходов в лид</t>
  </si>
  <si>
    <t>Специализированные выставки</t>
  </si>
  <si>
    <t>Затраты на выставки</t>
  </si>
  <si>
    <t>Всего лидов с выставок</t>
  </si>
  <si>
    <t>Продажи</t>
  </si>
  <si>
    <t>Взяли новых контактов в день, всего (N15)</t>
  </si>
  <si>
    <t>Кол-во успешных звонков (N15)</t>
  </si>
  <si>
    <t>Время разговора, день (N90мин)</t>
  </si>
  <si>
    <t>Кваллиды</t>
  </si>
  <si>
    <t>Число платежей (менеджеры)</t>
  </si>
  <si>
    <t>Сумма счетов (заказов), руб.</t>
  </si>
  <si>
    <t>Сумма платежей (менеджеры)</t>
  </si>
  <si>
    <t>Сумма платежей, всего с автоплатежами</t>
  </si>
  <si>
    <t>CR Регистрации | Продажи</t>
  </si>
  <si>
    <t>CR Кваллид | Продажи</t>
  </si>
  <si>
    <t>Средний платёж</t>
  </si>
  <si>
    <r>
      <rPr>
        <rFont val="Proxima Nova"/>
        <b/>
        <color rgb="FF990000"/>
        <sz val="12.0"/>
      </rPr>
      <t>«Плохо»</t>
    </r>
    <r>
      <rPr>
        <rFont val="Proxima Nova"/>
        <b/>
        <color theme="1"/>
        <sz val="12.0"/>
      </rPr>
      <t xml:space="preserve"> </t>
    </r>
    <r>
      <rPr>
        <rFont val="Proxima Nova"/>
        <b val="0"/>
        <color theme="1"/>
        <sz val="12.0"/>
      </rPr>
      <t>до:</t>
    </r>
  </si>
  <si>
    <r>
      <rPr>
        <rFont val="Proxima Nova"/>
        <b/>
        <color rgb="FFBF9000"/>
        <sz val="12.0"/>
      </rPr>
      <t xml:space="preserve">«Выше среднего» </t>
    </r>
    <r>
      <rPr>
        <rFont val="Proxima Nova"/>
        <b val="0"/>
        <color rgb="FF000000"/>
        <sz val="12.0"/>
      </rPr>
      <t>от:</t>
    </r>
  </si>
  <si>
    <r>
      <rPr>
        <rFont val="Proxima Nova"/>
        <b/>
        <color rgb="FF274E13"/>
        <sz val="12.0"/>
      </rPr>
      <t>«Хорошо»</t>
    </r>
    <r>
      <rPr>
        <rFont val="Proxima Nova"/>
        <b/>
        <color theme="1"/>
        <sz val="12.0"/>
      </rPr>
      <t xml:space="preserve"> </t>
    </r>
    <r>
      <rPr>
        <rFont val="Proxima Nova"/>
        <b val="0"/>
        <color theme="1"/>
        <sz val="12.0"/>
      </rPr>
      <t>от:</t>
    </r>
  </si>
  <si>
    <t>Неделя 1-3</t>
  </si>
  <si>
    <t>Сумма продаж по заявкам мая</t>
  </si>
  <si>
    <t>Средний охват поста в МАХ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</si>
</sst>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[$р.-419]#,##0"/>
    <numFmt numFmtId="165" formatCode="[$р.-419]#,##0.00"/>
    <numFmt numFmtId="166" formatCode="ddd&quot; | &quot;d&quot; &quot;mmmm&quot; &quot;"/>
    <numFmt numFmtId="167" formatCode="dd.MM.yyyy"/>
    <numFmt numFmtId="168" formatCode="#,##0.00[$ ₽]"/>
    <numFmt numFmtId="169" formatCode="#,##0[$ ₽]"/>
    <numFmt numFmtId="170" formatCode="0.0%"/>
    <numFmt numFmtId="171" formatCode="#,##0.0"/>
    <numFmt numFmtId="172" formatCode="_-[$р.-419]* #,##0.00_-;_-[$р.-419]* \-#,##0.00_-;_-[$р.-419]* &quot;-&quot;??_-;_-@"/>
    <numFmt numFmtId="173" formatCode="[$р.-419]#,##0.0"/>
    <numFmt numFmtId="174" formatCode="0.000%"/>
    <numFmt numFmtId="175" formatCode="#,##0.000"/>
    <numFmt numFmtId="176" formatCode="H:mm"/>
    <numFmt numFmtId="177" formatCode="H:mm:ss"/>
  </numFmts>
  <fonts count="49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i/>
      <sz val="10.0"/>
      <color theme="1"/>
      <name val="Proxima Nova"/>
    </font>
    <font>
      <i/>
      <sz val="9.0"/>
      <color theme="1"/>
      <name val="Proxima Nova"/>
    </font>
    <font>
      <sz val="12.0"/>
      <color rgb="FFFFFFFF"/>
      <name val="Proxima Nova"/>
    </font>
    <font>
      <color theme="1"/>
      <name val="Arial"/>
    </font>
    <font>
      <sz val="12.0"/>
      <color theme="1"/>
      <name val="Arial"/>
    </font>
    <font>
      <color theme="1"/>
      <name val="Arial"/>
      <scheme val="minor"/>
    </font>
    <font>
      <sz val="12.0"/>
      <color theme="1"/>
      <name val="Arial"/>
      <scheme val="minor"/>
    </font>
    <font>
      <b/>
      <sz val="1.0"/>
      <color theme="1"/>
      <name val="Arial"/>
      <scheme val="minor"/>
    </font>
    <font>
      <b/>
      <sz val="1.0"/>
      <color theme="1"/>
      <name val="Proxima Nova"/>
    </font>
    <font>
      <sz val="1.0"/>
      <color theme="1"/>
      <name val="Arial"/>
      <scheme val="minor"/>
    </font>
    <font>
      <b/>
      <sz val="9.0"/>
      <color theme="1"/>
      <name val="Proxima Nova"/>
    </font>
    <font>
      <sz val="1.0"/>
      <color rgb="FFFFFFFF"/>
      <name val="Proxima Nova"/>
    </font>
    <font>
      <sz val="1.0"/>
      <color theme="1"/>
      <name val="Arial"/>
    </font>
    <font>
      <b/>
      <color theme="1"/>
      <name val="Arial"/>
      <scheme val="minor"/>
    </font>
    <font>
      <b/>
      <sz val="12.0"/>
      <color theme="1"/>
      <name val="Proxima Nova"/>
    </font>
    <font>
      <b/>
      <sz val="10.0"/>
      <color theme="1"/>
      <name val="Proxima Nova"/>
    </font>
    <font/>
    <font>
      <b/>
      <color theme="1"/>
      <name val="Proxima Nova"/>
    </font>
    <font>
      <b/>
      <sz val="12.0"/>
      <color rgb="FF990000"/>
      <name val="Proxima Nova"/>
    </font>
    <font>
      <sz val="12.0"/>
      <color theme="1"/>
      <name val="Proxima Nova"/>
    </font>
    <font>
      <sz val="9.0"/>
      <color theme="1"/>
      <name val="Arial"/>
      <scheme val="minor"/>
    </font>
    <font>
      <b/>
      <sz val="6.0"/>
      <color rgb="FFFFFFFF"/>
      <name val="Proxima Nova"/>
    </font>
    <font>
      <sz val="18.0"/>
      <color theme="1"/>
      <name val="Proxima Nova"/>
    </font>
    <font>
      <b/>
      <sz val="12.0"/>
      <color rgb="FFBF9000"/>
      <name val="Proxima Nova"/>
    </font>
    <font>
      <sz val="9.0"/>
      <color theme="1"/>
      <name val="Proxima Nova"/>
    </font>
    <font>
      <b/>
      <sz val="12.0"/>
      <color theme="1"/>
      <name val="Arial"/>
      <scheme val="minor"/>
    </font>
    <font>
      <b/>
      <sz val="12.0"/>
      <color theme="1"/>
      <name val="Arial"/>
    </font>
    <font>
      <b/>
      <sz val="12.0"/>
      <color rgb="FF274E13"/>
      <name val="Proxima Nova"/>
    </font>
    <font>
      <b/>
      <sz val="18.0"/>
      <color rgb="FFFFFFFF"/>
      <name val="Proxima Nova"/>
    </font>
    <font>
      <b/>
      <sz val="12.0"/>
      <color rgb="FFFFFFFF"/>
      <name val="Proxima Nova"/>
    </font>
    <font>
      <b/>
      <sz val="9.0"/>
      <color rgb="FF000000"/>
      <name val="Proxima Nova"/>
    </font>
    <font>
      <b/>
      <sz val="11.0"/>
      <color rgb="FFFFFFFF"/>
      <name val="Proxima Nova"/>
    </font>
    <font>
      <b/>
      <sz val="9.0"/>
      <color rgb="FFFFFFFF"/>
      <name val="Proxima Nova"/>
    </font>
    <font>
      <b/>
      <sz val="12.0"/>
      <color rgb="FF000000"/>
      <name val="Proxima Nova"/>
    </font>
    <font>
      <sz val="12.0"/>
      <color rgb="FF000000"/>
      <name val="Proxima Nova"/>
    </font>
    <font>
      <sz val="12.0"/>
      <color rgb="FF000000"/>
      <name val="&quot;Proxima Nova&quot;"/>
    </font>
    <font>
      <sz val="9.0"/>
      <color rgb="FF000000"/>
      <name val="Proxima Nova"/>
    </font>
    <font>
      <color rgb="FF000000"/>
      <name val="Arial"/>
    </font>
    <font>
      <sz val="12.0"/>
      <color theme="1"/>
      <name val="&quot;Proxima Nova&quot;"/>
    </font>
    <font>
      <sz val="12.0"/>
      <color rgb="FF000000"/>
      <name val="Arial"/>
    </font>
    <font>
      <sz val="9.0"/>
      <color theme="1"/>
      <name val="&quot;Proxima Nova&quot;"/>
    </font>
    <font>
      <sz val="12.0"/>
      <color rgb="FF999999"/>
      <name val="Proxima Nova"/>
    </font>
    <font>
      <sz val="9.0"/>
      <color rgb="FF999999"/>
      <name val="&quot;Proxima Nova&quot;"/>
    </font>
    <font>
      <sz val="12.0"/>
      <color rgb="FF999999"/>
      <name val="&quot;Proxima Nova&quot;"/>
    </font>
    <font>
      <b/>
      <sz val="12.0"/>
      <color theme="1"/>
      <name val="&quot;Proxima Nova&quot;"/>
    </font>
    <font>
      <b/>
      <sz val="12.0"/>
      <color rgb="FF660000"/>
      <name val="Proxima Nova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8F0FE"/>
        <bgColor rgb="FFE8F0FE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180">
    <border/>
    <border>
      <bottom style="medium">
        <color rgb="FF1C4587"/>
      </bottom>
    </border>
    <border>
      <left style="medium">
        <color rgb="FF1C4587"/>
      </left>
      <right style="thin">
        <color rgb="FF000000"/>
      </right>
      <top style="medium">
        <color rgb="FF1C4587"/>
      </top>
    </border>
    <border>
      <left style="thin">
        <color rgb="FF000000"/>
      </left>
      <right style="medium">
        <color rgb="FF1C4587"/>
      </right>
      <top style="medium">
        <color rgb="FF1C4587"/>
      </top>
    </border>
    <border>
      <left style="medium">
        <color rgb="FF1C4587"/>
      </left>
      <top style="medium">
        <color rgb="FF1C4587"/>
      </top>
    </border>
    <border>
      <right style="thin">
        <color rgb="FF000000"/>
      </right>
      <top style="medium">
        <color rgb="FF1C4587"/>
      </top>
    </border>
    <border>
      <left style="thin">
        <color rgb="FF000000"/>
      </left>
      <top style="medium">
        <color rgb="FF1C4587"/>
      </top>
    </border>
    <border>
      <right style="thick">
        <color rgb="FF1C4587"/>
      </right>
      <top style="medium">
        <color rgb="FF1C4587"/>
      </top>
    </border>
    <border>
      <left style="medium">
        <color rgb="FF1C4587"/>
      </left>
    </border>
    <border>
      <right style="thin">
        <color rgb="FF000000"/>
      </right>
    </border>
    <border>
      <right style="thick">
        <color rgb="FF1C4587"/>
      </right>
    </border>
    <border>
      <left style="thick">
        <color rgb="FF1C4587"/>
      </left>
      <right style="thin">
        <color rgb="FF000000"/>
      </right>
    </border>
    <border>
      <right style="medium">
        <color rgb="FF1C4587"/>
      </right>
    </border>
    <border>
      <left style="medium">
        <color rgb="FF1C4587"/>
      </left>
      <right style="thin">
        <color rgb="FF000000"/>
      </right>
    </border>
    <border>
      <left style="thin">
        <color rgb="FF000000"/>
      </left>
      <right style="medium">
        <color rgb="FF1C4587"/>
      </right>
    </border>
    <border>
      <left style="thin">
        <color rgb="FF000000"/>
      </lef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medium">
        <color rgb="FF1C4587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1C4587"/>
      </right>
      <bottom style="thin">
        <color rgb="FF000000"/>
      </bottom>
    </border>
    <border>
      <left style="medium">
        <color rgb="FF1C4587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ck">
        <color rgb="FF1C4587"/>
      </right>
      <bottom style="thin">
        <color rgb="FF000000"/>
      </bottom>
    </border>
    <border>
      <bottom style="thin">
        <color rgb="FF000000"/>
      </bottom>
    </border>
    <border>
      <left style="thick">
        <color rgb="FF1C4587"/>
      </left>
      <right style="thin">
        <color rgb="FF000000"/>
      </right>
      <bottom style="thin">
        <color rgb="FF000000"/>
      </bottom>
    </border>
    <border>
      <right style="medium">
        <color rgb="FF1C4587"/>
      </right>
      <bottom style="thin">
        <color rgb="FF000000"/>
      </bottom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medium">
        <color rgb="FF073763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1C4587"/>
      </right>
      <top style="thin">
        <color rgb="FF000000"/>
      </top>
      <bottom style="thin">
        <color rgb="FF000000"/>
      </bottom>
    </border>
    <border>
      <left style="medium">
        <color rgb="FF073763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ck">
        <color rgb="FF1C4587"/>
      </right>
      <top style="thin">
        <color rgb="FF000000"/>
      </top>
      <bottom style="thin">
        <color rgb="FF000000"/>
      </bottom>
    </border>
    <border>
      <right style="medium">
        <color rgb="FF073763"/>
      </right>
      <top style="thin">
        <color rgb="FF000000"/>
      </top>
      <bottom style="thin">
        <color rgb="FF000000"/>
      </bottom>
    </border>
    <border>
      <left style="medium">
        <color rgb="FF073763"/>
      </left>
      <bottom style="thin">
        <color rgb="FF000000"/>
      </bottom>
    </border>
    <border>
      <right style="medium">
        <color rgb="FF073763"/>
      </right>
      <bottom style="thin">
        <color rgb="FF000000"/>
      </bottom>
    </border>
    <border>
      <left style="medium">
        <color rgb="FF1C4587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1C4587"/>
      </left>
      <top style="thin">
        <color rgb="FF000000"/>
      </top>
    </border>
    <border>
      <right style="medium">
        <color rgb="FF1C4587"/>
      </right>
      <top style="thin">
        <color rgb="FF000000"/>
      </top>
    </border>
    <border>
      <top style="thin">
        <color rgb="FF000000"/>
      </top>
    </border>
    <border>
      <right style="thick">
        <color rgb="FF1C4587"/>
      </right>
      <top style="thin">
        <color rgb="FF000000"/>
      </top>
    </border>
    <border>
      <left style="medium">
        <color rgb="FF000000"/>
      </left>
      <bottom style="medium">
        <color rgb="FF1C4587"/>
      </bottom>
    </border>
    <border>
      <right style="medium">
        <color rgb="FF000000"/>
      </right>
      <bottom style="medium">
        <color rgb="FF1C4587"/>
      </bottom>
    </border>
    <border>
      <left style="medium">
        <color rgb="FF1C4587"/>
      </left>
      <bottom style="medium">
        <color rgb="FF1C4587"/>
      </bottom>
    </border>
    <border>
      <right style="medium">
        <color rgb="FF1C4587"/>
      </right>
      <bottom style="medium">
        <color rgb="FF1C4587"/>
      </bottom>
    </border>
    <border>
      <right style="thick">
        <color rgb="FF1C4587"/>
      </right>
      <bottom style="medium">
        <color rgb="FF1C4587"/>
      </bottom>
    </border>
    <border>
      <top style="medium">
        <color rgb="FF073763"/>
      </top>
    </border>
    <border>
      <right style="thin">
        <color rgb="FFC9DAF8"/>
      </right>
      <top style="medium">
        <color rgb="FF073763"/>
      </top>
    </border>
    <border>
      <left style="medium">
        <color rgb="FF1C4587"/>
      </left>
      <top style="medium">
        <color rgb="FF073763"/>
      </top>
      <bottom style="thin">
        <color rgb="FFC9DAF8"/>
      </bottom>
    </border>
    <border>
      <top style="medium">
        <color rgb="FF073763"/>
      </top>
      <bottom style="thin">
        <color rgb="FFC9DAF8"/>
      </bottom>
    </border>
    <border>
      <right style="medium">
        <color rgb="FF073763"/>
      </right>
      <top style="medium">
        <color rgb="FF073763"/>
      </top>
      <bottom style="thin">
        <color rgb="FFC9DAF8"/>
      </bottom>
    </border>
    <border>
      <left style="medium">
        <color rgb="FF000000"/>
      </left>
      <top style="medium">
        <color rgb="FF000000"/>
      </top>
      <bottom style="thin">
        <color rgb="FF434343"/>
      </bottom>
    </border>
    <border>
      <right style="medium">
        <color rgb="FF000000"/>
      </right>
      <top style="medium">
        <color rgb="FF000000"/>
      </top>
      <bottom style="thin">
        <color rgb="FF434343"/>
      </bottom>
    </border>
    <border>
      <top style="medium">
        <color rgb="FF000000"/>
      </top>
      <bottom style="thin">
        <color rgb="FF434343"/>
      </bottom>
    </border>
    <border>
      <right style="medium">
        <color rgb="FF1C4587"/>
      </right>
      <top style="medium">
        <color rgb="FF000000"/>
      </top>
      <bottom style="thin">
        <color rgb="FF434343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1C4587"/>
      </top>
      <bottom style="thin">
        <color rgb="FFC9DAF8"/>
      </bottom>
    </border>
    <border>
      <right style="medium">
        <color rgb="FF1C4587"/>
      </right>
      <top style="medium">
        <color rgb="FF1C4587"/>
      </top>
      <bottom style="thin">
        <color rgb="FFC9DAF8"/>
      </bottom>
    </border>
    <border>
      <bottom style="thin">
        <color rgb="FF434343"/>
      </bottom>
    </border>
    <border>
      <right style="medium">
        <color rgb="FF000000"/>
      </right>
      <bottom style="thin">
        <color rgb="FF434343"/>
      </bottom>
    </border>
    <border>
      <left style="medium">
        <color rgb="FF1C4587"/>
      </left>
      <top style="medium">
        <color rgb="FF1C4587"/>
      </top>
      <bottom style="thin">
        <color rgb="FFC9DAF8"/>
      </bottom>
    </border>
    <border>
      <top style="medium">
        <color rgb="FF1C4587"/>
      </top>
      <bottom style="thin">
        <color rgb="FF434343"/>
      </bottom>
    </border>
    <border>
      <right style="medium">
        <color rgb="FF000000"/>
      </right>
      <top style="medium">
        <color rgb="FF1C4587"/>
      </top>
      <bottom style="thin">
        <color rgb="FF434343"/>
      </bottom>
    </border>
    <border>
      <right style="medium">
        <color rgb="FF1C4587"/>
      </right>
      <top style="medium">
        <color rgb="FF1C4587"/>
      </top>
      <bottom style="thin">
        <color rgb="FF434343"/>
      </bottom>
    </border>
    <border>
      <left style="medium">
        <color rgb="FF000000"/>
      </left>
      <bottom style="thin">
        <color rgb="FFC9DAF8"/>
      </bottom>
    </border>
    <border>
      <bottom style="thin">
        <color rgb="FFC9DAF8"/>
      </bottom>
    </border>
    <border>
      <right style="medium">
        <color rgb="FF1C4587"/>
      </right>
      <bottom style="thin">
        <color rgb="FFC9DAF8"/>
      </bottom>
    </border>
    <border>
      <right style="thin">
        <color rgb="FFC9DAF8"/>
      </right>
      <bottom style="medium">
        <color rgb="FF1C4587"/>
      </bottom>
    </border>
    <border>
      <left style="medium">
        <color rgb="FF1C4587"/>
      </left>
      <right style="thin">
        <color rgb="FFC9DAF8"/>
      </right>
      <top style="thin">
        <color rgb="FFC9DAF8"/>
      </top>
    </border>
    <border>
      <left style="thin">
        <color rgb="FFC9DAF8"/>
      </left>
      <right style="thin">
        <color rgb="FFC9DAF8"/>
      </right>
      <top style="thin">
        <color rgb="FFC9DAF8"/>
      </top>
    </border>
    <border>
      <left style="thin">
        <color rgb="FFC9DAF8"/>
      </left>
      <top style="thin">
        <color rgb="FFC9DAF8"/>
      </top>
    </border>
    <border>
      <right style="medium">
        <color rgb="FF073763"/>
      </right>
      <top style="thin">
        <color rgb="FFC9DAF8"/>
      </top>
    </border>
    <border>
      <left style="medium">
        <color rgb="FF000000"/>
      </left>
      <right style="thin">
        <color rgb="FF434343"/>
      </right>
      <top style="thin">
        <color rgb="FF434343"/>
      </top>
    </border>
    <border>
      <left style="thin">
        <color rgb="FF434343"/>
      </left>
      <right style="medium">
        <color rgb="FF000000"/>
      </right>
      <top style="thin">
        <color rgb="FF434343"/>
      </top>
    </border>
    <border>
      <right style="thin">
        <color rgb="FF434343"/>
      </right>
      <top style="thin">
        <color rgb="FF434343"/>
      </top>
    </border>
    <border>
      <left style="thin">
        <color rgb="FF434343"/>
      </left>
      <top style="thin">
        <color rgb="FF434343"/>
      </top>
    </border>
    <border>
      <left style="medium">
        <color rgb="FF000000"/>
      </left>
      <right style="thin">
        <color rgb="FF434343"/>
      </right>
      <top style="medium">
        <color rgb="FF000000"/>
      </top>
    </border>
    <border>
      <left style="thin">
        <color rgb="FF434343"/>
      </left>
      <right style="medium">
        <color rgb="FF000000"/>
      </right>
      <top style="medium">
        <color rgb="FF000000"/>
      </top>
    </border>
    <border>
      <right style="thin">
        <color rgb="FFC9DAF8"/>
      </right>
      <top style="thin">
        <color rgb="FFC9DAF8"/>
      </top>
    </border>
    <border>
      <right style="medium">
        <color rgb="FF1C4587"/>
      </right>
      <top style="thin">
        <color rgb="FFC9DAF8"/>
      </top>
    </border>
    <border>
      <left style="thin">
        <color rgb="FF434343"/>
      </left>
      <right style="medium">
        <color rgb="FF1C4587"/>
      </right>
      <top style="thin">
        <color rgb="FF434343"/>
      </top>
    </border>
    <border>
      <left style="medium">
        <color rgb="FF1C4587"/>
      </left>
      <right style="thin">
        <color rgb="FF434343"/>
      </right>
      <top style="thin">
        <color rgb="FF434343"/>
      </top>
    </border>
    <border>
      <left style="medium">
        <color rgb="FF1C4587"/>
      </left>
      <right style="thin">
        <color rgb="FFC9DAF8"/>
      </right>
    </border>
    <border>
      <right style="thin">
        <color rgb="FFC9DAF8"/>
      </right>
    </border>
    <border>
      <right style="thin">
        <color rgb="FF434343"/>
      </right>
    </border>
    <border>
      <right style="medium">
        <color rgb="FF000000"/>
      </right>
    </border>
    <border>
      <left style="medium">
        <color rgb="FF000000"/>
      </left>
      <right style="thin">
        <color rgb="FFC9DAF8"/>
      </right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right style="medium">
        <color rgb="FF1C4587"/>
      </right>
      <top style="thin">
        <color rgb="FF434343"/>
      </top>
      <bottom style="thin">
        <color rgb="FF434343"/>
      </bottom>
    </border>
    <border>
      <left style="medium">
        <color rgb="FF1C4587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medium">
        <color rgb="FF000000"/>
      </left>
      <right style="thin">
        <color rgb="FFC9DAF8"/>
      </right>
      <bottom style="thin">
        <color rgb="FF434343"/>
      </bottom>
    </border>
    <border>
      <right style="thin">
        <color rgb="FFC9DAF8"/>
      </right>
      <bottom style="thin">
        <color rgb="FF434343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434343"/>
      </bottom>
    </border>
    <border>
      <right style="thin">
        <color rgb="FF000000"/>
      </right>
      <bottom style="thin">
        <color rgb="FF434343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434343"/>
      </left>
      <right style="medium">
        <color rgb="FF1C4587"/>
      </right>
      <top style="medium">
        <color rgb="FF000000"/>
      </top>
      <bottom style="thin">
        <color rgb="FF434343"/>
      </bottom>
    </border>
    <border>
      <left style="medium">
        <color rgb="FF1C4587"/>
      </left>
      <right style="thin">
        <color rgb="FF434343"/>
      </right>
      <top style="medium">
        <color rgb="FF000000"/>
      </top>
      <bottom style="thin">
        <color rgb="FF434343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434343"/>
      </left>
      <right style="medium">
        <color rgb="FF1C4587"/>
      </right>
      <top style="thin">
        <color rgb="FF434343"/>
      </top>
      <bottom style="medium">
        <color rgb="FF000000"/>
      </bottom>
    </border>
    <border>
      <left style="medium">
        <color rgb="FF1C4587"/>
      </left>
      <right style="thin">
        <color rgb="FF434343"/>
      </right>
      <top style="thin">
        <color rgb="FF434343"/>
      </top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thick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1C4587"/>
      </left>
      <right style="thin">
        <color rgb="FF434343"/>
      </right>
      <bottom style="thin">
        <color rgb="FF434343"/>
      </bottom>
    </border>
    <border>
      <left style="thin">
        <color rgb="FF434343"/>
      </left>
      <right style="medium">
        <color rgb="FF1C4587"/>
      </right>
      <bottom style="thin">
        <color rgb="FF434343"/>
      </bottom>
    </border>
    <border>
      <left style="thin">
        <color rgb="FF434343"/>
      </left>
      <right style="medium">
        <color rgb="FF1C4587"/>
      </right>
      <top style="thin">
        <color rgb="FF000000"/>
      </top>
      <bottom style="thin">
        <color rgb="FF434343"/>
      </bottom>
    </border>
    <border>
      <left style="medium">
        <color rgb="FF1C4587"/>
      </left>
      <right style="thin">
        <color rgb="FF434343"/>
      </right>
      <top style="thin">
        <color rgb="FF000000"/>
      </top>
      <bottom style="thin">
        <color rgb="FF434343"/>
      </bottom>
    </border>
    <border>
      <left style="thin">
        <color rgb="FF434343"/>
      </left>
      <right style="medium">
        <color rgb="FF1C4587"/>
      </right>
      <top style="thin">
        <color rgb="FF434343"/>
      </top>
      <bottom style="thin">
        <color rgb="FF000000"/>
      </bottom>
    </border>
    <border>
      <left style="medium">
        <color rgb="FF1C4587"/>
      </left>
      <right style="thin">
        <color rgb="FF434343"/>
      </right>
      <top style="thin">
        <color rgb="FF434343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bottom style="thin">
        <color rgb="FF000000"/>
      </bottom>
    </border>
    <border>
      <right style="medium">
        <color rgb="FF1C4587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1C4587"/>
      </right>
      <top style="medium">
        <color rgb="FF000000"/>
      </top>
      <bottom style="thin">
        <color rgb="FF000000"/>
      </bottom>
    </border>
    <border>
      <left style="medium">
        <color rgb="FF1C4587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1C4587"/>
      </left>
      <right style="medium">
        <color rgb="FF1C4587"/>
      </right>
      <top style="thin">
        <color rgb="FF434343"/>
      </top>
      <bottom style="thin">
        <color rgb="FF434343"/>
      </bottom>
    </border>
    <border>
      <left style="medium">
        <color rgb="FF1C4587"/>
      </left>
      <right style="medium">
        <color rgb="FF1C4587"/>
      </right>
      <top style="thin">
        <color rgb="FF000000"/>
      </top>
      <bottom style="thin">
        <color rgb="FF000000"/>
      </bottom>
    </border>
    <border>
      <top style="thin">
        <color rgb="FF434343"/>
      </top>
      <bottom style="thin">
        <color rgb="FF434343"/>
      </bottom>
    </border>
    <border>
      <left style="medium">
        <color rgb="FF000000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medium">
        <color rgb="FF1C4587"/>
      </left>
      <right style="thin">
        <color rgb="FF000000"/>
      </right>
      <top style="thin">
        <color rgb="FF000000"/>
      </top>
      <bottom style="thin">
        <color rgb="FF434343"/>
      </bottom>
    </border>
    <border>
      <right style="medium">
        <color rgb="FF1C4587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2" fontId="3" numFmtId="0" xfId="0" applyAlignment="1" applyFill="1" applyFont="1">
      <alignment horizontal="left" readingOrder="0" shrinkToFit="0" vertical="center" wrapText="1"/>
    </xf>
    <xf borderId="0" fillId="2" fontId="4" numFmtId="164" xfId="0" applyAlignment="1" applyFont="1" applyNumberFormat="1">
      <alignment horizontal="left"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6" numFmtId="0" xfId="0" applyFont="1"/>
    <xf borderId="0" fillId="0" fontId="8" numFmtId="0" xfId="0" applyAlignment="1" applyFont="1">
      <alignment vertical="center"/>
    </xf>
    <xf borderId="0" fillId="0" fontId="8" numFmtId="165" xfId="0" applyAlignment="1" applyFont="1" applyNumberFormat="1">
      <alignment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center" readingOrder="0" vertical="center"/>
    </xf>
    <xf borderId="0" fillId="0" fontId="12" numFmtId="0" xfId="0" applyAlignment="1" applyFont="1">
      <alignment vertical="center"/>
    </xf>
    <xf borderId="0" fillId="0" fontId="11" numFmtId="0" xfId="0" applyAlignment="1" applyFont="1">
      <alignment horizontal="left" readingOrder="0" vertical="center"/>
    </xf>
    <xf borderId="0" fillId="2" fontId="13" numFmtId="164" xfId="0" applyAlignment="1" applyFont="1" applyNumberFormat="1">
      <alignment horizontal="left" readingOrder="0" vertical="center"/>
    </xf>
    <xf borderId="0" fillId="0" fontId="14" numFmtId="0" xfId="0" applyAlignment="1" applyFont="1">
      <alignment horizontal="center" vertical="center"/>
    </xf>
    <xf borderId="0" fillId="0" fontId="14" numFmtId="166" xfId="0" applyAlignment="1" applyFont="1" applyNumberFormat="1">
      <alignment horizontal="center" vertical="center"/>
    </xf>
    <xf borderId="0" fillId="0" fontId="5" numFmtId="166" xfId="0" applyAlignment="1" applyFont="1" applyNumberFormat="1">
      <alignment horizontal="center" vertical="center"/>
    </xf>
    <xf borderId="1" fillId="0" fontId="6" numFmtId="0" xfId="0" applyAlignment="1" applyBorder="1" applyFont="1">
      <alignment vertical="center"/>
    </xf>
    <xf borderId="1" fillId="0" fontId="14" numFmtId="166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0" fontId="5" numFmtId="166" xfId="0" applyAlignment="1" applyBorder="1" applyFont="1" applyNumberFormat="1">
      <alignment horizontal="center" vertical="center"/>
    </xf>
    <xf borderId="1" fillId="0" fontId="6" numFmtId="0" xfId="0" applyBorder="1" applyFont="1"/>
    <xf borderId="0" fillId="0" fontId="15" numFmtId="0" xfId="0" applyAlignment="1" applyFont="1">
      <alignment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2" fillId="0" fontId="18" numFmtId="0" xfId="0" applyAlignment="1" applyBorder="1" applyFont="1">
      <alignment horizontal="center" readingOrder="0" shrinkToFit="0" vertical="center" wrapText="1"/>
    </xf>
    <xf borderId="3" fillId="0" fontId="18" numFmtId="0" xfId="0" applyAlignment="1" applyBorder="1" applyFont="1">
      <alignment horizontal="center" readingOrder="0" shrinkToFit="0" vertical="center" wrapText="1"/>
    </xf>
    <xf borderId="4" fillId="0" fontId="18" numFmtId="0" xfId="0" applyAlignment="1" applyBorder="1" applyFont="1">
      <alignment horizontal="center" readingOrder="0" shrinkToFit="0" vertical="center" wrapText="1"/>
    </xf>
    <xf borderId="5" fillId="0" fontId="19" numFmtId="0" xfId="0" applyBorder="1" applyFont="1"/>
    <xf borderId="6" fillId="0" fontId="18" numFmtId="0" xfId="0" applyAlignment="1" applyBorder="1" applyFont="1">
      <alignment horizontal="center" readingOrder="0" shrinkToFit="0" vertical="center" wrapText="1"/>
    </xf>
    <xf borderId="7" fillId="0" fontId="19" numFmtId="0" xfId="0" applyBorder="1" applyFont="1"/>
    <xf borderId="5" fillId="0" fontId="18" numFmtId="0" xfId="0" applyAlignment="1" applyBorder="1" applyFont="1">
      <alignment horizontal="center" readingOrder="0" shrinkToFit="0" vertical="center" wrapText="1"/>
    </xf>
    <xf borderId="3" fillId="0" fontId="17" numFmtId="0" xfId="0" applyAlignment="1" applyBorder="1" applyFont="1">
      <alignment horizontal="center" readingOrder="0" shrinkToFit="0" vertical="center" wrapText="1"/>
    </xf>
    <xf borderId="8" fillId="0" fontId="20" numFmtId="0" xfId="0" applyAlignment="1" applyBorder="1" applyFont="1">
      <alignment horizontal="center" shrinkToFit="0" vertical="center" wrapText="1"/>
    </xf>
    <xf borderId="9" fillId="0" fontId="19" numFmtId="0" xfId="0" applyBorder="1" applyFont="1"/>
    <xf borderId="0" fillId="0" fontId="20" numFmtId="0" xfId="0" applyAlignment="1" applyFont="1">
      <alignment horizontal="center" shrinkToFit="0" vertical="center" wrapText="1"/>
    </xf>
    <xf borderId="10" fillId="0" fontId="19" numFmtId="0" xfId="0" applyBorder="1" applyFont="1"/>
    <xf borderId="11" fillId="0" fontId="20" numFmtId="0" xfId="0" applyAlignment="1" applyBorder="1" applyFont="1">
      <alignment horizontal="center" shrinkToFit="0" vertical="center" wrapText="1"/>
    </xf>
    <xf borderId="9" fillId="0" fontId="17" numFmtId="0" xfId="0" applyAlignment="1" applyBorder="1" applyFont="1">
      <alignment horizontal="center" shrinkToFit="0" vertical="center" wrapText="1"/>
    </xf>
    <xf borderId="12" fillId="0" fontId="17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8" fillId="0" fontId="20" numFmtId="0" xfId="0" applyAlignment="1" applyBorder="1" applyFont="1">
      <alignment horizontal="center" shrinkToFit="0" wrapText="1"/>
    </xf>
    <xf borderId="12" fillId="0" fontId="19" numFmtId="0" xfId="0" applyBorder="1" applyFont="1"/>
    <xf borderId="0" fillId="0" fontId="20" numFmtId="0" xfId="0" applyAlignment="1" applyFont="1">
      <alignment horizontal="center" shrinkToFit="0" wrapText="1"/>
    </xf>
    <xf borderId="0" fillId="0" fontId="21" numFmtId="9" xfId="0" applyAlignment="1" applyFont="1" applyNumberFormat="1">
      <alignment horizontal="left" readingOrder="0" vertical="center"/>
    </xf>
    <xf borderId="0" fillId="0" fontId="21" numFmtId="9" xfId="0" applyAlignment="1" applyFont="1" applyNumberFormat="1">
      <alignment horizontal="center" readingOrder="0" vertical="center"/>
    </xf>
    <xf borderId="0" fillId="0" fontId="22" numFmtId="167" xfId="0" applyAlignment="1" applyFont="1" applyNumberFormat="1">
      <alignment horizontal="center" readingOrder="0" vertical="center"/>
    </xf>
    <xf borderId="0" fillId="2" fontId="23" numFmtId="164" xfId="0" applyAlignment="1" applyFont="1" applyNumberFormat="1">
      <alignment horizontal="left" vertical="center"/>
    </xf>
    <xf borderId="13" fillId="0" fontId="19" numFmtId="0" xfId="0" applyBorder="1" applyFont="1"/>
    <xf borderId="14" fillId="0" fontId="19" numFmtId="0" xfId="0" applyBorder="1" applyFont="1"/>
    <xf borderId="8" fillId="0" fontId="19" numFmtId="0" xfId="0" applyBorder="1" applyFont="1"/>
    <xf borderId="15" fillId="0" fontId="19" numFmtId="0" xfId="0" applyBorder="1" applyFont="1"/>
    <xf borderId="11" fillId="0" fontId="19" numFmtId="0" xfId="0" applyBorder="1" applyFont="1"/>
    <xf borderId="0" fillId="0" fontId="24" numFmtId="0" xfId="0" applyAlignment="1" applyFont="1">
      <alignment horizontal="left" readingOrder="0" vertical="center"/>
    </xf>
    <xf borderId="16" fillId="0" fontId="21" numFmtId="9" xfId="0" applyAlignment="1" applyBorder="1" applyFont="1" applyNumberFormat="1">
      <alignment horizontal="center" readingOrder="0" vertical="center"/>
    </xf>
    <xf borderId="17" fillId="0" fontId="25" numFmtId="167" xfId="0" applyAlignment="1" applyBorder="1" applyFont="1" applyNumberFormat="1">
      <alignment horizontal="center" readingOrder="0" vertical="center"/>
    </xf>
    <xf borderId="18" fillId="0" fontId="19" numFmtId="0" xfId="0" applyBorder="1" applyFont="1"/>
    <xf borderId="19" fillId="0" fontId="19" numFmtId="0" xfId="0" applyBorder="1" applyFont="1"/>
    <xf borderId="20" fillId="0" fontId="19" numFmtId="0" xfId="0" applyBorder="1" applyFont="1"/>
    <xf borderId="21" fillId="0" fontId="19" numFmtId="0" xfId="0" applyBorder="1" applyFont="1"/>
    <xf borderId="22" fillId="0" fontId="19" numFmtId="0" xfId="0" applyBorder="1" applyFont="1"/>
    <xf borderId="23" fillId="0" fontId="19" numFmtId="0" xfId="0" applyBorder="1" applyFont="1"/>
    <xf borderId="24" fillId="0" fontId="19" numFmtId="0" xfId="0" applyBorder="1" applyFont="1"/>
    <xf borderId="25" fillId="0" fontId="19" numFmtId="0" xfId="0" applyBorder="1" applyFont="1"/>
    <xf borderId="26" fillId="0" fontId="19" numFmtId="0" xfId="0" applyBorder="1" applyFont="1"/>
    <xf borderId="27" fillId="0" fontId="19" numFmtId="0" xfId="0" applyBorder="1" applyFont="1"/>
    <xf borderId="0" fillId="0" fontId="26" numFmtId="0" xfId="0" applyAlignment="1" applyFont="1">
      <alignment horizontal="left" readingOrder="0" vertical="center"/>
    </xf>
    <xf borderId="0" fillId="0" fontId="26" numFmtId="9" xfId="0" applyAlignment="1" applyFont="1" applyNumberFormat="1">
      <alignment horizontal="left" readingOrder="0" vertical="center"/>
    </xf>
    <xf borderId="16" fillId="0" fontId="26" numFmtId="9" xfId="0" applyAlignment="1" applyBorder="1" applyFont="1" applyNumberFormat="1">
      <alignment horizontal="center" readingOrder="0" vertical="center"/>
    </xf>
    <xf borderId="28" fillId="0" fontId="19" numFmtId="0" xfId="0" applyBorder="1" applyFont="1"/>
    <xf borderId="29" fillId="0" fontId="19" numFmtId="0" xfId="0" applyBorder="1" applyFont="1"/>
    <xf borderId="0" fillId="0" fontId="22" numFmtId="0" xfId="0" applyAlignment="1" applyFont="1">
      <alignment horizontal="center" vertical="center"/>
    </xf>
    <xf borderId="0" fillId="2" fontId="27" numFmtId="164" xfId="0" applyAlignment="1" applyFont="1" applyNumberFormat="1">
      <alignment horizontal="left" vertical="center"/>
    </xf>
    <xf borderId="30" fillId="0" fontId="16" numFmtId="10" xfId="0" applyAlignment="1" applyBorder="1" applyFont="1" applyNumberFormat="1">
      <alignment horizontal="center" vertical="center"/>
    </xf>
    <xf borderId="31" fillId="0" fontId="17" numFmtId="0" xfId="0" applyAlignment="1" applyBorder="1" applyFont="1">
      <alignment horizontal="center" vertical="center"/>
    </xf>
    <xf borderId="32" fillId="0" fontId="28" numFmtId="10" xfId="0" applyAlignment="1" applyBorder="1" applyFont="1" applyNumberFormat="1">
      <alignment horizontal="center" vertical="center"/>
    </xf>
    <xf borderId="33" fillId="0" fontId="19" numFmtId="0" xfId="0" applyBorder="1" applyFont="1"/>
    <xf borderId="34" fillId="0" fontId="17" numFmtId="10" xfId="0" applyAlignment="1" applyBorder="1" applyFont="1" applyNumberFormat="1">
      <alignment horizontal="center" vertical="center"/>
    </xf>
    <xf borderId="35" fillId="0" fontId="19" numFmtId="0" xfId="0" applyBorder="1" applyFont="1"/>
    <xf borderId="36" fillId="0" fontId="19" numFmtId="0" xfId="0" applyBorder="1" applyFont="1"/>
    <xf borderId="33" fillId="0" fontId="16" numFmtId="10" xfId="0" applyAlignment="1" applyBorder="1" applyFont="1" applyNumberFormat="1">
      <alignment horizontal="center" vertical="center"/>
    </xf>
    <xf borderId="34" fillId="0" fontId="17" numFmtId="0" xfId="0" applyAlignment="1" applyBorder="1" applyFont="1">
      <alignment horizontal="center" vertical="center"/>
    </xf>
    <xf borderId="37" fillId="0" fontId="29" numFmtId="10" xfId="0" applyAlignment="1" applyBorder="1" applyFont="1" applyNumberFormat="1">
      <alignment horizontal="center" vertical="center"/>
    </xf>
    <xf borderId="38" fillId="0" fontId="19" numFmtId="0" xfId="0" applyBorder="1" applyFont="1"/>
    <xf borderId="25" fillId="0" fontId="17" numFmtId="10" xfId="0" applyAlignment="1" applyBorder="1" applyFont="1" applyNumberFormat="1">
      <alignment horizontal="center" vertical="center"/>
    </xf>
    <xf borderId="30" fillId="0" fontId="28" numFmtId="10" xfId="0" applyAlignment="1" applyBorder="1" applyFont="1" applyNumberFormat="1">
      <alignment horizontal="center" vertical="center"/>
    </xf>
    <xf borderId="37" fillId="0" fontId="29" numFmtId="10" xfId="0" applyAlignment="1" applyBorder="1" applyFont="1" applyNumberFormat="1">
      <alignment horizontal="center"/>
    </xf>
    <xf borderId="25" fillId="0" fontId="6" numFmtId="10" xfId="0" applyBorder="1" applyFont="1" applyNumberFormat="1"/>
    <xf borderId="39" fillId="0" fontId="16" numFmtId="10" xfId="0" applyAlignment="1" applyBorder="1" applyFont="1" applyNumberForma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30" numFmtId="9" xfId="0" applyAlignment="1" applyFont="1" applyNumberFormat="1">
      <alignment horizontal="left" readingOrder="0" vertical="center"/>
    </xf>
    <xf borderId="16" fillId="0" fontId="30" numFmtId="9" xfId="0" applyAlignment="1" applyBorder="1" applyFont="1" applyNumberFormat="1">
      <alignment horizontal="center" readingOrder="0" vertical="center"/>
    </xf>
    <xf borderId="0" fillId="0" fontId="5" numFmtId="167" xfId="0" applyAlignment="1" applyFont="1" applyNumberFormat="1">
      <alignment horizontal="center" vertical="center"/>
    </xf>
    <xf borderId="40" fillId="0" fontId="22" numFmtId="168" xfId="0" applyAlignment="1" applyBorder="1" applyFont="1" applyNumberFormat="1">
      <alignment horizontal="center" readingOrder="0" vertical="center"/>
    </xf>
    <xf borderId="41" fillId="0" fontId="19" numFmtId="0" xfId="0" applyBorder="1" applyFont="1"/>
    <xf borderId="42" fillId="0" fontId="22" numFmtId="168" xfId="0" applyAlignment="1" applyBorder="1" applyFont="1" applyNumberFormat="1">
      <alignment horizontal="center" readingOrder="0" vertical="center"/>
    </xf>
    <xf borderId="43" fillId="0" fontId="19" numFmtId="0" xfId="0" applyBorder="1" applyFont="1"/>
    <xf borderId="44" fillId="0" fontId="22" numFmtId="168" xfId="0" applyAlignment="1" applyBorder="1" applyFont="1" applyNumberFormat="1">
      <alignment horizontal="center" readingOrder="0" vertical="center"/>
    </xf>
    <xf borderId="44" fillId="0" fontId="19" numFmtId="0" xfId="0" applyBorder="1" applyFont="1"/>
    <xf borderId="45" fillId="0" fontId="19" numFmtId="0" xfId="0" applyBorder="1" applyFont="1"/>
    <xf borderId="8" fillId="0" fontId="22" numFmtId="168" xfId="0" applyAlignment="1" applyBorder="1" applyFont="1" applyNumberFormat="1">
      <alignment horizontal="center"/>
    </xf>
    <xf borderId="0" fillId="0" fontId="22" numFmtId="168" xfId="0" applyAlignment="1" applyFont="1" applyNumberFormat="1">
      <alignment horizontal="center" readingOrder="0" vertical="center"/>
    </xf>
    <xf borderId="0" fillId="0" fontId="22" numFmtId="0" xfId="0" applyAlignment="1" applyFont="1">
      <alignment horizontal="left" vertical="center"/>
    </xf>
    <xf borderId="46" fillId="0" fontId="19" numFmtId="0" xfId="0" applyBorder="1" applyFont="1"/>
    <xf borderId="47" fillId="0" fontId="19" numFmtId="0" xfId="0" applyBorder="1" applyFont="1"/>
    <xf borderId="48" fillId="0" fontId="19" numFmtId="0" xfId="0" applyBorder="1" applyFont="1"/>
    <xf borderId="49" fillId="0" fontId="19" numFmtId="0" xfId="0" applyBorder="1" applyFont="1"/>
    <xf borderId="1" fillId="0" fontId="19" numFmtId="0" xfId="0" applyBorder="1" applyFont="1"/>
    <xf borderId="50" fillId="0" fontId="19" numFmtId="0" xfId="0" applyBorder="1" applyFont="1"/>
    <xf borderId="51" fillId="3" fontId="31" numFmtId="0" xfId="0" applyAlignment="1" applyBorder="1" applyFill="1" applyFont="1">
      <alignment horizontal="center" readingOrder="0" shrinkToFit="0" vertical="center" wrapText="1"/>
    </xf>
    <xf borderId="51" fillId="0" fontId="19" numFmtId="0" xfId="0" applyBorder="1" applyFont="1"/>
    <xf borderId="52" fillId="0" fontId="19" numFmtId="0" xfId="0" applyBorder="1" applyFont="1"/>
    <xf borderId="53" fillId="3" fontId="32" numFmtId="0" xfId="0" applyAlignment="1" applyBorder="1" applyFont="1">
      <alignment horizontal="center" readingOrder="0" vertical="center"/>
    </xf>
    <xf borderId="54" fillId="0" fontId="19" numFmtId="0" xfId="0" applyBorder="1" applyFont="1"/>
    <xf borderId="55" fillId="0" fontId="19" numFmtId="0" xfId="0" applyBorder="1" applyFont="1"/>
    <xf borderId="0" fillId="2" fontId="33" numFmtId="164" xfId="0" applyAlignment="1" applyFont="1" applyNumberFormat="1">
      <alignment horizontal="center" readingOrder="0" shrinkToFit="0" vertical="center" wrapText="1"/>
    </xf>
    <xf borderId="56" fillId="4" fontId="17" numFmtId="166" xfId="0" applyAlignment="1" applyBorder="1" applyFill="1" applyFont="1" applyNumberFormat="1">
      <alignment horizontal="center" readingOrder="0" vertical="center"/>
    </xf>
    <xf borderId="57" fillId="0" fontId="19" numFmtId="0" xfId="0" applyBorder="1" applyFont="1"/>
    <xf borderId="58" fillId="5" fontId="17" numFmtId="166" xfId="0" applyAlignment="1" applyBorder="1" applyFill="1" applyFont="1" applyNumberFormat="1">
      <alignment horizontal="center" readingOrder="0" vertical="center"/>
    </xf>
    <xf borderId="59" fillId="0" fontId="19" numFmtId="0" xfId="0" applyBorder="1" applyFont="1"/>
    <xf borderId="60" fillId="5" fontId="17" numFmtId="166" xfId="0" applyAlignment="1" applyBorder="1" applyFont="1" applyNumberFormat="1">
      <alignment horizontal="center" readingOrder="0" vertical="center"/>
    </xf>
    <xf borderId="61" fillId="0" fontId="19" numFmtId="0" xfId="0" applyBorder="1" applyFont="1"/>
    <xf borderId="62" fillId="6" fontId="32" numFmtId="0" xfId="0" applyAlignment="1" applyBorder="1" applyFill="1" applyFont="1">
      <alignment horizontal="center" readingOrder="0" vertical="center"/>
    </xf>
    <xf borderId="62" fillId="0" fontId="19" numFmtId="0" xfId="0" applyBorder="1" applyFont="1"/>
    <xf borderId="63" fillId="0" fontId="19" numFmtId="0" xfId="0" applyBorder="1" applyFont="1"/>
    <xf borderId="64" fillId="4" fontId="17" numFmtId="166" xfId="0" applyAlignment="1" applyBorder="1" applyFont="1" applyNumberFormat="1">
      <alignment horizontal="center" readingOrder="0" vertical="center"/>
    </xf>
    <xf borderId="65" fillId="0" fontId="19" numFmtId="0" xfId="0" applyBorder="1" applyFont="1"/>
    <xf borderId="66" fillId="6" fontId="32" numFmtId="166" xfId="0" applyAlignment="1" applyBorder="1" applyFont="1" applyNumberFormat="1">
      <alignment horizontal="center" readingOrder="0" vertical="center"/>
    </xf>
    <xf borderId="67" fillId="4" fontId="17" numFmtId="166" xfId="0" applyAlignment="1" applyBorder="1" applyFont="1" applyNumberFormat="1">
      <alignment horizontal="center" readingOrder="0" vertical="center"/>
    </xf>
    <xf borderId="68" fillId="0" fontId="19" numFmtId="0" xfId="0" applyBorder="1" applyFont="1"/>
    <xf borderId="67" fillId="5" fontId="17" numFmtId="166" xfId="0" applyAlignment="1" applyBorder="1" applyFont="1" applyNumberFormat="1">
      <alignment horizontal="center" readingOrder="0" vertical="center"/>
    </xf>
    <xf borderId="69" fillId="0" fontId="19" numFmtId="0" xfId="0" applyBorder="1" applyFont="1"/>
    <xf borderId="70" fillId="6" fontId="32" numFmtId="166" xfId="0" applyAlignment="1" applyBorder="1" applyFont="1" applyNumberFormat="1">
      <alignment horizontal="center"/>
    </xf>
    <xf borderId="71" fillId="0" fontId="19" numFmtId="0" xfId="0" applyBorder="1" applyFont="1"/>
    <xf borderId="72" fillId="0" fontId="19" numFmtId="0" xfId="0" applyBorder="1" applyFont="1"/>
    <xf borderId="0" fillId="6" fontId="32" numFmtId="166" xfId="0" applyAlignment="1" applyFont="1" applyNumberFormat="1">
      <alignment horizontal="center" vertical="center"/>
    </xf>
    <xf borderId="73" fillId="0" fontId="19" numFmtId="0" xfId="0" applyBorder="1" applyFont="1"/>
    <xf borderId="74" fillId="3" fontId="32" numFmtId="0" xfId="0" applyAlignment="1" applyBorder="1" applyFont="1">
      <alignment horizontal="center" readingOrder="0" vertical="center"/>
    </xf>
    <xf borderId="75" fillId="3" fontId="32" numFmtId="0" xfId="0" applyAlignment="1" applyBorder="1" applyFont="1">
      <alignment horizontal="center" readingOrder="0" vertical="center"/>
    </xf>
    <xf borderId="76" fillId="3" fontId="34" numFmtId="0" xfId="0" applyAlignment="1" applyBorder="1" applyFont="1">
      <alignment horizontal="center" readingOrder="0" vertical="center"/>
    </xf>
    <xf borderId="77" fillId="0" fontId="19" numFmtId="0" xfId="0" applyBorder="1" applyFont="1"/>
    <xf borderId="0" fillId="2" fontId="35" numFmtId="164" xfId="0" applyAlignment="1" applyFont="1" applyNumberFormat="1">
      <alignment horizontal="center" readingOrder="0" vertical="center"/>
    </xf>
    <xf borderId="78" fillId="4" fontId="17" numFmtId="0" xfId="0" applyAlignment="1" applyBorder="1" applyFont="1">
      <alignment horizontal="center" readingOrder="0" vertical="center"/>
    </xf>
    <xf borderId="79" fillId="4" fontId="17" numFmtId="0" xfId="0" applyAlignment="1" applyBorder="1" applyFont="1">
      <alignment horizontal="center" readingOrder="0" vertical="center"/>
    </xf>
    <xf borderId="80" fillId="5" fontId="17" numFmtId="0" xfId="0" applyAlignment="1" applyBorder="1" applyFont="1">
      <alignment horizontal="center" readingOrder="0" vertical="center"/>
    </xf>
    <xf borderId="81" fillId="5" fontId="17" numFmtId="0" xfId="0" applyAlignment="1" applyBorder="1" applyFont="1">
      <alignment horizontal="center" readingOrder="0" vertical="center"/>
    </xf>
    <xf borderId="82" fillId="5" fontId="17" numFmtId="0" xfId="0" applyAlignment="1" applyBorder="1" applyFont="1">
      <alignment horizontal="center" readingOrder="0" vertical="center"/>
    </xf>
    <xf borderId="83" fillId="5" fontId="17" numFmtId="0" xfId="0" applyAlignment="1" applyBorder="1" applyFont="1">
      <alignment horizontal="center" readingOrder="0" vertical="center"/>
    </xf>
    <xf borderId="84" fillId="6" fontId="32" numFmtId="0" xfId="0" applyAlignment="1" applyBorder="1" applyFont="1">
      <alignment horizontal="center" readingOrder="0" vertical="center"/>
    </xf>
    <xf borderId="75" fillId="6" fontId="32" numFmtId="0" xfId="0" applyAlignment="1" applyBorder="1" applyFont="1">
      <alignment horizontal="center" readingOrder="0" vertical="center"/>
    </xf>
    <xf borderId="76" fillId="6" fontId="32" numFmtId="0" xfId="0" applyAlignment="1" applyBorder="1" applyFont="1">
      <alignment horizontal="center" readingOrder="0" vertical="center"/>
    </xf>
    <xf borderId="85" fillId="0" fontId="19" numFmtId="0" xfId="0" applyBorder="1" applyFont="1"/>
    <xf borderId="86" fillId="5" fontId="17" numFmtId="0" xfId="0" applyAlignment="1" applyBorder="1" applyFont="1">
      <alignment horizontal="center" readingOrder="0" vertical="center"/>
    </xf>
    <xf borderId="87" fillId="5" fontId="17" numFmtId="0" xfId="0" applyAlignment="1" applyBorder="1" applyFont="1">
      <alignment horizontal="center" readingOrder="0" vertical="center"/>
    </xf>
    <xf borderId="79" fillId="5" fontId="17" numFmtId="0" xfId="0" applyAlignment="1" applyBorder="1" applyFont="1">
      <alignment horizontal="center" readingOrder="0" vertical="center"/>
    </xf>
    <xf borderId="88" fillId="6" fontId="32" numFmtId="0" xfId="0" applyAlignment="1" applyBorder="1" applyFont="1">
      <alignment horizontal="center" vertical="center"/>
    </xf>
    <xf borderId="89" fillId="6" fontId="32" numFmtId="0" xfId="0" applyAlignment="1" applyBorder="1" applyFont="1">
      <alignment horizontal="center" vertical="center"/>
    </xf>
    <xf borderId="90" fillId="4" fontId="17" numFmtId="0" xfId="0" applyAlignment="1" applyBorder="1" applyFont="1">
      <alignment horizontal="center" vertical="center"/>
    </xf>
    <xf borderId="91" fillId="4" fontId="17" numFmtId="0" xfId="0" applyAlignment="1" applyBorder="1" applyFont="1">
      <alignment horizontal="center" vertical="center"/>
    </xf>
    <xf borderId="90" fillId="5" fontId="17" numFmtId="0" xfId="0" applyAlignment="1" applyBorder="1" applyFont="1">
      <alignment horizontal="center" vertical="center"/>
    </xf>
    <xf borderId="12" fillId="5" fontId="17" numFmtId="0" xfId="0" applyAlignment="1" applyBorder="1" applyFont="1">
      <alignment horizontal="center" vertical="center"/>
    </xf>
    <xf borderId="80" fillId="4" fontId="17" numFmtId="0" xfId="0" applyAlignment="1" applyBorder="1" applyFont="1">
      <alignment horizontal="center" readingOrder="0" vertical="center"/>
    </xf>
    <xf borderId="86" fillId="4" fontId="17" numFmtId="0" xfId="0" applyAlignment="1" applyBorder="1" applyFont="1">
      <alignment horizontal="center" readingOrder="0" vertical="center"/>
    </xf>
    <xf borderId="87" fillId="4" fontId="17" numFmtId="0" xfId="0" applyAlignment="1" applyBorder="1" applyFont="1">
      <alignment horizontal="center" readingOrder="0" vertical="center"/>
    </xf>
    <xf borderId="92" fillId="6" fontId="32" numFmtId="0" xfId="0" applyAlignment="1" applyBorder="1" applyFont="1">
      <alignment horizontal="center"/>
    </xf>
    <xf borderId="89" fillId="6" fontId="32" numFmtId="0" xfId="0" applyAlignment="1" applyBorder="1" applyFont="1">
      <alignment horizontal="center"/>
    </xf>
    <xf borderId="0" fillId="6" fontId="32" numFmtId="0" xfId="0" applyAlignment="1" applyFont="1">
      <alignment horizontal="center"/>
    </xf>
    <xf borderId="93" fillId="4" fontId="17" numFmtId="0" xfId="0" applyAlignment="1" applyBorder="1" applyFont="1">
      <alignment horizontal="center" readingOrder="0" vertical="center"/>
    </xf>
    <xf borderId="94" fillId="4" fontId="17" numFmtId="0" xfId="0" applyAlignment="1" applyBorder="1" applyFont="1">
      <alignment horizontal="center" readingOrder="0" vertical="center"/>
    </xf>
    <xf borderId="95" fillId="4" fontId="17" numFmtId="0" xfId="0" applyAlignment="1" applyBorder="1" applyFont="1">
      <alignment horizontal="center" readingOrder="0" vertical="center"/>
    </xf>
    <xf borderId="95" fillId="5" fontId="17" numFmtId="0" xfId="0" applyAlignment="1" applyBorder="1" applyFont="1">
      <alignment horizontal="center" readingOrder="0" vertical="center"/>
    </xf>
    <xf borderId="94" fillId="5" fontId="17" numFmtId="0" xfId="0" applyAlignment="1" applyBorder="1" applyFont="1">
      <alignment horizontal="center" readingOrder="0" vertical="center"/>
    </xf>
    <xf borderId="96" fillId="6" fontId="32" numFmtId="0" xfId="0" applyAlignment="1" applyBorder="1" applyFont="1">
      <alignment horizontal="center"/>
    </xf>
    <xf borderId="97" fillId="6" fontId="32" numFmtId="0" xfId="0" applyAlignment="1" applyBorder="1" applyFont="1">
      <alignment horizontal="center"/>
    </xf>
    <xf borderId="1" fillId="6" fontId="32" numFmtId="0" xfId="0" applyAlignment="1" applyBorder="1" applyFont="1">
      <alignment horizontal="center"/>
    </xf>
    <xf borderId="0" fillId="6" fontId="32" numFmtId="0" xfId="0" applyAlignment="1" applyFont="1">
      <alignment horizontal="center" vertical="center"/>
    </xf>
    <xf borderId="98" fillId="7" fontId="36" numFmtId="0" xfId="0" applyAlignment="1" applyBorder="1" applyFill="1" applyFont="1">
      <alignment horizontal="center" readingOrder="0" shrinkToFit="0" textRotation="90" vertical="center" wrapText="1"/>
    </xf>
    <xf borderId="99" fillId="8" fontId="37" numFmtId="165" xfId="0" applyAlignment="1" applyBorder="1" applyFill="1" applyFont="1" applyNumberFormat="1">
      <alignment readingOrder="0" shrinkToFit="0" vertical="center" wrapText="1"/>
    </xf>
    <xf borderId="100" fillId="9" fontId="19" numFmtId="0" xfId="0" applyBorder="1" applyFill="1" applyFont="1"/>
    <xf borderId="101" fillId="9" fontId="19" numFmtId="0" xfId="0" applyBorder="1" applyFont="1"/>
    <xf borderId="102" fillId="9" fontId="22" numFmtId="169" xfId="0" applyAlignment="1" applyBorder="1" applyFont="1" applyNumberFormat="1">
      <alignment horizontal="center" readingOrder="0" vertical="center"/>
    </xf>
    <xf borderId="102" fillId="2" fontId="38" numFmtId="10" xfId="0" applyAlignment="1" applyBorder="1" applyFont="1" applyNumberFormat="1">
      <alignment horizontal="center" vertical="center"/>
    </xf>
    <xf borderId="103" fillId="9" fontId="37" numFmtId="3" xfId="0" applyAlignment="1" applyBorder="1" applyFont="1" applyNumberFormat="1">
      <alignment horizontal="center" readingOrder="0" vertical="center"/>
    </xf>
    <xf borderId="104" fillId="2" fontId="39" numFmtId="164" xfId="0" applyAlignment="1" applyBorder="1" applyFont="1" applyNumberFormat="1">
      <alignment horizontal="left" readingOrder="0" vertical="center"/>
    </xf>
    <xf borderId="105" fillId="9" fontId="38" numFmtId="165" xfId="0" applyAlignment="1" applyBorder="1" applyFont="1" applyNumberFormat="1">
      <alignment horizontal="center" vertical="center"/>
    </xf>
    <xf borderId="105" fillId="8" fontId="38" numFmtId="165" xfId="0" applyAlignment="1" applyBorder="1" applyFont="1" applyNumberFormat="1">
      <alignment horizontal="center" vertical="center"/>
    </xf>
    <xf borderId="34" fillId="8" fontId="38" numFmtId="165" xfId="0" applyAlignment="1" applyBorder="1" applyFont="1" applyNumberFormat="1">
      <alignment horizontal="center" vertical="center"/>
    </xf>
    <xf borderId="106" fillId="9" fontId="38" numFmtId="165" xfId="0" applyAlignment="1" applyBorder="1" applyFont="1" applyNumberFormat="1">
      <alignment horizontal="center" vertical="center"/>
    </xf>
    <xf borderId="103" fillId="9" fontId="38" numFmtId="165" xfId="0" applyAlignment="1" applyBorder="1" applyFont="1" applyNumberFormat="1">
      <alignment horizontal="center" vertical="center"/>
    </xf>
    <xf borderId="106" fillId="8" fontId="38" numFmtId="165" xfId="0" applyAlignment="1" applyBorder="1" applyFont="1" applyNumberFormat="1">
      <alignment horizontal="center" vertical="center"/>
    </xf>
    <xf borderId="106" fillId="8" fontId="38" numFmtId="165" xfId="0" applyAlignment="1" applyBorder="1" applyFont="1" applyNumberFormat="1">
      <alignment horizontal="center"/>
    </xf>
    <xf borderId="106" fillId="9" fontId="37" numFmtId="165" xfId="0" applyAlignment="1" applyBorder="1" applyFont="1" applyNumberFormat="1">
      <alignment horizontal="center" vertical="center"/>
    </xf>
    <xf borderId="102" fillId="9" fontId="38" numFmtId="165" xfId="0" applyAlignment="1" applyBorder="1" applyFont="1" applyNumberFormat="1">
      <alignment horizontal="center" vertical="center"/>
    </xf>
    <xf borderId="102" fillId="8" fontId="37" numFmtId="10" xfId="0" applyAlignment="1" applyBorder="1" applyFont="1" applyNumberFormat="1">
      <alignment horizontal="center" readingOrder="0" vertical="center"/>
    </xf>
    <xf borderId="103" fillId="8" fontId="37" numFmtId="168" xfId="0" applyAlignment="1" applyBorder="1" applyFont="1" applyNumberFormat="1">
      <alignment horizontal="center" readingOrder="0" vertical="center"/>
    </xf>
    <xf borderId="102" fillId="9" fontId="37" numFmtId="10" xfId="0" applyAlignment="1" applyBorder="1" applyFont="1" applyNumberFormat="1">
      <alignment horizontal="center" vertical="center"/>
    </xf>
    <xf borderId="103" fillId="9" fontId="40" numFmtId="168" xfId="0" applyAlignment="1" applyBorder="1" applyFont="1" applyNumberFormat="1">
      <alignment vertical="center"/>
    </xf>
    <xf borderId="99" fillId="9" fontId="38" numFmtId="165" xfId="0" applyAlignment="1" applyBorder="1" applyFont="1" applyNumberFormat="1">
      <alignment horizontal="center" vertical="center"/>
    </xf>
    <xf borderId="106" fillId="9" fontId="37" numFmtId="165" xfId="0" applyAlignment="1" applyBorder="1" applyFont="1" applyNumberFormat="1">
      <alignment horizontal="center"/>
    </xf>
    <xf borderId="102" fillId="9" fontId="37" numFmtId="165" xfId="0" applyAlignment="1" applyBorder="1" applyFont="1" applyNumberFormat="1">
      <alignment horizontal="center"/>
    </xf>
    <xf borderId="102" fillId="9" fontId="37" numFmtId="10" xfId="0" applyAlignment="1" applyBorder="1" applyFont="1" applyNumberFormat="1">
      <alignment horizontal="center"/>
    </xf>
    <xf borderId="103" fillId="9" fontId="40" numFmtId="168" xfId="0" applyBorder="1" applyFont="1" applyNumberFormat="1"/>
    <xf borderId="33" fillId="9" fontId="38" numFmtId="165" xfId="0" applyAlignment="1" applyBorder="1" applyFont="1" applyNumberFormat="1">
      <alignment horizontal="center" vertical="center"/>
    </xf>
    <xf borderId="107" fillId="9" fontId="37" numFmtId="165" xfId="0" applyAlignment="1" applyBorder="1" applyFont="1" applyNumberFormat="1">
      <alignment horizontal="center"/>
    </xf>
    <xf borderId="22" fillId="9" fontId="37" numFmtId="165" xfId="0" applyAlignment="1" applyBorder="1" applyFont="1" applyNumberFormat="1">
      <alignment horizontal="center"/>
    </xf>
    <xf borderId="22" fillId="9" fontId="37" numFmtId="10" xfId="0" applyAlignment="1" applyBorder="1" applyFont="1" applyNumberFormat="1">
      <alignment horizontal="center"/>
    </xf>
    <xf borderId="22" fillId="9" fontId="40" numFmtId="168" xfId="0" applyBorder="1" applyFont="1" applyNumberFormat="1"/>
    <xf borderId="105" fillId="9" fontId="40" numFmtId="168" xfId="0" applyAlignment="1" applyBorder="1" applyFont="1" applyNumberFormat="1">
      <alignment vertical="center"/>
    </xf>
    <xf borderId="108" fillId="2" fontId="19" numFmtId="0" xfId="0" applyBorder="1" applyFont="1"/>
    <xf borderId="34" fillId="8" fontId="37" numFmtId="3" xfId="0" applyAlignment="1" applyBorder="1" applyFont="1" applyNumberFormat="1">
      <alignment readingOrder="0" shrinkToFit="0" vertical="center" wrapText="1"/>
    </xf>
    <xf borderId="109" fillId="2" fontId="19" numFmtId="0" xfId="0" applyBorder="1" applyFont="1"/>
    <xf borderId="33" fillId="2" fontId="19" numFmtId="0" xfId="0" applyBorder="1" applyFont="1"/>
    <xf borderId="105" fillId="2" fontId="37" numFmtId="10" xfId="0" applyAlignment="1" applyBorder="1" applyFont="1" applyNumberFormat="1">
      <alignment horizontal="center" readingOrder="0" vertical="center"/>
    </xf>
    <xf borderId="105" fillId="2" fontId="22" numFmtId="10" xfId="0" applyAlignment="1" applyBorder="1" applyFont="1" applyNumberFormat="1">
      <alignment horizontal="center" readingOrder="0" vertical="center"/>
    </xf>
    <xf borderId="34" fillId="2" fontId="37" numFmtId="10" xfId="0" applyAlignment="1" applyBorder="1" applyFont="1" applyNumberFormat="1">
      <alignment horizontal="center" readingOrder="0" vertical="center"/>
    </xf>
    <xf borderId="110" fillId="2" fontId="19" numFmtId="0" xfId="0" applyBorder="1" applyFont="1"/>
    <xf borderId="9" fillId="2" fontId="19" numFmtId="0" xfId="0" applyBorder="1" applyFont="1"/>
    <xf borderId="105" fillId="8" fontId="37" numFmtId="10" xfId="0" applyAlignment="1" applyBorder="1" applyFont="1" applyNumberFormat="1">
      <alignment horizontal="center" readingOrder="0" vertical="center"/>
    </xf>
    <xf borderId="34" fillId="8" fontId="37" numFmtId="10" xfId="0" applyAlignment="1" applyBorder="1" applyFont="1" applyNumberFormat="1">
      <alignment horizontal="center" readingOrder="0" vertical="center"/>
    </xf>
    <xf borderId="111" fillId="2" fontId="37" numFmtId="10" xfId="0" applyAlignment="1" applyBorder="1" applyFont="1" applyNumberFormat="1">
      <alignment horizontal="center" readingOrder="0" vertical="center"/>
    </xf>
    <xf borderId="112" fillId="2" fontId="37" numFmtId="10" xfId="0" applyAlignment="1" applyBorder="1" applyFont="1" applyNumberFormat="1">
      <alignment horizontal="center" readingOrder="0" vertical="center"/>
    </xf>
    <xf borderId="111" fillId="8" fontId="37" numFmtId="10" xfId="0" applyAlignment="1" applyBorder="1" applyFont="1" applyNumberFormat="1">
      <alignment horizontal="center" readingOrder="0" vertical="center"/>
    </xf>
    <xf borderId="112" fillId="8" fontId="37" numFmtId="10" xfId="0" applyAlignment="1" applyBorder="1" applyFont="1" applyNumberFormat="1">
      <alignment horizontal="center" readingOrder="0" vertical="center"/>
    </xf>
    <xf borderId="105" fillId="2" fontId="22" numFmtId="10" xfId="0" applyAlignment="1" applyBorder="1" applyFont="1" applyNumberFormat="1">
      <alignment horizontal="center"/>
    </xf>
    <xf borderId="105" fillId="2" fontId="37" numFmtId="10" xfId="0" applyAlignment="1" applyBorder="1" applyFont="1" applyNumberFormat="1">
      <alignment horizontal="center"/>
    </xf>
    <xf borderId="112" fillId="2" fontId="40" numFmtId="168" xfId="0" applyBorder="1" applyFont="1" applyNumberFormat="1"/>
    <xf borderId="33" fillId="8" fontId="37" numFmtId="10" xfId="0" applyAlignment="1" applyBorder="1" applyFont="1" applyNumberFormat="1">
      <alignment horizontal="center" readingOrder="0" vertical="center"/>
    </xf>
    <xf borderId="113" fillId="2" fontId="22" numFmtId="10" xfId="0" applyAlignment="1" applyBorder="1" applyFont="1" applyNumberFormat="1">
      <alignment horizontal="center"/>
    </xf>
    <xf borderId="22" fillId="2" fontId="22" numFmtId="10" xfId="0" applyAlignment="1" applyBorder="1" applyFont="1" applyNumberFormat="1">
      <alignment horizontal="center"/>
    </xf>
    <xf borderId="0" fillId="2" fontId="30" numFmtId="10" xfId="0" applyAlignment="1" applyFont="1" applyNumberFormat="1">
      <alignment horizontal="center"/>
    </xf>
    <xf borderId="91" fillId="2" fontId="19" numFmtId="0" xfId="0" applyBorder="1" applyFont="1"/>
    <xf borderId="0" fillId="2" fontId="37" numFmtId="3" xfId="0" applyAlignment="1" applyFont="1" applyNumberFormat="1">
      <alignment horizontal="center" readingOrder="0" vertical="center"/>
    </xf>
    <xf borderId="91" fillId="2" fontId="37" numFmtId="3" xfId="0" applyAlignment="1" applyBorder="1" applyFont="1" applyNumberFormat="1">
      <alignment horizontal="center" readingOrder="0" vertical="center"/>
    </xf>
    <xf borderId="108" fillId="9" fontId="19" numFmtId="0" xfId="0" applyBorder="1" applyFont="1"/>
    <xf borderId="34" fillId="8" fontId="37" numFmtId="3" xfId="0" applyAlignment="1" applyBorder="1" applyFont="1" applyNumberFormat="1">
      <alignment horizontal="left" readingOrder="0" shrinkToFit="0" vertical="center" wrapText="1"/>
    </xf>
    <xf borderId="109" fillId="9" fontId="19" numFmtId="0" xfId="0" applyBorder="1" applyFont="1"/>
    <xf borderId="33" fillId="9" fontId="19" numFmtId="0" xfId="0" applyBorder="1" applyFont="1"/>
    <xf borderId="105" fillId="9" fontId="22" numFmtId="3" xfId="0" applyAlignment="1" applyBorder="1" applyFont="1" applyNumberFormat="1">
      <alignment horizontal="center" readingOrder="0" vertical="center"/>
    </xf>
    <xf borderId="105" fillId="9" fontId="37" numFmtId="10" xfId="0" applyAlignment="1" applyBorder="1" applyFont="1" applyNumberFormat="1">
      <alignment horizontal="center" readingOrder="0" vertical="center"/>
    </xf>
    <xf borderId="112" fillId="9" fontId="37" numFmtId="3" xfId="0" applyAlignment="1" applyBorder="1" applyFont="1" applyNumberFormat="1">
      <alignment horizontal="center" readingOrder="0" vertical="center"/>
    </xf>
    <xf borderId="9" fillId="9" fontId="19" numFmtId="0" xfId="0" applyBorder="1" applyFont="1"/>
    <xf borderId="105" fillId="9" fontId="37" numFmtId="3" xfId="0" applyAlignment="1" applyBorder="1" applyFont="1" applyNumberFormat="1">
      <alignment horizontal="center" readingOrder="0" vertical="center"/>
    </xf>
    <xf borderId="34" fillId="9" fontId="37" numFmtId="3" xfId="0" applyAlignment="1" applyBorder="1" applyFont="1" applyNumberFormat="1">
      <alignment horizontal="center" readingOrder="0" vertical="center"/>
    </xf>
    <xf borderId="111" fillId="9" fontId="37" numFmtId="3" xfId="0" applyAlignment="1" applyBorder="1" applyFont="1" applyNumberFormat="1">
      <alignment horizontal="center" readingOrder="0" vertical="center"/>
    </xf>
    <xf borderId="111" fillId="8" fontId="38" numFmtId="3" xfId="0" applyAlignment="1" applyBorder="1" applyFont="1" applyNumberFormat="1">
      <alignment horizontal="center" readingOrder="0"/>
    </xf>
    <xf borderId="111" fillId="2" fontId="41" numFmtId="3" xfId="0" applyAlignment="1" applyBorder="1" applyFont="1" applyNumberFormat="1">
      <alignment horizontal="center" readingOrder="0"/>
    </xf>
    <xf borderId="105" fillId="9" fontId="22" numFmtId="10" xfId="0" applyAlignment="1" applyBorder="1" applyFont="1" applyNumberFormat="1">
      <alignment horizontal="center" vertical="center"/>
    </xf>
    <xf borderId="112" fillId="9" fontId="7" numFmtId="3" xfId="0" applyAlignment="1" applyBorder="1" applyFont="1" applyNumberFormat="1">
      <alignment horizontal="center" vertical="center"/>
    </xf>
    <xf borderId="111" fillId="9" fontId="22" numFmtId="3" xfId="0" applyAlignment="1" applyBorder="1" applyFont="1" applyNumberFormat="1">
      <alignment horizontal="center" vertical="center"/>
    </xf>
    <xf borderId="111" fillId="2" fontId="41" numFmtId="3" xfId="0" applyAlignment="1" applyBorder="1" applyFont="1" applyNumberFormat="1">
      <alignment horizontal="center"/>
    </xf>
    <xf borderId="111" fillId="9" fontId="22" numFmtId="3" xfId="0" applyAlignment="1" applyBorder="1" applyFont="1" applyNumberFormat="1">
      <alignment horizontal="center"/>
    </xf>
    <xf borderId="105" fillId="9" fontId="22" numFmtId="3" xfId="0" applyAlignment="1" applyBorder="1" applyFont="1" applyNumberFormat="1">
      <alignment horizontal="center"/>
    </xf>
    <xf borderId="105" fillId="9" fontId="37" numFmtId="10" xfId="0" applyAlignment="1" applyBorder="1" applyFont="1" applyNumberFormat="1">
      <alignment horizontal="center"/>
    </xf>
    <xf borderId="112" fillId="9" fontId="40" numFmtId="168" xfId="0" applyBorder="1" applyFont="1" applyNumberFormat="1"/>
    <xf borderId="22" fillId="2" fontId="41" numFmtId="3" xfId="0" applyAlignment="1" applyBorder="1" applyFont="1" applyNumberFormat="1">
      <alignment horizontal="center"/>
    </xf>
    <xf borderId="0" fillId="9" fontId="37" numFmtId="3" xfId="0" applyAlignment="1" applyFont="1" applyNumberFormat="1">
      <alignment horizontal="center" vertical="center"/>
    </xf>
    <xf borderId="114" fillId="9" fontId="22" numFmtId="3" xfId="0" applyAlignment="1" applyBorder="1" applyFont="1" applyNumberFormat="1">
      <alignment horizontal="center"/>
    </xf>
    <xf borderId="115" fillId="9" fontId="22" numFmtId="3" xfId="0" applyAlignment="1" applyBorder="1" applyFont="1" applyNumberFormat="1">
      <alignment horizontal="center"/>
    </xf>
    <xf borderId="22" fillId="9" fontId="6" numFmtId="3" xfId="0" applyBorder="1" applyFont="1" applyNumberFormat="1"/>
    <xf borderId="116" fillId="9" fontId="6" numFmtId="3" xfId="0" applyBorder="1" applyFont="1" applyNumberFormat="1"/>
    <xf borderId="0" fillId="9" fontId="42" numFmtId="3" xfId="0" applyAlignment="1" applyFont="1" applyNumberFormat="1">
      <alignment horizontal="center" vertical="center"/>
    </xf>
    <xf borderId="91" fillId="9" fontId="42" numFmtId="3" xfId="0" applyAlignment="1" applyBorder="1" applyFont="1" applyNumberFormat="1">
      <alignment horizontal="center" vertical="center"/>
    </xf>
    <xf borderId="34" fillId="2" fontId="22" numFmtId="0" xfId="0" applyAlignment="1" applyBorder="1" applyFont="1">
      <alignment readingOrder="0" shrinkToFit="0" vertical="center" wrapText="1"/>
    </xf>
    <xf borderId="105" fillId="2" fontId="22" numFmtId="169" xfId="0" applyAlignment="1" applyBorder="1" applyFont="1" applyNumberFormat="1">
      <alignment horizontal="center" readingOrder="0" vertical="center"/>
    </xf>
    <xf borderId="112" fillId="2" fontId="37" numFmtId="3" xfId="0" applyAlignment="1" applyBorder="1" applyFont="1" applyNumberFormat="1">
      <alignment horizontal="center" readingOrder="0" vertical="center"/>
    </xf>
    <xf borderId="105" fillId="2" fontId="37" numFmtId="165" xfId="0" applyAlignment="1" applyBorder="1" applyFont="1" applyNumberFormat="1">
      <alignment horizontal="center" readingOrder="0" vertical="center"/>
    </xf>
    <xf borderId="34" fillId="2" fontId="37" numFmtId="165" xfId="0" applyAlignment="1" applyBorder="1" applyFont="1" applyNumberFormat="1">
      <alignment horizontal="center" readingOrder="0" vertical="center"/>
    </xf>
    <xf borderId="111" fillId="2" fontId="37" numFmtId="165" xfId="0" applyAlignment="1" applyBorder="1" applyFont="1" applyNumberFormat="1">
      <alignment horizontal="center" readingOrder="0" vertical="center"/>
    </xf>
    <xf borderId="112" fillId="2" fontId="37" numFmtId="165" xfId="0" applyAlignment="1" applyBorder="1" applyFont="1" applyNumberFormat="1">
      <alignment horizontal="center" readingOrder="0" vertical="center"/>
    </xf>
    <xf borderId="111" fillId="8" fontId="38" numFmtId="165" xfId="0" applyAlignment="1" applyBorder="1" applyFont="1" applyNumberFormat="1">
      <alignment horizontal="center" readingOrder="0"/>
    </xf>
    <xf borderId="111" fillId="2" fontId="22" numFmtId="165" xfId="0" applyAlignment="1" applyBorder="1" applyFont="1" applyNumberFormat="1">
      <alignment horizontal="center" vertical="center"/>
    </xf>
    <xf borderId="111" fillId="2" fontId="41" numFmtId="165" xfId="0" applyAlignment="1" applyBorder="1" applyFont="1" applyNumberFormat="1">
      <alignment horizontal="center" readingOrder="0" vertical="center"/>
    </xf>
    <xf borderId="105" fillId="2" fontId="22" numFmtId="10" xfId="0" applyAlignment="1" applyBorder="1" applyFont="1" applyNumberFormat="1">
      <alignment horizontal="center" vertical="center"/>
    </xf>
    <xf borderId="112" fillId="2" fontId="7" numFmtId="3" xfId="0" applyAlignment="1" applyBorder="1" applyFont="1" applyNumberFormat="1">
      <alignment horizontal="center" vertical="center"/>
    </xf>
    <xf borderId="111" fillId="2" fontId="22" numFmtId="165" xfId="0" applyAlignment="1" applyBorder="1" applyFont="1" applyNumberFormat="1">
      <alignment horizontal="center" readingOrder="0" vertical="center"/>
    </xf>
    <xf borderId="111" fillId="2" fontId="41" numFmtId="3" xfId="0" applyAlignment="1" applyBorder="1" applyFont="1" applyNumberFormat="1">
      <alignment horizontal="center" vertical="center"/>
    </xf>
    <xf borderId="34" fillId="2" fontId="37" numFmtId="3" xfId="0" applyAlignment="1" applyBorder="1" applyFont="1" applyNumberFormat="1">
      <alignment horizontal="center" readingOrder="0" vertical="center"/>
    </xf>
    <xf borderId="111" fillId="2" fontId="22" numFmtId="169" xfId="0" applyAlignment="1" applyBorder="1" applyFont="1" applyNumberFormat="1">
      <alignment horizontal="center" readingOrder="0" vertical="center"/>
    </xf>
    <xf borderId="105" fillId="2" fontId="22" numFmtId="165" xfId="0" applyAlignment="1" applyBorder="1" applyFont="1" applyNumberFormat="1">
      <alignment horizontal="center"/>
    </xf>
    <xf borderId="22" fillId="2" fontId="41" numFmtId="3" xfId="0" applyAlignment="1" applyBorder="1" applyFont="1" applyNumberFormat="1">
      <alignment horizontal="center" vertical="center"/>
    </xf>
    <xf borderId="25" fillId="2" fontId="37" numFmtId="3" xfId="0" applyAlignment="1" applyBorder="1" applyFont="1" applyNumberFormat="1">
      <alignment horizontal="center" readingOrder="0" vertical="center"/>
    </xf>
    <xf borderId="0" fillId="2" fontId="37" numFmtId="3" xfId="0" applyAlignment="1" applyFont="1" applyNumberFormat="1">
      <alignment horizontal="center" vertical="center"/>
    </xf>
    <xf borderId="108" fillId="2" fontId="22" numFmtId="3" xfId="0" applyAlignment="1" applyBorder="1" applyFont="1" applyNumberFormat="1">
      <alignment horizontal="center"/>
    </xf>
    <xf borderId="115" fillId="2" fontId="22" numFmtId="3" xfId="0" applyAlignment="1" applyBorder="1" applyFont="1" applyNumberFormat="1">
      <alignment horizontal="center"/>
    </xf>
    <xf borderId="116" fillId="2" fontId="6" numFmtId="3" xfId="0" applyBorder="1" applyFont="1" applyNumberFormat="1"/>
    <xf borderId="0" fillId="2" fontId="40" numFmtId="3" xfId="0" applyAlignment="1" applyFont="1" applyNumberFormat="1">
      <alignment vertical="center"/>
    </xf>
    <xf borderId="91" fillId="2" fontId="40" numFmtId="3" xfId="0" applyAlignment="1" applyBorder="1" applyFont="1" applyNumberFormat="1">
      <alignment vertical="center"/>
    </xf>
    <xf borderId="111" fillId="2" fontId="41" numFmtId="3" xfId="0" applyAlignment="1" applyBorder="1" applyFont="1" applyNumberFormat="1">
      <alignment horizontal="center" readingOrder="0" vertical="center"/>
    </xf>
    <xf borderId="116" fillId="9" fontId="37" numFmtId="3" xfId="0" applyAlignment="1" applyBorder="1" applyFont="1" applyNumberFormat="1">
      <alignment horizontal="center" readingOrder="0" vertical="center"/>
    </xf>
    <xf borderId="113" fillId="2" fontId="41" numFmtId="3" xfId="0" applyAlignment="1" applyBorder="1" applyFont="1" applyNumberFormat="1">
      <alignment horizontal="center" vertical="center"/>
    </xf>
    <xf borderId="22" fillId="9" fontId="37" numFmtId="3" xfId="0" applyAlignment="1" applyBorder="1" applyFont="1" applyNumberFormat="1">
      <alignment horizontal="center" vertical="center"/>
    </xf>
    <xf borderId="116" fillId="9" fontId="37" numFmtId="3" xfId="0" applyAlignment="1" applyBorder="1" applyFont="1" applyNumberFormat="1">
      <alignment horizontal="center" vertical="center"/>
    </xf>
    <xf borderId="113" fillId="9" fontId="22" numFmtId="3" xfId="0" applyAlignment="1" applyBorder="1" applyFont="1" applyNumberFormat="1">
      <alignment horizontal="center"/>
    </xf>
    <xf borderId="22" fillId="9" fontId="22" numFmtId="10" xfId="0" applyAlignment="1" applyBorder="1" applyFont="1" applyNumberFormat="1">
      <alignment horizontal="center"/>
    </xf>
    <xf borderId="0" fillId="9" fontId="40" numFmtId="3" xfId="0" applyAlignment="1" applyFont="1" applyNumberFormat="1">
      <alignment vertical="center"/>
    </xf>
    <xf borderId="91" fillId="9" fontId="40" numFmtId="3" xfId="0" applyAlignment="1" applyBorder="1" applyFont="1" applyNumberFormat="1">
      <alignment vertical="center"/>
    </xf>
    <xf borderId="111" fillId="2" fontId="41" numFmtId="165" xfId="0" applyAlignment="1" applyBorder="1" applyFont="1" applyNumberFormat="1">
      <alignment horizontal="center" readingOrder="0"/>
    </xf>
    <xf borderId="105" fillId="2" fontId="7" numFmtId="165" xfId="0" applyAlignment="1" applyBorder="1" applyFont="1" applyNumberFormat="1">
      <alignment horizontal="center"/>
    </xf>
    <xf borderId="116" fillId="2" fontId="37" numFmtId="3" xfId="0" applyAlignment="1" applyBorder="1" applyFont="1" applyNumberFormat="1">
      <alignment horizontal="center" readingOrder="0" vertical="center"/>
    </xf>
    <xf borderId="113" fillId="2" fontId="41" numFmtId="3" xfId="0" applyAlignment="1" applyBorder="1" applyFont="1" applyNumberFormat="1">
      <alignment horizontal="center"/>
    </xf>
    <xf borderId="22" fillId="2" fontId="37" numFmtId="3" xfId="0" applyAlignment="1" applyBorder="1" applyFont="1" applyNumberFormat="1">
      <alignment horizontal="center" vertical="center"/>
    </xf>
    <xf borderId="116" fillId="2" fontId="37" numFmtId="3" xfId="0" applyAlignment="1" applyBorder="1" applyFont="1" applyNumberFormat="1">
      <alignment horizontal="center" vertical="center"/>
    </xf>
    <xf borderId="113" fillId="2" fontId="22" numFmtId="3" xfId="0" applyAlignment="1" applyBorder="1" applyFont="1" applyNumberFormat="1">
      <alignment horizontal="center"/>
    </xf>
    <xf borderId="9" fillId="2" fontId="6" numFmtId="3" xfId="0" applyBorder="1" applyFont="1" applyNumberFormat="1"/>
    <xf borderId="105" fillId="9" fontId="41" numFmtId="170" xfId="0" applyAlignment="1" applyBorder="1" applyFont="1" applyNumberFormat="1">
      <alignment horizontal="center" vertical="center"/>
    </xf>
    <xf borderId="34" fillId="9" fontId="37" numFmtId="10" xfId="0" applyAlignment="1" applyBorder="1" applyFont="1" applyNumberFormat="1">
      <alignment horizontal="center" readingOrder="0" vertical="center"/>
    </xf>
    <xf borderId="111" fillId="9" fontId="37" numFmtId="10" xfId="0" applyAlignment="1" applyBorder="1" applyFont="1" applyNumberFormat="1">
      <alignment horizontal="center" readingOrder="0" vertical="center"/>
    </xf>
    <xf borderId="112" fillId="9" fontId="37" numFmtId="10" xfId="0" applyAlignment="1" applyBorder="1" applyFont="1" applyNumberFormat="1">
      <alignment horizontal="center" readingOrder="0" vertical="center"/>
    </xf>
    <xf borderId="111" fillId="8" fontId="38" numFmtId="10" xfId="0" applyAlignment="1" applyBorder="1" applyFont="1" applyNumberFormat="1">
      <alignment horizontal="center" readingOrder="0"/>
    </xf>
    <xf borderId="111" fillId="9" fontId="22" numFmtId="10" xfId="0" applyAlignment="1" applyBorder="1" applyFont="1" applyNumberFormat="1">
      <alignment horizontal="center" vertical="center"/>
    </xf>
    <xf borderId="111" fillId="2" fontId="41" numFmtId="10" xfId="0" applyAlignment="1" applyBorder="1" applyFont="1" applyNumberFormat="1">
      <alignment horizontal="center" readingOrder="0"/>
    </xf>
    <xf borderId="112" fillId="9" fontId="6" numFmtId="3" xfId="0" applyAlignment="1" applyBorder="1" applyFont="1" applyNumberFormat="1">
      <alignment vertical="center"/>
    </xf>
    <xf borderId="111" fillId="9" fontId="22" numFmtId="10" xfId="0" applyAlignment="1" applyBorder="1" applyFont="1" applyNumberFormat="1">
      <alignment horizontal="center"/>
    </xf>
    <xf borderId="105" fillId="9" fontId="7" numFmtId="10" xfId="0" applyAlignment="1" applyBorder="1" applyFont="1" applyNumberFormat="1">
      <alignment horizontal="center"/>
    </xf>
    <xf borderId="9" fillId="2" fontId="41" numFmtId="3" xfId="0" applyAlignment="1" applyBorder="1" applyFont="1" applyNumberFormat="1">
      <alignment horizontal="center"/>
    </xf>
    <xf borderId="117" fillId="9" fontId="37" numFmtId="3" xfId="0" applyAlignment="1" applyBorder="1" applyFont="1" applyNumberFormat="1">
      <alignment horizontal="center" readingOrder="0" vertical="center"/>
    </xf>
    <xf borderId="108" fillId="2" fontId="41" numFmtId="3" xfId="0" applyAlignment="1" applyBorder="1" applyFont="1" applyNumberFormat="1">
      <alignment horizontal="center"/>
    </xf>
    <xf borderId="9" fillId="9" fontId="37" numFmtId="3" xfId="0" applyAlignment="1" applyBorder="1" applyFont="1" applyNumberFormat="1">
      <alignment horizontal="center" vertical="center"/>
    </xf>
    <xf borderId="91" fillId="9" fontId="37" numFmtId="3" xfId="0" applyAlignment="1" applyBorder="1" applyFont="1" applyNumberFormat="1">
      <alignment horizontal="center" vertical="center"/>
    </xf>
    <xf borderId="108" fillId="9" fontId="22" numFmtId="3" xfId="0" applyAlignment="1" applyBorder="1" applyFont="1" applyNumberFormat="1">
      <alignment horizontal="center"/>
    </xf>
    <xf borderId="9" fillId="9" fontId="6" numFmtId="3" xfId="0" applyBorder="1" applyFont="1" applyNumberFormat="1"/>
    <xf borderId="9" fillId="9" fontId="22" numFmtId="10" xfId="0" applyAlignment="1" applyBorder="1" applyFont="1" applyNumberFormat="1">
      <alignment horizontal="center"/>
    </xf>
    <xf borderId="91" fillId="9" fontId="6" numFmtId="3" xfId="0" applyBorder="1" applyFont="1" applyNumberFormat="1"/>
    <xf borderId="105" fillId="2" fontId="37" numFmtId="3" xfId="0" applyAlignment="1" applyBorder="1" applyFont="1" applyNumberFormat="1">
      <alignment horizontal="center" readingOrder="0" vertical="center"/>
    </xf>
    <xf borderId="105" fillId="2" fontId="41" numFmtId="170" xfId="0" applyAlignment="1" applyBorder="1" applyFont="1" applyNumberFormat="1">
      <alignment horizontal="center" vertical="center"/>
    </xf>
    <xf borderId="111" fillId="2" fontId="37" numFmtId="171" xfId="0" applyAlignment="1" applyBorder="1" applyFont="1" applyNumberFormat="1">
      <alignment horizontal="center" readingOrder="0" vertical="center"/>
    </xf>
    <xf borderId="111" fillId="2" fontId="22" numFmtId="171" xfId="0" applyAlignment="1" applyBorder="1" applyFont="1" applyNumberFormat="1">
      <alignment horizontal="center" vertical="center"/>
    </xf>
    <xf borderId="112" fillId="2" fontId="6" numFmtId="3" xfId="0" applyAlignment="1" applyBorder="1" applyFont="1" applyNumberFormat="1">
      <alignment vertical="center"/>
    </xf>
    <xf borderId="111" fillId="2" fontId="22" numFmtId="3" xfId="0" applyAlignment="1" applyBorder="1" applyFont="1" applyNumberFormat="1">
      <alignment horizontal="center"/>
    </xf>
    <xf borderId="105" fillId="2" fontId="7" numFmtId="3" xfId="0" applyAlignment="1" applyBorder="1" applyFont="1" applyNumberFormat="1">
      <alignment horizontal="center"/>
    </xf>
    <xf borderId="118" fillId="2" fontId="37" numFmtId="3" xfId="0" applyAlignment="1" applyBorder="1" applyFont="1" applyNumberFormat="1">
      <alignment horizontal="center" readingOrder="0" vertical="center"/>
    </xf>
    <xf borderId="9" fillId="2" fontId="22" numFmtId="10" xfId="0" applyAlignment="1" applyBorder="1" applyFont="1" applyNumberFormat="1">
      <alignment horizontal="center"/>
    </xf>
    <xf borderId="91" fillId="2" fontId="6" numFmtId="3" xfId="0" applyBorder="1" applyFont="1" applyNumberFormat="1"/>
    <xf borderId="105" fillId="9" fontId="37" numFmtId="165" xfId="0" applyAlignment="1" applyBorder="1" applyFont="1" applyNumberFormat="1">
      <alignment horizontal="center" readingOrder="0" vertical="center"/>
    </xf>
    <xf borderId="111" fillId="9" fontId="37" numFmtId="165" xfId="0" applyAlignment="1" applyBorder="1" applyFont="1" applyNumberFormat="1">
      <alignment horizontal="center" readingOrder="0" vertical="center"/>
    </xf>
    <xf borderId="112" fillId="9" fontId="37" numFmtId="165" xfId="0" applyAlignment="1" applyBorder="1" applyFont="1" applyNumberFormat="1">
      <alignment horizontal="center" readingOrder="0" vertical="center"/>
    </xf>
    <xf borderId="111" fillId="9" fontId="22" numFmtId="165" xfId="0" applyAlignment="1" applyBorder="1" applyFont="1" applyNumberFormat="1">
      <alignment horizontal="center" readingOrder="0" vertical="center"/>
    </xf>
    <xf borderId="105" fillId="9" fontId="7" numFmtId="3" xfId="0" applyAlignment="1" applyBorder="1" applyFont="1" applyNumberFormat="1">
      <alignment horizontal="center"/>
    </xf>
    <xf borderId="118" fillId="9" fontId="37" numFmtId="3" xfId="0" applyAlignment="1" applyBorder="1" applyFont="1" applyNumberFormat="1">
      <alignment horizontal="center" readingOrder="0" vertical="center"/>
    </xf>
    <xf borderId="0" fillId="9" fontId="37" numFmtId="3" xfId="0" applyAlignment="1" applyFont="1" applyNumberFormat="1">
      <alignment horizontal="center" readingOrder="0" vertical="center"/>
    </xf>
    <xf borderId="22" fillId="2" fontId="19" numFmtId="0" xfId="0" applyBorder="1" applyFont="1"/>
    <xf borderId="111" fillId="2" fontId="22" numFmtId="10" xfId="0" applyAlignment="1" applyBorder="1" applyFont="1" applyNumberFormat="1">
      <alignment horizontal="center" vertical="center"/>
    </xf>
    <xf borderId="111" fillId="2" fontId="22" numFmtId="3" xfId="0" applyAlignment="1" applyBorder="1" applyFont="1" applyNumberFormat="1">
      <alignment horizontal="center" vertical="center"/>
    </xf>
    <xf borderId="119" fillId="9" fontId="19" numFmtId="0" xfId="0" applyBorder="1" applyFont="1"/>
    <xf borderId="120" fillId="8" fontId="37" numFmtId="3" xfId="0" applyAlignment="1" applyBorder="1" applyFont="1" applyNumberFormat="1">
      <alignment readingOrder="0" shrinkToFit="0" vertical="center" wrapText="1"/>
    </xf>
    <xf borderId="121" fillId="9" fontId="19" numFmtId="0" xfId="0" applyBorder="1" applyFont="1"/>
    <xf borderId="122" fillId="9" fontId="19" numFmtId="0" xfId="0" applyBorder="1" applyFont="1"/>
    <xf borderId="123" fillId="9" fontId="37" numFmtId="165" xfId="0" applyAlignment="1" applyBorder="1" applyFont="1" applyNumberFormat="1">
      <alignment horizontal="center" readingOrder="0" vertical="center"/>
    </xf>
    <xf borderId="123" fillId="9" fontId="41" numFmtId="170" xfId="0" applyAlignment="1" applyBorder="1" applyFont="1" applyNumberFormat="1">
      <alignment horizontal="center" vertical="center"/>
    </xf>
    <xf borderId="124" fillId="9" fontId="37" numFmtId="3" xfId="0" applyAlignment="1" applyBorder="1" applyFont="1" applyNumberFormat="1">
      <alignment horizontal="center" readingOrder="0" vertical="center"/>
    </xf>
    <xf borderId="33" fillId="2" fontId="39" numFmtId="164" xfId="0" applyAlignment="1" applyBorder="1" applyFont="1" applyNumberFormat="1">
      <alignment horizontal="left" readingOrder="0" vertical="center"/>
    </xf>
    <xf borderId="125" fillId="9" fontId="37" numFmtId="165" xfId="0" applyAlignment="1" applyBorder="1" applyFont="1" applyNumberFormat="1">
      <alignment horizontal="center" readingOrder="0" vertical="center"/>
    </xf>
    <xf borderId="125" fillId="8" fontId="38" numFmtId="165" xfId="0" applyAlignment="1" applyBorder="1" applyFont="1" applyNumberFormat="1">
      <alignment horizontal="center" readingOrder="0"/>
    </xf>
    <xf borderId="125" fillId="9" fontId="22" numFmtId="165" xfId="0" applyAlignment="1" applyBorder="1" applyFont="1" applyNumberFormat="1">
      <alignment horizontal="center" vertical="center"/>
    </xf>
    <xf borderId="123" fillId="9" fontId="37" numFmtId="10" xfId="0" applyAlignment="1" applyBorder="1" applyFont="1" applyNumberFormat="1">
      <alignment horizontal="center" readingOrder="0" vertical="center"/>
    </xf>
    <xf borderId="125" fillId="2" fontId="41" numFmtId="165" xfId="0" applyAlignment="1" applyBorder="1" applyFont="1" applyNumberFormat="1">
      <alignment horizontal="center" readingOrder="0"/>
    </xf>
    <xf borderId="120" fillId="9" fontId="37" numFmtId="165" xfId="0" applyAlignment="1" applyBorder="1" applyFont="1" applyNumberFormat="1">
      <alignment horizontal="center" readingOrder="0" vertical="center"/>
    </xf>
    <xf borderId="123" fillId="9" fontId="22" numFmtId="10" xfId="0" applyAlignment="1" applyBorder="1" applyFont="1" applyNumberFormat="1">
      <alignment horizontal="center" vertical="center"/>
    </xf>
    <xf borderId="124" fillId="9" fontId="7" numFmtId="3" xfId="0" applyAlignment="1" applyBorder="1" applyFont="1" applyNumberFormat="1">
      <alignment horizontal="center" vertical="center"/>
    </xf>
    <xf borderId="124" fillId="9" fontId="6" numFmtId="3" xfId="0" applyAlignment="1" applyBorder="1" applyFont="1" applyNumberFormat="1">
      <alignment vertical="center"/>
    </xf>
    <xf borderId="125" fillId="2" fontId="41" numFmtId="3" xfId="0" applyAlignment="1" applyBorder="1" applyFont="1" applyNumberFormat="1">
      <alignment horizontal="center"/>
    </xf>
    <xf borderId="120" fillId="9" fontId="37" numFmtId="3" xfId="0" applyAlignment="1" applyBorder="1" applyFont="1" applyNumberFormat="1">
      <alignment horizontal="center" readingOrder="0" vertical="center"/>
    </xf>
    <xf borderId="125" fillId="9" fontId="22" numFmtId="165" xfId="0" applyAlignment="1" applyBorder="1" applyFont="1" applyNumberFormat="1">
      <alignment horizontal="center"/>
    </xf>
    <xf borderId="123" fillId="9" fontId="37" numFmtId="10" xfId="0" applyAlignment="1" applyBorder="1" applyFont="1" applyNumberFormat="1">
      <alignment horizontal="center"/>
    </xf>
    <xf borderId="124" fillId="9" fontId="40" numFmtId="168" xfId="0" applyBorder="1" applyFont="1" applyNumberFormat="1"/>
    <xf borderId="108" fillId="10" fontId="17" numFmtId="0" xfId="0" applyAlignment="1" applyBorder="1" applyFill="1" applyFont="1">
      <alignment horizontal="center" readingOrder="0" shrinkToFit="0" textRotation="90" vertical="center" wrapText="1"/>
    </xf>
    <xf borderId="23" fillId="2" fontId="22" numFmtId="0" xfId="0" applyAlignment="1" applyBorder="1" applyFont="1">
      <alignment readingOrder="0" shrinkToFit="0" vertical="center" wrapText="1"/>
    </xf>
    <xf borderId="25" fillId="2" fontId="19" numFmtId="0" xfId="0" applyBorder="1" applyFont="1"/>
    <xf borderId="107" fillId="2" fontId="37" numFmtId="10" xfId="0" applyAlignment="1" applyBorder="1" applyFont="1" applyNumberFormat="1">
      <alignment horizontal="center" readingOrder="0" vertical="center"/>
    </xf>
    <xf borderId="107" fillId="2" fontId="22" numFmtId="10" xfId="0" applyAlignment="1" applyBorder="1" applyFont="1" applyNumberFormat="1">
      <alignment horizontal="center" readingOrder="0" vertical="center"/>
    </xf>
    <xf borderId="126" fillId="2" fontId="22" numFmtId="168" xfId="0" applyAlignment="1" applyBorder="1" applyFont="1" applyNumberFormat="1">
      <alignment horizontal="center" readingOrder="0" vertical="center"/>
    </xf>
    <xf borderId="91" fillId="2" fontId="43" numFmtId="3" xfId="0" applyAlignment="1" applyBorder="1" applyFont="1" applyNumberFormat="1">
      <alignment horizontal="center"/>
    </xf>
    <xf borderId="22" fillId="2" fontId="41" numFmtId="10" xfId="0" applyAlignment="1" applyBorder="1" applyFont="1" applyNumberFormat="1">
      <alignment horizontal="center" vertical="center"/>
    </xf>
    <xf borderId="126" fillId="9" fontId="41" numFmtId="0" xfId="0" applyAlignment="1" applyBorder="1" applyFont="1">
      <alignment horizontal="center" vertical="center"/>
    </xf>
    <xf borderId="113" fillId="2" fontId="41" numFmtId="10" xfId="0" applyAlignment="1" applyBorder="1" applyFont="1" applyNumberFormat="1">
      <alignment horizontal="center" vertical="center"/>
    </xf>
    <xf borderId="127" fillId="2" fontId="41" numFmtId="10" xfId="0" applyAlignment="1" applyBorder="1" applyFont="1" applyNumberFormat="1">
      <alignment horizontal="center" vertical="center"/>
    </xf>
    <xf borderId="126" fillId="2" fontId="41" numFmtId="10" xfId="0" applyAlignment="1" applyBorder="1" applyFont="1" applyNumberFormat="1">
      <alignment horizontal="center" vertical="center"/>
    </xf>
    <xf borderId="23" fillId="2" fontId="41" numFmtId="10" xfId="0" applyAlignment="1" applyBorder="1" applyFont="1" applyNumberFormat="1">
      <alignment horizontal="center" vertical="center"/>
    </xf>
    <xf borderId="107" fillId="2" fontId="22" numFmtId="0" xfId="0" applyAlignment="1" applyBorder="1" applyFont="1">
      <alignment horizontal="center" vertical="center"/>
    </xf>
    <xf borderId="23" fillId="2" fontId="22" numFmtId="168" xfId="0" applyAlignment="1" applyBorder="1" applyFont="1" applyNumberFormat="1">
      <alignment horizontal="center" readingOrder="0" vertical="center"/>
    </xf>
    <xf borderId="113" fillId="2" fontId="41" numFmtId="10" xfId="0" applyAlignment="1" applyBorder="1" applyFont="1" applyNumberFormat="1">
      <alignment horizontal="center"/>
    </xf>
    <xf borderId="126" fillId="9" fontId="41" numFmtId="0" xfId="0" applyAlignment="1" applyBorder="1" applyFont="1">
      <alignment horizontal="center"/>
    </xf>
    <xf borderId="113" fillId="2" fontId="22" numFmtId="10" xfId="0" applyAlignment="1" applyBorder="1" applyFont="1" applyNumberFormat="1">
      <alignment horizontal="center" vertical="center"/>
    </xf>
    <xf borderId="107" fillId="2" fontId="22" numFmtId="10" xfId="0" applyAlignment="1" applyBorder="1" applyFont="1" applyNumberFormat="1">
      <alignment horizontal="center" vertical="center"/>
    </xf>
    <xf borderId="126" fillId="2" fontId="6" numFmtId="168" xfId="0" applyAlignment="1" applyBorder="1" applyFont="1" applyNumberFormat="1">
      <alignment vertical="center"/>
    </xf>
    <xf borderId="126" fillId="9" fontId="41" numFmtId="0" xfId="0" applyAlignment="1" applyBorder="1" applyFont="1">
      <alignment horizontal="center" readingOrder="0" vertical="center"/>
    </xf>
    <xf borderId="126" fillId="2" fontId="7" numFmtId="0" xfId="0" applyAlignment="1" applyBorder="1" applyFont="1">
      <alignment horizontal="center" readingOrder="0" vertical="center"/>
    </xf>
    <xf borderId="126" fillId="2" fontId="22" numFmtId="0" xfId="0" applyAlignment="1" applyBorder="1" applyFont="1">
      <alignment horizontal="center" readingOrder="0" vertical="center"/>
    </xf>
    <xf borderId="113" fillId="8" fontId="41" numFmtId="3" xfId="0" applyAlignment="1" applyBorder="1" applyFont="1" applyNumberFormat="1">
      <alignment horizontal="center"/>
    </xf>
    <xf borderId="107" fillId="2" fontId="22" numFmtId="0" xfId="0" applyAlignment="1" applyBorder="1" applyFont="1">
      <alignment horizontal="center"/>
    </xf>
    <xf borderId="107" fillId="2" fontId="37" numFmtId="10" xfId="0" applyAlignment="1" applyBorder="1" applyFont="1" applyNumberFormat="1">
      <alignment horizontal="center"/>
    </xf>
    <xf borderId="126" fillId="2" fontId="40" numFmtId="168" xfId="0" applyBorder="1" applyFont="1" applyNumberFormat="1"/>
    <xf borderId="33" fillId="8" fontId="41" numFmtId="3" xfId="0" applyAlignment="1" applyBorder="1" applyFont="1" applyNumberFormat="1">
      <alignment horizontal="center"/>
    </xf>
    <xf borderId="105" fillId="2" fontId="22" numFmtId="0" xfId="0" applyAlignment="1" applyBorder="1" applyFont="1">
      <alignment horizontal="center" readingOrder="0" vertical="center"/>
    </xf>
    <xf borderId="101" fillId="8" fontId="41" numFmtId="3" xfId="0" applyAlignment="1" applyBorder="1" applyFont="1" applyNumberFormat="1">
      <alignment horizontal="center"/>
    </xf>
    <xf borderId="128" fillId="2" fontId="22" numFmtId="0" xfId="0" applyAlignment="1" applyBorder="1" applyFont="1">
      <alignment horizontal="center" readingOrder="0" vertical="center"/>
    </xf>
    <xf borderId="129" fillId="2" fontId="22" numFmtId="0" xfId="0" applyAlignment="1" applyBorder="1" applyFont="1">
      <alignment horizontal="center" readingOrder="0" vertical="center"/>
    </xf>
    <xf borderId="106" fillId="2" fontId="22" numFmtId="2" xfId="0" applyAlignment="1" applyBorder="1" applyFont="1" applyNumberFormat="1">
      <alignment horizontal="center"/>
    </xf>
    <xf borderId="101" fillId="2" fontId="22" numFmtId="0" xfId="0" applyAlignment="1" applyBorder="1" applyFont="1">
      <alignment horizontal="center"/>
    </xf>
    <xf borderId="101" fillId="2" fontId="6" numFmtId="10" xfId="0" applyBorder="1" applyFont="1" applyNumberFormat="1"/>
    <xf borderId="130" fillId="2" fontId="6" numFmtId="168" xfId="0" applyBorder="1" applyFont="1" applyNumberFormat="1"/>
    <xf borderId="60" fillId="2" fontId="22" numFmtId="168" xfId="0" applyAlignment="1" applyBorder="1" applyFont="1" applyNumberFormat="1">
      <alignment horizontal="center" readingOrder="0" vertical="center"/>
    </xf>
    <xf borderId="61" fillId="2" fontId="22" numFmtId="168" xfId="0" applyAlignment="1" applyBorder="1" applyFont="1" applyNumberFormat="1">
      <alignment horizontal="center" readingOrder="0" vertical="center"/>
    </xf>
    <xf borderId="34" fillId="9" fontId="22" numFmtId="0" xfId="0" applyAlignment="1" applyBorder="1" applyFont="1">
      <alignment readingOrder="0" shrinkToFit="0" vertical="center" wrapText="1"/>
    </xf>
    <xf borderId="105" fillId="9" fontId="22" numFmtId="165" xfId="0" applyAlignment="1" applyBorder="1" applyFont="1" applyNumberFormat="1">
      <alignment horizontal="center" readingOrder="0" vertical="center"/>
    </xf>
    <xf borderId="105" fillId="9" fontId="22" numFmtId="10" xfId="0" applyAlignment="1" applyBorder="1" applyFont="1" applyNumberFormat="1">
      <alignment horizontal="center" readingOrder="0" vertical="center"/>
    </xf>
    <xf borderId="112" fillId="9" fontId="22" numFmtId="168" xfId="0" applyAlignment="1" applyBorder="1" applyFont="1" applyNumberFormat="1">
      <alignment horizontal="center" readingOrder="0" vertical="center"/>
    </xf>
    <xf borderId="91" fillId="9" fontId="19" numFmtId="0" xfId="0" applyBorder="1" applyFont="1"/>
    <xf borderId="33" fillId="2" fontId="41" numFmtId="4" xfId="0" applyAlignment="1" applyBorder="1" applyFont="1" applyNumberFormat="1">
      <alignment horizontal="center" vertical="center"/>
    </xf>
    <xf borderId="112" fillId="9" fontId="41" numFmtId="0" xfId="0" applyAlignment="1" applyBorder="1" applyFont="1">
      <alignment horizontal="center" readingOrder="0" vertical="center"/>
    </xf>
    <xf borderId="111" fillId="2" fontId="41" numFmtId="4" xfId="0" applyAlignment="1" applyBorder="1" applyFont="1" applyNumberFormat="1">
      <alignment horizontal="center" vertical="center"/>
    </xf>
    <xf borderId="34" fillId="9" fontId="41" numFmtId="0" xfId="0" applyAlignment="1" applyBorder="1" applyFont="1">
      <alignment horizontal="center" readingOrder="0" vertical="center"/>
    </xf>
    <xf borderId="111" fillId="2" fontId="41" numFmtId="165" xfId="0" applyAlignment="1" applyBorder="1" applyFont="1" applyNumberFormat="1">
      <alignment horizontal="center" vertical="center"/>
    </xf>
    <xf borderId="112" fillId="9" fontId="41" numFmtId="165" xfId="0" applyAlignment="1" applyBorder="1" applyFont="1" applyNumberFormat="1">
      <alignment horizontal="center" readingOrder="0" vertical="center"/>
    </xf>
    <xf borderId="111" fillId="2" fontId="38" numFmtId="165" xfId="0" applyAlignment="1" applyBorder="1" applyFont="1" applyNumberFormat="1">
      <alignment horizontal="center"/>
    </xf>
    <xf borderId="34" fillId="9" fontId="41" numFmtId="165" xfId="0" applyAlignment="1" applyBorder="1" applyFont="1" applyNumberFormat="1">
      <alignment horizontal="center" readingOrder="0" vertical="center"/>
    </xf>
    <xf borderId="111" fillId="9" fontId="22" numFmtId="165" xfId="0" applyAlignment="1" applyBorder="1" applyFont="1" applyNumberFormat="1">
      <alignment horizontal="center" vertical="center"/>
    </xf>
    <xf borderId="34" fillId="9" fontId="22" numFmtId="168" xfId="0" applyAlignment="1" applyBorder="1" applyFont="1" applyNumberFormat="1">
      <alignment horizontal="center" readingOrder="0" vertical="center"/>
    </xf>
    <xf borderId="111" fillId="9" fontId="41" numFmtId="165" xfId="0" applyAlignment="1" applyBorder="1" applyFont="1" applyNumberFormat="1">
      <alignment horizontal="center"/>
    </xf>
    <xf borderId="112" fillId="9" fontId="41" numFmtId="165" xfId="0" applyAlignment="1" applyBorder="1" applyFont="1" applyNumberFormat="1">
      <alignment horizontal="center" vertical="center"/>
    </xf>
    <xf borderId="112" fillId="9" fontId="6" numFmtId="168" xfId="0" applyAlignment="1" applyBorder="1" applyFont="1" applyNumberFormat="1">
      <alignment vertical="center"/>
    </xf>
    <xf borderId="105" fillId="9" fontId="22" numFmtId="165" xfId="0" applyAlignment="1" applyBorder="1" applyFont="1" applyNumberFormat="1">
      <alignment horizontal="center" vertical="center"/>
    </xf>
    <xf borderId="107" fillId="9" fontId="22" numFmtId="10" xfId="0" applyAlignment="1" applyBorder="1" applyFont="1" applyNumberFormat="1">
      <alignment horizontal="center" readingOrder="0" vertical="center"/>
    </xf>
    <xf borderId="126" fillId="9" fontId="22" numFmtId="168" xfId="0" applyAlignment="1" applyBorder="1" applyFont="1" applyNumberFormat="1">
      <alignment horizontal="center" readingOrder="0" vertical="center"/>
    </xf>
    <xf borderId="112" fillId="9" fontId="7" numFmtId="165" xfId="0" applyAlignment="1" applyBorder="1" applyFont="1" applyNumberFormat="1">
      <alignment horizontal="center" vertical="center"/>
    </xf>
    <xf borderId="111" fillId="9" fontId="41" numFmtId="4" xfId="0" applyAlignment="1" applyBorder="1" applyFont="1" applyNumberFormat="1">
      <alignment horizontal="center"/>
    </xf>
    <xf borderId="112" fillId="9" fontId="22" numFmtId="165" xfId="0" applyAlignment="1" applyBorder="1" applyFont="1" applyNumberFormat="1">
      <alignment horizontal="center" vertical="center"/>
    </xf>
    <xf borderId="111" fillId="8" fontId="41" numFmtId="3" xfId="0" applyAlignment="1" applyBorder="1" applyFont="1" applyNumberFormat="1">
      <alignment horizontal="center"/>
    </xf>
    <xf borderId="112" fillId="9" fontId="22" numFmtId="0" xfId="0" applyAlignment="1" applyBorder="1" applyFont="1">
      <alignment horizontal="center" readingOrder="0" vertical="center"/>
    </xf>
    <xf borderId="111" fillId="9" fontId="22" numFmtId="165" xfId="0" applyAlignment="1" applyBorder="1" applyFont="1" applyNumberFormat="1">
      <alignment horizontal="center"/>
    </xf>
    <xf borderId="105" fillId="9" fontId="22" numFmtId="165" xfId="0" applyAlignment="1" applyBorder="1" applyFont="1" applyNumberFormat="1">
      <alignment horizontal="center"/>
    </xf>
    <xf borderId="105" fillId="9" fontId="22" numFmtId="0" xfId="0" applyAlignment="1" applyBorder="1" applyFont="1">
      <alignment horizontal="center" readingOrder="0" vertical="center"/>
    </xf>
    <xf borderId="22" fillId="8" fontId="41" numFmtId="3" xfId="0" applyAlignment="1" applyBorder="1" applyFont="1" applyNumberFormat="1">
      <alignment horizontal="center"/>
    </xf>
    <xf borderId="94" fillId="9" fontId="22" numFmtId="0" xfId="0" applyAlignment="1" applyBorder="1" applyFont="1">
      <alignment horizontal="center" readingOrder="0" vertical="center"/>
    </xf>
    <xf borderId="95" fillId="9" fontId="22" numFmtId="0" xfId="0" applyAlignment="1" applyBorder="1" applyFont="1">
      <alignment horizontal="center" readingOrder="0" vertical="center"/>
    </xf>
    <xf borderId="113" fillId="9" fontId="6" numFmtId="2" xfId="0" applyBorder="1" applyFont="1" applyNumberFormat="1"/>
    <xf borderId="22" fillId="9" fontId="6" numFmtId="0" xfId="0" applyBorder="1" applyFont="1"/>
    <xf borderId="22" fillId="9" fontId="6" numFmtId="10" xfId="0" applyBorder="1" applyFont="1" applyNumberFormat="1"/>
    <xf borderId="116" fillId="9" fontId="6" numFmtId="168" xfId="0" applyBorder="1" applyFont="1" applyNumberFormat="1"/>
    <xf borderId="0" fillId="9" fontId="22" numFmtId="168" xfId="0" applyAlignment="1" applyFont="1" applyNumberFormat="1">
      <alignment horizontal="center" readingOrder="0" vertical="center"/>
    </xf>
    <xf borderId="91" fillId="9" fontId="22" numFmtId="168" xfId="0" applyAlignment="1" applyBorder="1" applyFont="1" applyNumberFormat="1">
      <alignment horizontal="center" readingOrder="0" vertical="center"/>
    </xf>
    <xf borderId="105" fillId="2" fontId="22" numFmtId="3" xfId="0" applyAlignment="1" applyBorder="1" applyFont="1" applyNumberFormat="1">
      <alignment horizontal="center" readingOrder="0" vertical="center"/>
    </xf>
    <xf borderId="112" fillId="2" fontId="22" numFmtId="168" xfId="0" applyAlignment="1" applyBorder="1" applyFont="1" applyNumberFormat="1">
      <alignment horizontal="center" readingOrder="0" vertical="center"/>
    </xf>
    <xf borderId="33" fillId="2" fontId="41" numFmtId="1" xfId="0" applyAlignment="1" applyBorder="1" applyFont="1" applyNumberFormat="1">
      <alignment horizontal="center" vertical="center"/>
    </xf>
    <xf borderId="112" fillId="2" fontId="41" numFmtId="1" xfId="0" applyAlignment="1" applyBorder="1" applyFont="1" applyNumberFormat="1">
      <alignment horizontal="center" readingOrder="0" vertical="center"/>
    </xf>
    <xf borderId="111" fillId="2" fontId="41" numFmtId="1" xfId="0" applyAlignment="1" applyBorder="1" applyFont="1" applyNumberFormat="1">
      <alignment horizontal="center" vertical="center"/>
    </xf>
    <xf borderId="34" fillId="2" fontId="41" numFmtId="1" xfId="0" applyAlignment="1" applyBorder="1" applyFont="1" applyNumberFormat="1">
      <alignment horizontal="center" readingOrder="0" vertical="center"/>
    </xf>
    <xf borderId="111" fillId="2" fontId="38" numFmtId="1" xfId="0" applyAlignment="1" applyBorder="1" applyFont="1" applyNumberFormat="1">
      <alignment horizontal="center"/>
    </xf>
    <xf borderId="34" fillId="2" fontId="41" numFmtId="3" xfId="0" applyAlignment="1" applyBorder="1" applyFont="1" applyNumberFormat="1">
      <alignment horizontal="center" readingOrder="0"/>
    </xf>
    <xf borderId="111" fillId="2" fontId="22" numFmtId="1" xfId="0" applyAlignment="1" applyBorder="1" applyFont="1" applyNumberFormat="1">
      <alignment horizontal="center" vertical="center"/>
    </xf>
    <xf borderId="105" fillId="2" fontId="22" numFmtId="1" xfId="0" applyAlignment="1" applyBorder="1" applyFont="1" applyNumberFormat="1">
      <alignment horizontal="center" vertical="center"/>
    </xf>
    <xf borderId="34" fillId="2" fontId="22" numFmtId="168" xfId="0" applyAlignment="1" applyBorder="1" applyFont="1" applyNumberFormat="1">
      <alignment horizontal="center" readingOrder="0" vertical="center"/>
    </xf>
    <xf borderId="112" fillId="2" fontId="41" numFmtId="3" xfId="0" applyAlignment="1" applyBorder="1" applyFont="1" applyNumberFormat="1">
      <alignment horizontal="center" readingOrder="0"/>
    </xf>
    <xf borderId="111" fillId="2" fontId="22" numFmtId="4" xfId="0" applyAlignment="1" applyBorder="1" applyFont="1" applyNumberFormat="1">
      <alignment horizontal="center" vertical="center"/>
    </xf>
    <xf borderId="105" fillId="2" fontId="22" numFmtId="4" xfId="0" applyAlignment="1" applyBorder="1" applyFont="1" applyNumberFormat="1">
      <alignment horizontal="center" vertical="center"/>
    </xf>
    <xf borderId="112" fillId="2" fontId="6" numFmtId="168" xfId="0" applyAlignment="1" applyBorder="1" applyFont="1" applyNumberFormat="1">
      <alignment vertical="center"/>
    </xf>
    <xf borderId="112" fillId="2" fontId="41" numFmtId="3" xfId="0" applyAlignment="1" applyBorder="1" applyFont="1" applyNumberFormat="1">
      <alignment horizontal="center" readingOrder="0" vertical="center"/>
    </xf>
    <xf borderId="105" fillId="2" fontId="22" numFmtId="3" xfId="0" applyAlignment="1" applyBorder="1" applyFont="1" applyNumberFormat="1">
      <alignment horizontal="center" vertical="center"/>
    </xf>
    <xf borderId="112" fillId="2" fontId="7" numFmtId="3" xfId="0" applyAlignment="1" applyBorder="1" applyFont="1" applyNumberFormat="1">
      <alignment horizontal="center" readingOrder="0" vertical="center"/>
    </xf>
    <xf borderId="112" fillId="2" fontId="22" numFmtId="3" xfId="0" applyAlignment="1" applyBorder="1" applyFont="1" applyNumberFormat="1">
      <alignment horizontal="center" readingOrder="0" vertical="center"/>
    </xf>
    <xf borderId="111" fillId="8" fontId="38" numFmtId="165" xfId="0" applyAlignment="1" applyBorder="1" applyFont="1" applyNumberFormat="1">
      <alignment horizontal="center"/>
    </xf>
    <xf borderId="105" fillId="2" fontId="22" numFmtId="168" xfId="0" applyAlignment="1" applyBorder="1" applyFont="1" applyNumberFormat="1">
      <alignment horizontal="center"/>
    </xf>
    <xf borderId="102" fillId="2" fontId="37" numFmtId="10" xfId="0" applyAlignment="1" applyBorder="1" applyFont="1" applyNumberFormat="1">
      <alignment horizontal="center"/>
    </xf>
    <xf borderId="103" fillId="2" fontId="40" numFmtId="168" xfId="0" applyBorder="1" applyFont="1" applyNumberFormat="1"/>
    <xf borderId="33" fillId="8" fontId="38" numFmtId="165" xfId="0" applyAlignment="1" applyBorder="1" applyFont="1" applyNumberFormat="1">
      <alignment horizontal="center"/>
    </xf>
    <xf borderId="105" fillId="2" fontId="22" numFmtId="168" xfId="0" applyAlignment="1" applyBorder="1" applyFont="1" applyNumberFormat="1">
      <alignment horizontal="center" readingOrder="0" vertical="center"/>
    </xf>
    <xf borderId="22" fillId="8" fontId="38" numFmtId="165" xfId="0" applyAlignment="1" applyBorder="1" applyFont="1" applyNumberFormat="1">
      <alignment horizontal="center"/>
    </xf>
    <xf borderId="94" fillId="2" fontId="22" numFmtId="168" xfId="0" applyAlignment="1" applyBorder="1" applyFont="1" applyNumberFormat="1">
      <alignment horizontal="center" readingOrder="0" vertical="center"/>
    </xf>
    <xf borderId="95" fillId="2" fontId="22" numFmtId="168" xfId="0" applyAlignment="1" applyBorder="1" applyFont="1" applyNumberFormat="1">
      <alignment horizontal="center" readingOrder="0" vertical="center"/>
    </xf>
    <xf borderId="113" fillId="2" fontId="22" numFmtId="165" xfId="0" applyAlignment="1" applyBorder="1" applyFont="1" applyNumberFormat="1">
      <alignment horizontal="center"/>
    </xf>
    <xf borderId="115" fillId="2" fontId="22" numFmtId="168" xfId="0" applyAlignment="1" applyBorder="1" applyFont="1" applyNumberFormat="1">
      <alignment horizontal="center"/>
    </xf>
    <xf borderId="22" fillId="2" fontId="6" numFmtId="10" xfId="0" applyBorder="1" applyFont="1" applyNumberFormat="1"/>
    <xf borderId="116" fillId="2" fontId="6" numFmtId="168" xfId="0" applyBorder="1" applyFont="1" applyNumberFormat="1"/>
    <xf borderId="0" fillId="2" fontId="22" numFmtId="10" xfId="0" applyAlignment="1" applyFont="1" applyNumberFormat="1">
      <alignment horizontal="center" readingOrder="0" vertical="center"/>
    </xf>
    <xf borderId="91" fillId="2" fontId="22" numFmtId="10" xfId="0" applyAlignment="1" applyBorder="1" applyFont="1" applyNumberFormat="1">
      <alignment horizontal="center" readingOrder="0" vertical="center"/>
    </xf>
    <xf borderId="33" fillId="9" fontId="41" numFmtId="2" xfId="0" applyAlignment="1" applyBorder="1" applyFont="1" applyNumberFormat="1">
      <alignment horizontal="center" vertical="center"/>
    </xf>
    <xf borderId="111" fillId="9" fontId="41" numFmtId="2" xfId="0" applyAlignment="1" applyBorder="1" applyFont="1" applyNumberFormat="1">
      <alignment horizontal="center" vertical="center"/>
    </xf>
    <xf borderId="111" fillId="2" fontId="41" numFmtId="2" xfId="0" applyAlignment="1" applyBorder="1" applyFont="1" applyNumberFormat="1">
      <alignment horizontal="center" vertical="center"/>
    </xf>
    <xf borderId="111" fillId="2" fontId="38" numFmtId="2" xfId="0" applyAlignment="1" applyBorder="1" applyFont="1" applyNumberFormat="1">
      <alignment horizontal="center"/>
    </xf>
    <xf borderId="105" fillId="9" fontId="22" numFmtId="3" xfId="0" applyAlignment="1" applyBorder="1" applyFont="1" applyNumberFormat="1">
      <alignment horizontal="center" vertical="center"/>
    </xf>
    <xf borderId="112" fillId="9" fontId="7" numFmtId="0" xfId="0" applyAlignment="1" applyBorder="1" applyFont="1">
      <alignment horizontal="center" readingOrder="0" vertical="center"/>
    </xf>
    <xf borderId="111" fillId="9" fontId="41" numFmtId="1" xfId="0" applyAlignment="1" applyBorder="1" applyFont="1" applyNumberFormat="1">
      <alignment horizontal="center" vertical="center"/>
    </xf>
    <xf borderId="33" fillId="9" fontId="41" numFmtId="1" xfId="0" applyAlignment="1" applyBorder="1" applyFont="1" applyNumberFormat="1">
      <alignment horizontal="center" vertical="center"/>
    </xf>
    <xf borderId="22" fillId="9" fontId="41" numFmtId="1" xfId="0" applyAlignment="1" applyBorder="1" applyFont="1" applyNumberFormat="1">
      <alignment horizontal="center" vertical="center"/>
    </xf>
    <xf borderId="113" fillId="9" fontId="22" numFmtId="3" xfId="0" applyAlignment="1" applyBorder="1" applyFont="1" applyNumberFormat="1">
      <alignment horizontal="center" vertical="center"/>
    </xf>
    <xf borderId="22" fillId="9" fontId="22" numFmtId="3" xfId="0" applyAlignment="1" applyBorder="1" applyFont="1" applyNumberFormat="1">
      <alignment horizontal="center" vertical="center"/>
    </xf>
    <xf borderId="22" fillId="9" fontId="6" numFmtId="10" xfId="0" applyAlignment="1" applyBorder="1" applyFont="1" applyNumberFormat="1">
      <alignment vertical="center"/>
    </xf>
    <xf borderId="116" fillId="9" fontId="6" numFmtId="168" xfId="0" applyAlignment="1" applyBorder="1" applyFont="1" applyNumberFormat="1">
      <alignment vertical="center"/>
    </xf>
    <xf borderId="105" fillId="2" fontId="22" numFmtId="165" xfId="0" applyAlignment="1" applyBorder="1" applyFont="1" applyNumberFormat="1">
      <alignment horizontal="center" readingOrder="0" vertical="center"/>
    </xf>
    <xf borderId="112" fillId="9" fontId="41" numFmtId="0" xfId="0" applyAlignment="1" applyBorder="1" applyFont="1">
      <alignment horizontal="center" vertical="center"/>
    </xf>
    <xf borderId="111" fillId="9" fontId="41" numFmtId="165" xfId="0" applyAlignment="1" applyBorder="1" applyFont="1" applyNumberFormat="1">
      <alignment horizontal="center" vertical="center"/>
    </xf>
    <xf borderId="34" fillId="9" fontId="41" numFmtId="165" xfId="0" applyAlignment="1" applyBorder="1" applyFont="1" applyNumberFormat="1">
      <alignment horizontal="center" vertical="center"/>
    </xf>
    <xf borderId="105" fillId="2" fontId="22" numFmtId="165" xfId="0" applyAlignment="1" applyBorder="1" applyFont="1" applyNumberFormat="1">
      <alignment horizontal="center" vertical="center"/>
    </xf>
    <xf borderId="34" fillId="2" fontId="22" numFmtId="165" xfId="0" applyAlignment="1" applyBorder="1" applyFont="1" applyNumberFormat="1">
      <alignment horizontal="center" readingOrder="0" vertical="center"/>
    </xf>
    <xf borderId="112" fillId="2" fontId="6" numFmtId="165" xfId="0" applyAlignment="1" applyBorder="1" applyFont="1" applyNumberFormat="1">
      <alignment vertical="center"/>
    </xf>
    <xf borderId="126" fillId="2" fontId="22" numFmtId="165" xfId="0" applyAlignment="1" applyBorder="1" applyFont="1" applyNumberFormat="1">
      <alignment horizontal="center" readingOrder="0" vertical="center"/>
    </xf>
    <xf borderId="112" fillId="2" fontId="7" numFmtId="165" xfId="0" applyAlignment="1" applyBorder="1" applyFont="1" applyNumberFormat="1">
      <alignment horizontal="center" readingOrder="0" vertical="center"/>
    </xf>
    <xf borderId="112" fillId="2" fontId="22" numFmtId="165" xfId="0" applyAlignment="1" applyBorder="1" applyFont="1" applyNumberFormat="1">
      <alignment horizontal="center" readingOrder="0" vertical="center"/>
    </xf>
    <xf borderId="112" fillId="2" fontId="22" numFmtId="0" xfId="0" applyAlignment="1" applyBorder="1" applyFont="1">
      <alignment horizontal="center" readingOrder="0" vertical="center"/>
    </xf>
    <xf borderId="0" fillId="2" fontId="22" numFmtId="0" xfId="0" applyAlignment="1" applyFont="1">
      <alignment horizontal="center" readingOrder="0" vertical="center"/>
    </xf>
    <xf borderId="113" fillId="2" fontId="22" numFmtId="3" xfId="0" applyAlignment="1" applyBorder="1" applyFont="1" applyNumberFormat="1">
      <alignment horizontal="center" vertical="center"/>
    </xf>
    <xf borderId="25" fillId="2" fontId="22" numFmtId="3" xfId="0" applyAlignment="1" applyBorder="1" applyFont="1" applyNumberFormat="1">
      <alignment horizontal="center" vertical="center"/>
    </xf>
    <xf borderId="25" fillId="2" fontId="6" numFmtId="10" xfId="0" applyAlignment="1" applyBorder="1" applyFont="1" applyNumberFormat="1">
      <alignment vertical="center"/>
    </xf>
    <xf borderId="116" fillId="2" fontId="6" numFmtId="168" xfId="0" applyAlignment="1" applyBorder="1" applyFont="1" applyNumberFormat="1">
      <alignment vertical="center"/>
    </xf>
    <xf borderId="0" fillId="2" fontId="22" numFmtId="168" xfId="0" applyAlignment="1" applyFont="1" applyNumberFormat="1">
      <alignment horizontal="center" readingOrder="0" vertical="center"/>
    </xf>
    <xf borderId="91" fillId="2" fontId="22" numFmtId="168" xfId="0" applyAlignment="1" applyBorder="1" applyFont="1" applyNumberFormat="1">
      <alignment horizontal="center" readingOrder="0" vertical="center"/>
    </xf>
    <xf borderId="33" fillId="9" fontId="41" numFmtId="10" xfId="0" applyAlignment="1" applyBorder="1" applyFont="1" applyNumberFormat="1">
      <alignment horizontal="center" vertical="center"/>
    </xf>
    <xf borderId="112" fillId="9" fontId="41" numFmtId="10" xfId="0" applyAlignment="1" applyBorder="1" applyFont="1" applyNumberFormat="1">
      <alignment horizontal="center" vertical="center"/>
    </xf>
    <xf borderId="111" fillId="9" fontId="41" numFmtId="10" xfId="0" applyAlignment="1" applyBorder="1" applyFont="1" applyNumberFormat="1">
      <alignment horizontal="center" vertical="center"/>
    </xf>
    <xf borderId="34" fillId="9" fontId="41" numFmtId="10" xfId="0" applyAlignment="1" applyBorder="1" applyFont="1" applyNumberFormat="1">
      <alignment horizontal="center" readingOrder="0" vertical="center"/>
    </xf>
    <xf borderId="112" fillId="9" fontId="41" numFmtId="10" xfId="0" applyAlignment="1" applyBorder="1" applyFont="1" applyNumberFormat="1">
      <alignment horizontal="center" readingOrder="0" vertical="center"/>
    </xf>
    <xf borderId="111" fillId="2" fontId="41" numFmtId="10" xfId="0" applyAlignment="1" applyBorder="1" applyFont="1" applyNumberFormat="1">
      <alignment horizontal="center" vertical="center"/>
    </xf>
    <xf borderId="111" fillId="2" fontId="38" numFmtId="10" xfId="0" applyAlignment="1" applyBorder="1" applyFont="1" applyNumberFormat="1">
      <alignment horizontal="center"/>
    </xf>
    <xf borderId="34" fillId="9" fontId="41" numFmtId="0" xfId="0" applyAlignment="1" applyBorder="1" applyFont="1">
      <alignment horizontal="center" vertical="center"/>
    </xf>
    <xf borderId="112" fillId="9" fontId="7" numFmtId="10" xfId="0" applyAlignment="1" applyBorder="1" applyFont="1" applyNumberFormat="1">
      <alignment horizontal="center" readingOrder="0" vertical="center"/>
    </xf>
    <xf borderId="112" fillId="9" fontId="22" numFmtId="10" xfId="0" applyAlignment="1" applyBorder="1" applyFont="1" applyNumberFormat="1">
      <alignment horizontal="center" readingOrder="0" vertical="center"/>
    </xf>
    <xf borderId="0" fillId="9" fontId="22" numFmtId="0" xfId="0" applyAlignment="1" applyFont="1">
      <alignment horizontal="center" readingOrder="0" vertical="center"/>
    </xf>
    <xf borderId="25" fillId="9" fontId="22" numFmtId="3" xfId="0" applyAlignment="1" applyBorder="1" applyFont="1" applyNumberFormat="1">
      <alignment horizontal="center" vertical="center"/>
    </xf>
    <xf borderId="25" fillId="9" fontId="6" numFmtId="10" xfId="0" applyAlignment="1" applyBorder="1" applyFont="1" applyNumberFormat="1">
      <alignment vertical="center"/>
    </xf>
    <xf borderId="105" fillId="2" fontId="22" numFmtId="171" xfId="0" applyAlignment="1" applyBorder="1" applyFont="1" applyNumberFormat="1">
      <alignment horizontal="center" vertical="center"/>
    </xf>
    <xf borderId="112" fillId="2" fontId="7" numFmtId="0" xfId="0" applyAlignment="1" applyBorder="1" applyFont="1">
      <alignment horizontal="center" readingOrder="0" vertical="center"/>
    </xf>
    <xf borderId="33" fillId="9" fontId="41" numFmtId="172" xfId="0" applyAlignment="1" applyBorder="1" applyFont="1" applyNumberFormat="1">
      <alignment horizontal="center" vertical="center"/>
    </xf>
    <xf borderId="111" fillId="9" fontId="41" numFmtId="165" xfId="0" applyAlignment="1" applyBorder="1" applyFont="1" applyNumberFormat="1">
      <alignment horizontal="center" readingOrder="0" vertical="center"/>
    </xf>
    <xf borderId="105" fillId="9" fontId="22" numFmtId="1" xfId="0" applyAlignment="1" applyBorder="1" applyFont="1" applyNumberFormat="1">
      <alignment horizontal="center" readingOrder="0" vertical="center"/>
    </xf>
    <xf borderId="111" fillId="9" fontId="22" numFmtId="171" xfId="0" applyAlignment="1" applyBorder="1" applyFont="1" applyNumberFormat="1">
      <alignment horizontal="center" vertical="center"/>
    </xf>
    <xf borderId="112" fillId="2" fontId="7" numFmtId="10" xfId="0" applyAlignment="1" applyBorder="1" applyFont="1" applyNumberFormat="1">
      <alignment horizontal="center" readingOrder="0" vertical="center"/>
    </xf>
    <xf borderId="112" fillId="2" fontId="22" numFmtId="10" xfId="0" applyAlignment="1" applyBorder="1" applyFont="1" applyNumberFormat="1">
      <alignment horizontal="center" readingOrder="0" vertical="center"/>
    </xf>
    <xf borderId="105" fillId="9" fontId="22" numFmtId="171" xfId="0" applyAlignment="1" applyBorder="1" applyFont="1" applyNumberFormat="1">
      <alignment horizontal="center" vertical="center"/>
    </xf>
    <xf borderId="111" fillId="9" fontId="22" numFmtId="4" xfId="0" applyAlignment="1" applyBorder="1" applyFont="1" applyNumberFormat="1">
      <alignment horizontal="center" vertical="center"/>
    </xf>
    <xf borderId="33" fillId="9" fontId="41" numFmtId="165" xfId="0" applyAlignment="1" applyBorder="1" applyFont="1" applyNumberFormat="1">
      <alignment horizontal="center" vertical="center"/>
    </xf>
    <xf borderId="34" fillId="8" fontId="22" numFmtId="165" xfId="0" applyAlignment="1" applyBorder="1" applyFont="1" applyNumberFormat="1">
      <alignment readingOrder="0" shrinkToFit="0" vertical="center" wrapText="1"/>
    </xf>
    <xf borderId="33" fillId="2" fontId="41" numFmtId="10" xfId="0" applyAlignment="1" applyBorder="1" applyFont="1" applyNumberFormat="1">
      <alignment horizontal="center" vertical="center"/>
    </xf>
    <xf borderId="112" fillId="2" fontId="41" numFmtId="10" xfId="0" applyAlignment="1" applyBorder="1" applyFont="1" applyNumberFormat="1">
      <alignment horizontal="center" readingOrder="0" vertical="center"/>
    </xf>
    <xf borderId="112" fillId="2" fontId="41" numFmtId="165" xfId="0" applyAlignment="1" applyBorder="1" applyFont="1" applyNumberFormat="1">
      <alignment horizontal="center" vertical="center"/>
    </xf>
    <xf borderId="111" fillId="9" fontId="41" numFmtId="10" xfId="0" applyAlignment="1" applyBorder="1" applyFont="1" applyNumberFormat="1">
      <alignment horizontal="center"/>
    </xf>
    <xf borderId="105" fillId="2" fontId="41" numFmtId="165" xfId="0" applyAlignment="1" applyBorder="1" applyFont="1" applyNumberFormat="1">
      <alignment horizontal="center" vertical="center"/>
    </xf>
    <xf borderId="105" fillId="2" fontId="41" numFmtId="10" xfId="0" applyAlignment="1" applyBorder="1" applyFont="1" applyNumberFormat="1">
      <alignment horizontal="center" vertical="center"/>
    </xf>
    <xf borderId="111" fillId="9" fontId="41" numFmtId="173" xfId="0" applyAlignment="1" applyBorder="1" applyFont="1" applyNumberFormat="1">
      <alignment horizontal="center"/>
    </xf>
    <xf borderId="34" fillId="9" fontId="37" numFmtId="165" xfId="0" applyAlignment="1" applyBorder="1" applyFont="1" applyNumberFormat="1">
      <alignment horizontal="center" readingOrder="0" vertical="center"/>
    </xf>
    <xf borderId="110" fillId="9" fontId="19" numFmtId="0" xfId="0" applyBorder="1" applyFont="1"/>
    <xf borderId="33" fillId="9" fontId="41" numFmtId="173" xfId="0" applyAlignment="1" applyBorder="1" applyFont="1" applyNumberFormat="1">
      <alignment horizontal="center"/>
    </xf>
    <xf borderId="22" fillId="9" fontId="41" numFmtId="173" xfId="0" applyAlignment="1" applyBorder="1" applyFont="1" applyNumberFormat="1">
      <alignment horizontal="center"/>
    </xf>
    <xf borderId="113" fillId="9" fontId="41" numFmtId="173" xfId="0" applyAlignment="1" applyBorder="1" applyFont="1" applyNumberFormat="1">
      <alignment horizontal="center"/>
    </xf>
    <xf borderId="113" fillId="2" fontId="41" numFmtId="165" xfId="0" applyAlignment="1" applyBorder="1" applyFont="1" applyNumberFormat="1">
      <alignment horizontal="center" vertical="center"/>
    </xf>
    <xf borderId="116" fillId="2" fontId="41" numFmtId="165" xfId="0" applyAlignment="1" applyBorder="1" applyFont="1" applyNumberFormat="1">
      <alignment horizontal="center" vertical="center"/>
    </xf>
    <xf borderId="0" fillId="9" fontId="22" numFmtId="165" xfId="0" applyAlignment="1" applyFont="1" applyNumberFormat="1">
      <alignment horizontal="center" readingOrder="0" vertical="center"/>
    </xf>
    <xf borderId="91" fillId="9" fontId="22" numFmtId="165" xfId="0" applyAlignment="1" applyBorder="1" applyFont="1" applyNumberFormat="1">
      <alignment horizontal="center" readingOrder="0" vertical="center"/>
    </xf>
    <xf borderId="34" fillId="2" fontId="41" numFmtId="164" xfId="0" applyAlignment="1" applyBorder="1" applyFont="1" applyNumberFormat="1">
      <alignment readingOrder="0" shrinkToFit="0" vertical="center" wrapText="1"/>
    </xf>
    <xf borderId="105" fillId="2" fontId="22" numFmtId="164" xfId="0" applyAlignment="1" applyBorder="1" applyFont="1" applyNumberFormat="1">
      <alignment horizontal="center" readingOrder="0" vertical="center"/>
    </xf>
    <xf borderId="122" fillId="2" fontId="22" numFmtId="164" xfId="0" applyAlignment="1" applyBorder="1" applyFont="1" applyNumberFormat="1">
      <alignment horizontal="center" readingOrder="0" vertical="center"/>
    </xf>
    <xf borderId="124" fillId="2" fontId="22" numFmtId="164" xfId="0" applyAlignment="1" applyBorder="1" applyFont="1" applyNumberFormat="1">
      <alignment horizontal="center" readingOrder="0" vertical="center"/>
    </xf>
    <xf borderId="125" fillId="2" fontId="22" numFmtId="164" xfId="0" applyAlignment="1" applyBorder="1" applyFont="1" applyNumberFormat="1">
      <alignment horizontal="center" readingOrder="0" vertical="center"/>
    </xf>
    <xf borderId="120" fillId="2" fontId="22" numFmtId="164" xfId="0" applyAlignment="1" applyBorder="1" applyFont="1" applyNumberFormat="1">
      <alignment horizontal="center" readingOrder="0" vertical="center"/>
    </xf>
    <xf borderId="111" fillId="2" fontId="22" numFmtId="164" xfId="0" applyAlignment="1" applyBorder="1" applyFont="1" applyNumberFormat="1">
      <alignment horizontal="center" readingOrder="0" vertical="center"/>
    </xf>
    <xf borderId="112" fillId="2" fontId="22" numFmtId="164" xfId="0" applyAlignment="1" applyBorder="1" applyFont="1" applyNumberFormat="1">
      <alignment horizontal="center" readingOrder="0" vertical="center"/>
    </xf>
    <xf borderId="34" fillId="2" fontId="22" numFmtId="164" xfId="0" applyAlignment="1" applyBorder="1" applyFont="1" applyNumberFormat="1">
      <alignment horizontal="center" readingOrder="0" vertical="center"/>
    </xf>
    <xf borderId="105" fillId="2" fontId="22" numFmtId="164" xfId="0" applyAlignment="1" applyBorder="1" applyFont="1" applyNumberFormat="1">
      <alignment horizontal="center" vertical="center"/>
    </xf>
    <xf borderId="111" fillId="2" fontId="41" numFmtId="164" xfId="0" applyAlignment="1" applyBorder="1" applyFont="1" applyNumberFormat="1">
      <alignment horizontal="center"/>
    </xf>
    <xf borderId="111" fillId="2" fontId="22" numFmtId="164" xfId="0" applyAlignment="1" applyBorder="1" applyFont="1" applyNumberFormat="1">
      <alignment horizontal="center" vertical="center"/>
    </xf>
    <xf borderId="112" fillId="2" fontId="7" numFmtId="164" xfId="0" applyAlignment="1" applyBorder="1" applyFont="1" applyNumberFormat="1">
      <alignment horizontal="center" vertical="center"/>
    </xf>
    <xf borderId="105" fillId="2" fontId="22" numFmtId="164" xfId="0" applyAlignment="1" applyBorder="1" applyFont="1" applyNumberFormat="1">
      <alignment horizontal="center"/>
    </xf>
    <xf borderId="105" fillId="2" fontId="6" numFmtId="164" xfId="0" applyBorder="1" applyFont="1" applyNumberFormat="1"/>
    <xf borderId="112" fillId="2" fontId="6" numFmtId="164" xfId="0" applyBorder="1" applyFont="1" applyNumberFormat="1"/>
    <xf borderId="131" fillId="9" fontId="41" numFmtId="173" xfId="0" applyAlignment="1" applyBorder="1" applyFont="1" applyNumberFormat="1">
      <alignment horizontal="center"/>
    </xf>
    <xf borderId="132" fillId="2" fontId="22" numFmtId="164" xfId="0" applyAlignment="1" applyBorder="1" applyFont="1" applyNumberFormat="1">
      <alignment horizontal="center" readingOrder="0" vertical="center"/>
    </xf>
    <xf borderId="133" fillId="2" fontId="22" numFmtId="164" xfId="0" applyAlignment="1" applyBorder="1" applyFont="1" applyNumberFormat="1">
      <alignment horizontal="center" readingOrder="0" vertical="center"/>
    </xf>
    <xf borderId="119" fillId="2" fontId="22" numFmtId="164" xfId="0" applyAlignment="1" applyBorder="1" applyFont="1" applyNumberFormat="1">
      <alignment horizontal="center"/>
    </xf>
    <xf borderId="131" fillId="2" fontId="22" numFmtId="164" xfId="0" applyAlignment="1" applyBorder="1" applyFont="1" applyNumberFormat="1">
      <alignment horizontal="center"/>
    </xf>
    <xf borderId="131" fillId="2" fontId="6" numFmtId="164" xfId="0" applyBorder="1" applyFont="1" applyNumberFormat="1"/>
    <xf borderId="134" fillId="2" fontId="6" numFmtId="164" xfId="0" applyBorder="1" applyFont="1" applyNumberFormat="1"/>
    <xf borderId="135" fillId="2" fontId="22" numFmtId="164" xfId="0" applyAlignment="1" applyBorder="1" applyFont="1" applyNumberFormat="1">
      <alignment horizontal="center" readingOrder="0" vertical="center"/>
    </xf>
    <xf borderId="134" fillId="2" fontId="22" numFmtId="164" xfId="0" applyAlignment="1" applyBorder="1" applyFont="1" applyNumberFormat="1">
      <alignment horizontal="center" readingOrder="0" vertical="center"/>
    </xf>
    <xf borderId="109" fillId="9" fontId="22" numFmtId="0" xfId="0" applyAlignment="1" applyBorder="1" applyFont="1">
      <alignment readingOrder="0" shrinkToFit="0" vertical="center" wrapText="1"/>
    </xf>
    <xf borderId="105" fillId="9" fontId="22" numFmtId="164" xfId="0" applyAlignment="1" applyBorder="1" applyFont="1" applyNumberFormat="1">
      <alignment horizontal="center" readingOrder="0" vertical="center"/>
    </xf>
    <xf borderId="105" fillId="9" fontId="22" numFmtId="169" xfId="0" applyAlignment="1" applyBorder="1" applyFont="1" applyNumberFormat="1">
      <alignment horizontal="center" readingOrder="0" vertical="center"/>
    </xf>
    <xf borderId="9" fillId="9" fontId="22" numFmtId="164" xfId="0" applyAlignment="1" applyBorder="1" applyFont="1" applyNumberFormat="1">
      <alignment horizontal="center" readingOrder="0" vertical="center"/>
    </xf>
    <xf borderId="0" fillId="9" fontId="22" numFmtId="164" xfId="0" applyAlignment="1" applyFont="1" applyNumberFormat="1">
      <alignment horizontal="center" readingOrder="0" vertical="center"/>
    </xf>
    <xf borderId="108" fillId="9" fontId="22" numFmtId="164" xfId="0" applyAlignment="1" applyBorder="1" applyFont="1" applyNumberFormat="1">
      <alignment horizontal="center" readingOrder="0" vertical="center"/>
    </xf>
    <xf borderId="111" fillId="9" fontId="22" numFmtId="164" xfId="0" applyAlignment="1" applyBorder="1" applyFont="1" applyNumberFormat="1">
      <alignment horizontal="center" readingOrder="0" vertical="center"/>
    </xf>
    <xf borderId="112" fillId="9" fontId="22" numFmtId="164" xfId="0" applyAlignment="1" applyBorder="1" applyFont="1" applyNumberFormat="1">
      <alignment horizontal="center" readingOrder="0" vertical="center"/>
    </xf>
    <xf borderId="111" fillId="9" fontId="41" numFmtId="164" xfId="0" applyAlignment="1" applyBorder="1" applyFont="1" applyNumberFormat="1">
      <alignment horizontal="center" readingOrder="0" vertical="center"/>
    </xf>
    <xf borderId="111" fillId="2" fontId="41" numFmtId="164" xfId="0" applyAlignment="1" applyBorder="1" applyFont="1" applyNumberFormat="1">
      <alignment horizontal="center" readingOrder="0" vertical="center"/>
    </xf>
    <xf borderId="111" fillId="2" fontId="38" numFmtId="164" xfId="0" applyAlignment="1" applyBorder="1" applyFont="1" applyNumberFormat="1">
      <alignment horizontal="center" readingOrder="0"/>
    </xf>
    <xf borderId="34" fillId="9" fontId="22" numFmtId="164" xfId="0" applyAlignment="1" applyBorder="1" applyFont="1" applyNumberFormat="1">
      <alignment horizontal="center" readingOrder="0" vertical="center"/>
    </xf>
    <xf borderId="111" fillId="9" fontId="22" numFmtId="164" xfId="0" applyAlignment="1" applyBorder="1" applyFont="1" applyNumberFormat="1">
      <alignment horizontal="center" vertical="center"/>
    </xf>
    <xf borderId="105" fillId="9" fontId="22" numFmtId="164" xfId="0" applyAlignment="1" applyBorder="1" applyFont="1" applyNumberFormat="1">
      <alignment horizontal="center" vertical="center"/>
    </xf>
    <xf borderId="111" fillId="9" fontId="41" numFmtId="164" xfId="0" applyAlignment="1" applyBorder="1" applyFont="1" applyNumberFormat="1">
      <alignment horizontal="center"/>
    </xf>
    <xf borderId="112" fillId="9" fontId="7" numFmtId="164" xfId="0" applyAlignment="1" applyBorder="1" applyFont="1" applyNumberFormat="1">
      <alignment horizontal="center" vertical="center"/>
    </xf>
    <xf borderId="105" fillId="9" fontId="6" numFmtId="164" xfId="0" applyAlignment="1" applyBorder="1" applyFont="1" applyNumberFormat="1">
      <alignment vertical="center"/>
    </xf>
    <xf borderId="112" fillId="9" fontId="6" numFmtId="164" xfId="0" applyAlignment="1" applyBorder="1" applyFont="1" applyNumberFormat="1">
      <alignment vertical="center"/>
    </xf>
    <xf borderId="111" fillId="9" fontId="22" numFmtId="164" xfId="0" applyAlignment="1" applyBorder="1" applyFont="1" applyNumberFormat="1">
      <alignment horizontal="center"/>
    </xf>
    <xf borderId="105" fillId="9" fontId="22" numFmtId="164" xfId="0" applyAlignment="1" applyBorder="1" applyFont="1" applyNumberFormat="1">
      <alignment horizontal="center"/>
    </xf>
    <xf borderId="105" fillId="9" fontId="6" numFmtId="164" xfId="0" applyBorder="1" applyFont="1" applyNumberFormat="1"/>
    <xf borderId="112" fillId="9" fontId="6" numFmtId="164" xfId="0" applyBorder="1" applyFont="1" applyNumberFormat="1"/>
    <xf borderId="9" fillId="9" fontId="41" numFmtId="173" xfId="0" applyAlignment="1" applyBorder="1" applyFont="1" applyNumberFormat="1">
      <alignment horizontal="center"/>
    </xf>
    <xf borderId="108" fillId="9" fontId="22" numFmtId="164" xfId="0" applyAlignment="1" applyBorder="1" applyFont="1" applyNumberFormat="1">
      <alignment horizontal="center"/>
    </xf>
    <xf borderId="0" fillId="9" fontId="22" numFmtId="164" xfId="0" applyAlignment="1" applyFont="1" applyNumberFormat="1">
      <alignment horizontal="center"/>
    </xf>
    <xf borderId="0" fillId="9" fontId="6" numFmtId="164" xfId="0" applyFont="1" applyNumberFormat="1"/>
    <xf borderId="91" fillId="9" fontId="6" numFmtId="164" xfId="0" applyBorder="1" applyFont="1" applyNumberFormat="1"/>
    <xf borderId="119" fillId="2" fontId="19" numFmtId="0" xfId="0" applyBorder="1" applyFont="1"/>
    <xf borderId="121" fillId="2" fontId="22" numFmtId="0" xfId="0" applyAlignment="1" applyBorder="1" applyFont="1">
      <alignment readingOrder="0" shrinkToFit="0" vertical="center" wrapText="1"/>
    </xf>
    <xf borderId="121" fillId="2" fontId="19" numFmtId="0" xfId="0" applyBorder="1" applyFont="1"/>
    <xf borderId="122" fillId="2" fontId="19" numFmtId="0" xfId="0" applyBorder="1" applyFont="1"/>
    <xf borderId="123" fillId="2" fontId="22" numFmtId="164" xfId="0" applyAlignment="1" applyBorder="1" applyFont="1" applyNumberFormat="1">
      <alignment horizontal="center" readingOrder="0" vertical="center"/>
    </xf>
    <xf borderId="123" fillId="2" fontId="22" numFmtId="169" xfId="0" applyAlignment="1" applyBorder="1" applyFont="1" applyNumberFormat="1">
      <alignment horizontal="center" readingOrder="0" vertical="center"/>
    </xf>
    <xf borderId="123" fillId="2" fontId="22" numFmtId="10" xfId="0" applyAlignment="1" applyBorder="1" applyFont="1" applyNumberFormat="1">
      <alignment horizontal="center" readingOrder="0" vertical="center"/>
    </xf>
    <xf borderId="124" fillId="2" fontId="22" numFmtId="168" xfId="0" applyAlignment="1" applyBorder="1" applyFont="1" applyNumberFormat="1">
      <alignment horizontal="center" readingOrder="0" vertical="center"/>
    </xf>
    <xf borderId="134" fillId="2" fontId="19" numFmtId="0" xfId="0" applyBorder="1" applyFont="1"/>
    <xf borderId="9" fillId="2" fontId="22" numFmtId="164" xfId="0" applyAlignment="1" applyBorder="1" applyFont="1" applyNumberFormat="1">
      <alignment horizontal="center" readingOrder="0" vertical="center"/>
    </xf>
    <xf borderId="0" fillId="2" fontId="22" numFmtId="164" xfId="0" applyAlignment="1" applyFont="1" applyNumberFormat="1">
      <alignment horizontal="center" readingOrder="0" vertical="center"/>
    </xf>
    <xf borderId="108" fillId="2" fontId="22" numFmtId="164" xfId="0" applyAlignment="1" applyBorder="1" applyFont="1" applyNumberFormat="1">
      <alignment horizontal="center" readingOrder="0" vertical="center"/>
    </xf>
    <xf borderId="136" fillId="2" fontId="22" numFmtId="164" xfId="0" applyAlignment="1" applyBorder="1" applyFont="1" applyNumberFormat="1">
      <alignment horizontal="center" readingOrder="0" vertical="center"/>
    </xf>
    <xf borderId="117" fillId="2" fontId="22" numFmtId="164" xfId="0" applyAlignment="1" applyBorder="1" applyFont="1" applyNumberFormat="1">
      <alignment horizontal="center" readingOrder="0" vertical="center"/>
    </xf>
    <xf borderId="125" fillId="9" fontId="41" numFmtId="164" xfId="0" applyAlignment="1" applyBorder="1" applyFont="1" applyNumberFormat="1">
      <alignment horizontal="center" readingOrder="0" vertical="center"/>
    </xf>
    <xf borderId="125" fillId="2" fontId="41" numFmtId="164" xfId="0" applyAlignment="1" applyBorder="1" applyFont="1" applyNumberFormat="1">
      <alignment horizontal="center" readingOrder="0" vertical="center"/>
    </xf>
    <xf borderId="125" fillId="2" fontId="38" numFmtId="164" xfId="0" applyAlignment="1" applyBorder="1" applyFont="1" applyNumberFormat="1">
      <alignment horizontal="center" readingOrder="0"/>
    </xf>
    <xf borderId="125" fillId="2" fontId="22" numFmtId="164" xfId="0" applyAlignment="1" applyBorder="1" applyFont="1" applyNumberFormat="1">
      <alignment horizontal="center" vertical="center"/>
    </xf>
    <xf borderId="123" fillId="2" fontId="22" numFmtId="164" xfId="0" applyAlignment="1" applyBorder="1" applyFont="1" applyNumberFormat="1">
      <alignment horizontal="center" vertical="center"/>
    </xf>
    <xf borderId="120" fillId="2" fontId="22" numFmtId="168" xfId="0" applyAlignment="1" applyBorder="1" applyFont="1" applyNumberFormat="1">
      <alignment horizontal="center" readingOrder="0" vertical="center"/>
    </xf>
    <xf borderId="136" fillId="2" fontId="41" numFmtId="164" xfId="0" applyAlignment="1" applyBorder="1" applyFont="1" applyNumberFormat="1">
      <alignment horizontal="center"/>
    </xf>
    <xf borderId="136" fillId="2" fontId="22" numFmtId="164" xfId="0" applyAlignment="1" applyBorder="1" applyFont="1" applyNumberFormat="1">
      <alignment horizontal="center" vertical="center"/>
    </xf>
    <xf borderId="137" fillId="2" fontId="22" numFmtId="164" xfId="0" applyAlignment="1" applyBorder="1" applyFont="1" applyNumberFormat="1">
      <alignment horizontal="center" vertical="center"/>
    </xf>
    <xf borderId="137" fillId="2" fontId="22" numFmtId="10" xfId="0" applyAlignment="1" applyBorder="1" applyFont="1" applyNumberFormat="1">
      <alignment horizontal="center" vertical="center"/>
    </xf>
    <xf borderId="117" fillId="2" fontId="6" numFmtId="168" xfId="0" applyAlignment="1" applyBorder="1" applyFont="1" applyNumberFormat="1">
      <alignment vertical="center"/>
    </xf>
    <xf borderId="117" fillId="2" fontId="7" numFmtId="164" xfId="0" applyAlignment="1" applyBorder="1" applyFont="1" applyNumberFormat="1">
      <alignment horizontal="center" vertical="center"/>
    </xf>
    <xf borderId="137" fillId="2" fontId="6" numFmtId="164" xfId="0" applyAlignment="1" applyBorder="1" applyFont="1" applyNumberFormat="1">
      <alignment vertical="center"/>
    </xf>
    <xf borderId="117" fillId="2" fontId="6" numFmtId="164" xfId="0" applyAlignment="1" applyBorder="1" applyFont="1" applyNumberFormat="1">
      <alignment vertical="center"/>
    </xf>
    <xf borderId="125" fillId="9" fontId="41" numFmtId="173" xfId="0" applyAlignment="1" applyBorder="1" applyFont="1" applyNumberFormat="1">
      <alignment horizontal="center"/>
    </xf>
    <xf borderId="136" fillId="9" fontId="41" numFmtId="173" xfId="0" applyAlignment="1" applyBorder="1" applyFont="1" applyNumberFormat="1">
      <alignment horizontal="center"/>
    </xf>
    <xf borderId="125" fillId="2" fontId="22" numFmtId="164" xfId="0" applyAlignment="1" applyBorder="1" applyFont="1" applyNumberFormat="1">
      <alignment horizontal="center"/>
    </xf>
    <xf borderId="123" fillId="2" fontId="22" numFmtId="164" xfId="0" applyAlignment="1" applyBorder="1" applyFont="1" applyNumberFormat="1">
      <alignment horizontal="center"/>
    </xf>
    <xf borderId="123" fillId="2" fontId="6" numFmtId="164" xfId="0" applyBorder="1" applyFont="1" applyNumberFormat="1"/>
    <xf borderId="124" fillId="2" fontId="6" numFmtId="164" xfId="0" applyBorder="1" applyFont="1" applyNumberFormat="1"/>
    <xf borderId="108" fillId="2" fontId="22" numFmtId="164" xfId="0" applyAlignment="1" applyBorder="1" applyFont="1" applyNumberFormat="1">
      <alignment horizontal="center"/>
    </xf>
    <xf borderId="0" fillId="2" fontId="22" numFmtId="164" xfId="0" applyAlignment="1" applyFont="1" applyNumberFormat="1">
      <alignment horizontal="center"/>
    </xf>
    <xf borderId="0" fillId="2" fontId="6" numFmtId="164" xfId="0" applyFont="1" applyNumberFormat="1"/>
    <xf borderId="91" fillId="2" fontId="6" numFmtId="164" xfId="0" applyBorder="1" applyFont="1" applyNumberFormat="1"/>
    <xf borderId="138" fillId="11" fontId="36" numFmtId="0" xfId="0" applyAlignment="1" applyBorder="1" applyFill="1" applyFont="1">
      <alignment horizontal="center" readingOrder="0" shrinkToFit="0" textRotation="90" vertical="center" wrapText="1"/>
    </xf>
    <xf borderId="25" fillId="9" fontId="44" numFmtId="3" xfId="0" applyAlignment="1" applyBorder="1" applyFont="1" applyNumberFormat="1">
      <alignment readingOrder="0" shrinkToFit="0" vertical="center" wrapText="1"/>
    </xf>
    <xf borderId="25" fillId="9" fontId="19" numFmtId="0" xfId="0" applyBorder="1" applyFont="1"/>
    <xf borderId="22" fillId="9" fontId="19" numFmtId="0" xfId="0" applyBorder="1" applyFont="1"/>
    <xf borderId="107" fillId="9" fontId="37" numFmtId="10" xfId="0" applyAlignment="1" applyBorder="1" applyFont="1" applyNumberFormat="1">
      <alignment horizontal="center" readingOrder="0" vertical="center"/>
    </xf>
    <xf borderId="23" fillId="9" fontId="44" numFmtId="10" xfId="0" applyAlignment="1" applyBorder="1" applyFont="1" applyNumberFormat="1">
      <alignment horizontal="center" readingOrder="0" vertical="center"/>
    </xf>
    <xf borderId="139" fillId="9" fontId="19" numFmtId="0" xfId="0" applyBorder="1" applyFont="1"/>
    <xf borderId="0" fillId="2" fontId="45" numFmtId="10" xfId="0" applyAlignment="1" applyFont="1" applyNumberFormat="1">
      <alignment horizontal="center"/>
    </xf>
    <xf borderId="113" fillId="9" fontId="44" numFmtId="10" xfId="0" applyAlignment="1" applyBorder="1" applyFont="1" applyNumberFormat="1">
      <alignment horizontal="center" readingOrder="0" vertical="center"/>
    </xf>
    <xf borderId="127" fillId="9" fontId="44" numFmtId="10" xfId="0" applyAlignment="1" applyBorder="1" applyFont="1" applyNumberFormat="1">
      <alignment horizontal="center" readingOrder="0" vertical="center"/>
    </xf>
    <xf borderId="106" fillId="9" fontId="44" numFmtId="10" xfId="0" applyAlignment="1" applyBorder="1" applyFont="1" applyNumberFormat="1">
      <alignment horizontal="center" readingOrder="0" vertical="center"/>
    </xf>
    <xf borderId="140" fillId="9" fontId="44" numFmtId="10" xfId="0" applyAlignment="1" applyBorder="1" applyFont="1" applyNumberFormat="1">
      <alignment horizontal="center" readingOrder="0" vertical="center"/>
    </xf>
    <xf borderId="106" fillId="9" fontId="46" numFmtId="10" xfId="0" applyAlignment="1" applyBorder="1" applyFont="1" applyNumberFormat="1">
      <alignment horizontal="center"/>
    </xf>
    <xf borderId="99" fillId="9" fontId="44" numFmtId="10" xfId="0" applyAlignment="1" applyBorder="1" applyFont="1" applyNumberFormat="1">
      <alignment horizontal="center" readingOrder="0" vertical="center"/>
    </xf>
    <xf borderId="130" fillId="9" fontId="19" numFmtId="0" xfId="0" applyBorder="1" applyFont="1"/>
    <xf borderId="103" fillId="9" fontId="44" numFmtId="10" xfId="0" applyAlignment="1" applyBorder="1" applyFont="1" applyNumberFormat="1">
      <alignment horizontal="center" readingOrder="0" vertical="center"/>
    </xf>
    <xf borderId="102" fillId="9" fontId="44" numFmtId="10" xfId="0" applyAlignment="1" applyBorder="1" applyFont="1" applyNumberFormat="1">
      <alignment horizontal="center" readingOrder="0" vertical="center"/>
    </xf>
    <xf borderId="106" fillId="9" fontId="44" numFmtId="10" xfId="0" applyAlignment="1" applyBorder="1" applyFont="1" applyNumberFormat="1">
      <alignment horizontal="center" vertical="center"/>
    </xf>
    <xf borderId="130" fillId="9" fontId="8" numFmtId="0" xfId="0" applyBorder="1" applyFont="1"/>
    <xf borderId="22" fillId="9" fontId="37" numFmtId="10" xfId="0" applyAlignment="1" applyBorder="1" applyFont="1" applyNumberFormat="1">
      <alignment horizontal="center" readingOrder="0" vertical="center"/>
    </xf>
    <xf borderId="102" fillId="9" fontId="6" numFmtId="10" xfId="0" applyBorder="1" applyFont="1" applyNumberFormat="1"/>
    <xf borderId="22" fillId="9" fontId="44" numFmtId="10" xfId="0" applyAlignment="1" applyBorder="1" applyFont="1" applyNumberFormat="1">
      <alignment horizontal="center" readingOrder="0" vertical="center"/>
    </xf>
    <xf borderId="126" fillId="9" fontId="44" numFmtId="10" xfId="0" applyAlignment="1" applyBorder="1" applyFont="1" applyNumberFormat="1">
      <alignment horizontal="center" readingOrder="0" vertical="center"/>
    </xf>
    <xf borderId="101" fillId="9" fontId="44" numFmtId="10" xfId="0" applyAlignment="1" applyBorder="1" applyFont="1" applyNumberFormat="1">
      <alignment horizontal="center" readingOrder="0" vertical="center"/>
    </xf>
    <xf borderId="113" fillId="9" fontId="44" numFmtId="10" xfId="0" applyAlignment="1" applyBorder="1" applyFont="1" applyNumberFormat="1">
      <alignment horizontal="center"/>
    </xf>
    <xf borderId="116" fillId="9" fontId="6" numFmtId="10" xfId="0" applyBorder="1" applyFont="1" applyNumberFormat="1"/>
    <xf borderId="116" fillId="9" fontId="19" numFmtId="0" xfId="0" applyBorder="1" applyFont="1"/>
    <xf borderId="22" fillId="9" fontId="44" numFmtId="3" xfId="0" applyAlignment="1" applyBorder="1" applyFont="1" applyNumberFormat="1">
      <alignment horizontal="center" readingOrder="0" vertical="center"/>
    </xf>
    <xf borderId="107" fillId="9" fontId="44" numFmtId="3" xfId="0" applyAlignment="1" applyBorder="1" applyFont="1" applyNumberFormat="1">
      <alignment horizontal="center" readingOrder="0" vertical="center"/>
    </xf>
    <xf borderId="138" fillId="2" fontId="19" numFmtId="0" xfId="0" applyBorder="1" applyFont="1"/>
    <xf borderId="109" fillId="2" fontId="37" numFmtId="0" xfId="0" applyAlignment="1" applyBorder="1" applyFont="1">
      <alignment readingOrder="0" shrinkToFit="0" vertical="center" wrapText="1"/>
    </xf>
    <xf borderId="141" fillId="2" fontId="6" numFmtId="168" xfId="0" applyAlignment="1" applyBorder="1" applyFont="1" applyNumberFormat="1">
      <alignment vertical="center"/>
    </xf>
    <xf borderId="111" fillId="2" fontId="38" numFmtId="168" xfId="0" applyAlignment="1" applyBorder="1" applyFont="1" applyNumberFormat="1">
      <alignment horizontal="center" readingOrder="0" vertical="center"/>
    </xf>
    <xf borderId="34" fillId="2" fontId="38" numFmtId="168" xfId="0" applyAlignment="1" applyBorder="1" applyFont="1" applyNumberFormat="1">
      <alignment horizontal="center" readingOrder="0" vertical="center"/>
    </xf>
    <xf borderId="112" fillId="2" fontId="38" numFmtId="168" xfId="0" applyAlignment="1" applyBorder="1" applyFont="1" applyNumberFormat="1">
      <alignment horizontal="center" readingOrder="0" vertical="center"/>
    </xf>
    <xf borderId="111" fillId="8" fontId="38" numFmtId="168" xfId="0" applyAlignment="1" applyBorder="1" applyFont="1" applyNumberFormat="1">
      <alignment horizontal="center" readingOrder="0"/>
    </xf>
    <xf borderId="112" fillId="2" fontId="38" numFmtId="168" xfId="0" applyAlignment="1" applyBorder="1" applyFont="1" applyNumberFormat="1">
      <alignment horizontal="center" readingOrder="0"/>
    </xf>
    <xf borderId="111" fillId="2" fontId="37" numFmtId="165" xfId="0" applyAlignment="1" applyBorder="1" applyFont="1" applyNumberFormat="1">
      <alignment horizontal="center" vertical="center"/>
    </xf>
    <xf borderId="105" fillId="2" fontId="37" numFmtId="168" xfId="0" applyAlignment="1" applyBorder="1" applyFont="1" applyNumberFormat="1">
      <alignment horizontal="center" vertical="center"/>
    </xf>
    <xf borderId="34" fillId="2" fontId="37" numFmtId="168" xfId="0" applyAlignment="1" applyBorder="1" applyFont="1" applyNumberFormat="1">
      <alignment horizontal="center" readingOrder="0" vertical="center"/>
    </xf>
    <xf borderId="111" fillId="2" fontId="38" numFmtId="168" xfId="0" applyAlignment="1" applyBorder="1" applyFont="1" applyNumberFormat="1">
      <alignment horizontal="center"/>
    </xf>
    <xf borderId="111" fillId="2" fontId="22" numFmtId="168" xfId="0" applyAlignment="1" applyBorder="1" applyFont="1" applyNumberFormat="1">
      <alignment horizontal="center" vertical="bottom"/>
    </xf>
    <xf borderId="112" fillId="2" fontId="22" numFmtId="168" xfId="0" applyAlignment="1" applyBorder="1" applyFont="1" applyNumberFormat="1">
      <alignment horizontal="center" readingOrder="0" vertical="bottom"/>
    </xf>
    <xf borderId="111" fillId="2" fontId="41" numFmtId="168" xfId="0" applyAlignment="1" applyBorder="1" applyFont="1" applyNumberFormat="1">
      <alignment horizontal="center"/>
    </xf>
    <xf borderId="105" fillId="2" fontId="37" numFmtId="10" xfId="0" applyAlignment="1" applyBorder="1" applyFont="1" applyNumberFormat="1">
      <alignment horizontal="center" vertical="center"/>
    </xf>
    <xf borderId="112" fillId="2" fontId="40" numFmtId="168" xfId="0" applyAlignment="1" applyBorder="1" applyFont="1" applyNumberFormat="1">
      <alignment vertical="center"/>
    </xf>
    <xf borderId="111" fillId="2" fontId="37" numFmtId="168" xfId="0" applyAlignment="1" applyBorder="1" applyFont="1" applyNumberFormat="1">
      <alignment horizontal="center" vertical="center"/>
    </xf>
    <xf borderId="111" fillId="2" fontId="38" numFmtId="168" xfId="0" applyAlignment="1" applyBorder="1" applyFont="1" applyNumberFormat="1">
      <alignment horizontal="center" vertical="center"/>
    </xf>
    <xf borderId="33" fillId="2" fontId="37" numFmtId="165" xfId="0" applyAlignment="1" applyBorder="1" applyFont="1" applyNumberFormat="1">
      <alignment horizontal="center"/>
    </xf>
    <xf borderId="105" fillId="2" fontId="37" numFmtId="168" xfId="0" applyAlignment="1" applyBorder="1" applyFont="1" applyNumberFormat="1">
      <alignment horizontal="center"/>
    </xf>
    <xf borderId="22" fillId="2" fontId="38" numFmtId="168" xfId="0" applyAlignment="1" applyBorder="1" applyFont="1" applyNumberFormat="1">
      <alignment horizontal="center" readingOrder="0" vertical="center"/>
    </xf>
    <xf borderId="113" fillId="2" fontId="38" numFmtId="168" xfId="0" applyAlignment="1" applyBorder="1" applyFont="1" applyNumberFormat="1">
      <alignment horizontal="center" readingOrder="0" vertical="center"/>
    </xf>
    <xf borderId="142" fillId="2" fontId="37" numFmtId="168" xfId="0" applyAlignment="1" applyBorder="1" applyFont="1" applyNumberFormat="1">
      <alignment horizontal="center" readingOrder="0" vertical="center"/>
    </xf>
    <xf borderId="143" fillId="2" fontId="37" numFmtId="168" xfId="0" applyAlignment="1" applyBorder="1" applyFont="1" applyNumberFormat="1">
      <alignment horizontal="center" readingOrder="0" vertical="center"/>
    </xf>
    <xf borderId="113" fillId="2" fontId="37" numFmtId="4" xfId="0" applyAlignment="1" applyBorder="1" applyFont="1" applyNumberFormat="1">
      <alignment horizontal="center"/>
    </xf>
    <xf borderId="115" fillId="2" fontId="37" numFmtId="168" xfId="0" applyAlignment="1" applyBorder="1" applyFont="1" applyNumberFormat="1">
      <alignment horizontal="center"/>
    </xf>
    <xf borderId="22" fillId="2" fontId="37" numFmtId="10" xfId="0" applyAlignment="1" applyBorder="1" applyFont="1" applyNumberFormat="1">
      <alignment horizontal="center"/>
    </xf>
    <xf borderId="116" fillId="2" fontId="40" numFmtId="168" xfId="0" applyBorder="1" applyFont="1" applyNumberFormat="1"/>
    <xf borderId="0" fillId="2" fontId="37" numFmtId="10" xfId="0" applyAlignment="1" applyFont="1" applyNumberFormat="1">
      <alignment horizontal="center" readingOrder="0" vertical="center"/>
    </xf>
    <xf borderId="138" fillId="9" fontId="19" numFmtId="0" xfId="0" applyBorder="1" applyFont="1"/>
    <xf borderId="105" fillId="9" fontId="41" numFmtId="10" xfId="0" applyAlignment="1" applyBorder="1" applyFont="1" applyNumberFormat="1">
      <alignment horizontal="center" vertical="center"/>
    </xf>
    <xf borderId="141" fillId="9" fontId="6" numFmtId="168" xfId="0" applyAlignment="1" applyBorder="1" applyFont="1" applyNumberFormat="1">
      <alignment vertical="center"/>
    </xf>
    <xf borderId="111" fillId="9" fontId="22" numFmtId="4" xfId="0" applyAlignment="1" applyBorder="1" applyFont="1" applyNumberFormat="1">
      <alignment horizontal="center" readingOrder="0" vertical="center"/>
    </xf>
    <xf borderId="34" fillId="9" fontId="22" numFmtId="4" xfId="0" applyAlignment="1" applyBorder="1" applyFont="1" applyNumberFormat="1">
      <alignment horizontal="center" readingOrder="0" vertical="center"/>
    </xf>
    <xf borderId="34" fillId="9" fontId="22" numFmtId="3" xfId="0" applyAlignment="1" applyBorder="1" applyFont="1" applyNumberFormat="1">
      <alignment horizontal="center" readingOrder="0" vertical="center"/>
    </xf>
    <xf borderId="111" fillId="2" fontId="38" numFmtId="3" xfId="0" applyAlignment="1" applyBorder="1" applyFont="1" applyNumberFormat="1">
      <alignment horizontal="center" readingOrder="0" vertical="center"/>
    </xf>
    <xf borderId="112" fillId="9" fontId="22" numFmtId="3" xfId="0" applyAlignment="1" applyBorder="1" applyFont="1" applyNumberFormat="1">
      <alignment horizontal="center" readingOrder="0" vertical="center"/>
    </xf>
    <xf borderId="111" fillId="9" fontId="41" numFmtId="3" xfId="0" applyAlignment="1" applyBorder="1" applyFont="1" applyNumberFormat="1">
      <alignment horizontal="center"/>
    </xf>
    <xf borderId="112" fillId="9" fontId="41" numFmtId="3" xfId="0" applyAlignment="1" applyBorder="1" applyFont="1" applyNumberFormat="1">
      <alignment horizontal="center" readingOrder="0"/>
    </xf>
    <xf borderId="112" fillId="2" fontId="38" numFmtId="3" xfId="0" applyAlignment="1" applyBorder="1" applyFont="1" applyNumberFormat="1">
      <alignment horizontal="center" readingOrder="0"/>
    </xf>
    <xf borderId="112" fillId="2" fontId="38" numFmtId="4" xfId="0" applyAlignment="1" applyBorder="1" applyFont="1" applyNumberFormat="1">
      <alignment horizontal="center" readingOrder="0"/>
    </xf>
    <xf borderId="112" fillId="2" fontId="38" numFmtId="3" xfId="0" applyAlignment="1" applyBorder="1" applyFont="1" applyNumberFormat="1">
      <alignment horizontal="center" readingOrder="0" vertical="center"/>
    </xf>
    <xf borderId="112" fillId="9" fontId="7" numFmtId="3" xfId="0" applyAlignment="1" applyBorder="1" applyFont="1" applyNumberFormat="1">
      <alignment horizontal="center" readingOrder="0" vertical="center"/>
    </xf>
    <xf borderId="33" fillId="9" fontId="22" numFmtId="4" xfId="0" applyAlignment="1" applyBorder="1" applyFont="1" applyNumberFormat="1">
      <alignment horizontal="center"/>
    </xf>
    <xf borderId="144" fillId="9" fontId="22" numFmtId="3" xfId="0" applyAlignment="1" applyBorder="1" applyFont="1" applyNumberFormat="1">
      <alignment horizontal="center" readingOrder="0" vertical="center"/>
    </xf>
    <xf borderId="107" fillId="2" fontId="41" numFmtId="3" xfId="0" applyAlignment="1" applyBorder="1" applyFont="1" applyNumberFormat="1">
      <alignment horizontal="center"/>
    </xf>
    <xf borderId="145" fillId="9" fontId="22" numFmtId="3" xfId="0" applyAlignment="1" applyBorder="1" applyFont="1" applyNumberFormat="1">
      <alignment horizontal="center" vertical="center"/>
    </xf>
    <xf borderId="144" fillId="9" fontId="22" numFmtId="3" xfId="0" applyAlignment="1" applyBorder="1" applyFont="1" applyNumberFormat="1">
      <alignment horizontal="center" vertical="center"/>
    </xf>
    <xf borderId="113" fillId="9" fontId="22" numFmtId="4" xfId="0" applyAlignment="1" applyBorder="1" applyFont="1" applyNumberFormat="1">
      <alignment horizontal="center"/>
    </xf>
    <xf borderId="44" fillId="9" fontId="22" numFmtId="3" xfId="0" applyAlignment="1" applyBorder="1" applyFont="1" applyNumberFormat="1">
      <alignment horizontal="center" readingOrder="0" vertical="center"/>
    </xf>
    <xf borderId="109" fillId="2" fontId="22" numFmtId="0" xfId="0" applyAlignment="1" applyBorder="1" applyFont="1">
      <alignment readingOrder="0" shrinkToFit="0" vertical="center" wrapText="1"/>
    </xf>
    <xf borderId="111" fillId="2" fontId="22" numFmtId="4" xfId="0" applyAlignment="1" applyBorder="1" applyFont="1" applyNumberFormat="1">
      <alignment horizontal="center" readingOrder="0" vertical="center"/>
    </xf>
    <xf borderId="34" fillId="2" fontId="22" numFmtId="3" xfId="0" applyAlignment="1" applyBorder="1" applyFont="1" applyNumberFormat="1">
      <alignment horizontal="center" readingOrder="0" vertical="center"/>
    </xf>
    <xf borderId="111" fillId="2" fontId="38" numFmtId="4" xfId="0" applyAlignment="1" applyBorder="1" applyFont="1" applyNumberFormat="1">
      <alignment horizontal="center" readingOrder="0" vertical="center"/>
    </xf>
    <xf borderId="111" fillId="8" fontId="38" numFmtId="4" xfId="0" applyAlignment="1" applyBorder="1" applyFont="1" applyNumberFormat="1">
      <alignment horizontal="center" readingOrder="0"/>
    </xf>
    <xf borderId="111" fillId="2" fontId="41" numFmtId="4" xfId="0" applyAlignment="1" applyBorder="1" applyFont="1" applyNumberFormat="1">
      <alignment horizontal="center"/>
    </xf>
    <xf borderId="112" fillId="9" fontId="41" numFmtId="4" xfId="0" applyAlignment="1" applyBorder="1" applyFont="1" applyNumberFormat="1">
      <alignment horizontal="center" readingOrder="0"/>
    </xf>
    <xf borderId="112" fillId="2" fontId="41" numFmtId="3" xfId="0" applyAlignment="1" applyBorder="1" applyFont="1" applyNumberFormat="1">
      <alignment horizontal="center" readingOrder="0" vertical="bottom"/>
    </xf>
    <xf borderId="33" fillId="2" fontId="22" numFmtId="4" xfId="0" applyAlignment="1" applyBorder="1" applyFont="1" applyNumberFormat="1">
      <alignment horizontal="center"/>
    </xf>
    <xf borderId="105" fillId="2" fontId="22" numFmtId="3" xfId="0" applyAlignment="1" applyBorder="1" applyFont="1" applyNumberFormat="1">
      <alignment horizontal="center"/>
    </xf>
    <xf borderId="144" fillId="2" fontId="22" numFmtId="3" xfId="0" applyAlignment="1" applyBorder="1" applyFont="1" applyNumberFormat="1">
      <alignment horizontal="center" readingOrder="0" vertical="center"/>
    </xf>
    <xf borderId="145" fillId="2" fontId="22" numFmtId="3" xfId="0" applyAlignment="1" applyBorder="1" applyFont="1" applyNumberFormat="1">
      <alignment horizontal="center" vertical="center"/>
    </xf>
    <xf borderId="144" fillId="2" fontId="22" numFmtId="3" xfId="0" applyAlignment="1" applyBorder="1" applyFont="1" applyNumberFormat="1">
      <alignment horizontal="center" vertical="center"/>
    </xf>
    <xf borderId="113" fillId="2" fontId="22" numFmtId="4" xfId="0" applyAlignment="1" applyBorder="1" applyFont="1" applyNumberFormat="1">
      <alignment horizontal="center"/>
    </xf>
    <xf borderId="44" fillId="2" fontId="22" numFmtId="3" xfId="0" applyAlignment="1" applyBorder="1" applyFont="1" applyNumberFormat="1">
      <alignment horizontal="center" readingOrder="0" vertical="center"/>
    </xf>
    <xf borderId="112" fillId="9" fontId="22" numFmtId="165" xfId="0" applyAlignment="1" applyBorder="1" applyFont="1" applyNumberFormat="1">
      <alignment horizontal="center" readingOrder="0" vertical="center"/>
    </xf>
    <xf borderId="111" fillId="9" fontId="41" numFmtId="168" xfId="0" applyAlignment="1" applyBorder="1" applyFont="1" applyNumberFormat="1">
      <alignment horizontal="center"/>
    </xf>
    <xf borderId="112" fillId="9" fontId="41" numFmtId="3" xfId="0" applyAlignment="1" applyBorder="1" applyFont="1" applyNumberFormat="1">
      <alignment horizontal="center"/>
    </xf>
    <xf borderId="112" fillId="2" fontId="41" numFmtId="165" xfId="0" applyAlignment="1" applyBorder="1" applyFont="1" applyNumberFormat="1">
      <alignment horizontal="center" readingOrder="0"/>
    </xf>
    <xf borderId="112" fillId="2" fontId="41" numFmtId="165" xfId="0" applyAlignment="1" applyBorder="1" applyFont="1" applyNumberFormat="1">
      <alignment horizontal="center" vertical="bottom"/>
    </xf>
    <xf borderId="112" fillId="9" fontId="7" numFmtId="165" xfId="0" applyAlignment="1" applyBorder="1" applyFont="1" applyNumberFormat="1">
      <alignment horizontal="center" readingOrder="0" vertical="center"/>
    </xf>
    <xf borderId="33" fillId="9" fontId="22" numFmtId="165" xfId="0" applyAlignment="1" applyBorder="1" applyFont="1" applyNumberFormat="1">
      <alignment horizontal="center"/>
    </xf>
    <xf borderId="146" fillId="9" fontId="22" numFmtId="3" xfId="0" applyAlignment="1" applyBorder="1" applyFont="1" applyNumberFormat="1">
      <alignment horizontal="center" readingOrder="0" vertical="center"/>
    </xf>
    <xf borderId="147" fillId="9" fontId="22" numFmtId="3" xfId="0" applyAlignment="1" applyBorder="1" applyFont="1" applyNumberFormat="1">
      <alignment horizontal="center" vertical="center"/>
    </xf>
    <xf borderId="146" fillId="9" fontId="22" numFmtId="3" xfId="0" applyAlignment="1" applyBorder="1" applyFont="1" applyNumberFormat="1">
      <alignment horizontal="center" vertical="center"/>
    </xf>
    <xf borderId="22" fillId="9" fontId="22" numFmtId="3" xfId="0" applyAlignment="1" applyBorder="1" applyFont="1" applyNumberFormat="1">
      <alignment horizontal="center"/>
    </xf>
    <xf borderId="25" fillId="9" fontId="22" numFmtId="3" xfId="0" applyAlignment="1" applyBorder="1" applyFont="1" applyNumberFormat="1">
      <alignment horizontal="center" readingOrder="0" vertical="center"/>
    </xf>
    <xf borderId="111" fillId="2" fontId="41" numFmtId="10" xfId="0" applyAlignment="1" applyBorder="1" applyFont="1" applyNumberFormat="1">
      <alignment horizontal="center" readingOrder="0" vertical="center"/>
    </xf>
    <xf borderId="34" fillId="8" fontId="41" numFmtId="10" xfId="0" applyAlignment="1" applyBorder="1" applyFont="1" applyNumberFormat="1">
      <alignment horizontal="center" readingOrder="0" vertical="center"/>
    </xf>
    <xf borderId="34" fillId="8" fontId="41" numFmtId="165" xfId="0" applyAlignment="1" applyBorder="1" applyFont="1" applyNumberFormat="1">
      <alignment horizontal="center" readingOrder="0" vertical="center"/>
    </xf>
    <xf borderId="111" fillId="2" fontId="38" numFmtId="10" xfId="0" applyAlignment="1" applyBorder="1" applyFont="1" applyNumberFormat="1">
      <alignment horizontal="center" readingOrder="0" vertical="center"/>
    </xf>
    <xf borderId="112" fillId="8" fontId="41" numFmtId="10" xfId="0" applyAlignment="1" applyBorder="1" applyFont="1" applyNumberFormat="1">
      <alignment horizontal="center" readingOrder="0" vertical="center"/>
    </xf>
    <xf borderId="112" fillId="8" fontId="38" numFmtId="10" xfId="0" applyAlignment="1" applyBorder="1" applyFont="1" applyNumberFormat="1">
      <alignment horizontal="center" readingOrder="0"/>
    </xf>
    <xf borderId="105" fillId="2" fontId="22" numFmtId="170" xfId="0" applyAlignment="1" applyBorder="1" applyFont="1" applyNumberFormat="1">
      <alignment horizontal="center" vertical="center"/>
    </xf>
    <xf borderId="112" fillId="2" fontId="41" numFmtId="164" xfId="0" applyAlignment="1" applyBorder="1" applyFont="1" applyNumberFormat="1">
      <alignment horizontal="center"/>
    </xf>
    <xf borderId="112" fillId="9" fontId="41" numFmtId="10" xfId="0" applyAlignment="1" applyBorder="1" applyFont="1" applyNumberFormat="1">
      <alignment horizontal="center" readingOrder="0"/>
    </xf>
    <xf borderId="112" fillId="9" fontId="41" numFmtId="164" xfId="0" applyAlignment="1" applyBorder="1" applyFont="1" applyNumberFormat="1">
      <alignment horizontal="center" readingOrder="0"/>
    </xf>
    <xf borderId="111" fillId="8" fontId="38" numFmtId="10" xfId="0" applyAlignment="1" applyBorder="1" applyFont="1" applyNumberFormat="1">
      <alignment horizontal="center"/>
    </xf>
    <xf borderId="105" fillId="8" fontId="38" numFmtId="10" xfId="0" applyAlignment="1" applyBorder="1" applyFont="1" applyNumberFormat="1">
      <alignment horizontal="center"/>
    </xf>
    <xf borderId="112" fillId="2" fontId="41" numFmtId="165" xfId="0" applyAlignment="1" applyBorder="1" applyFont="1" applyNumberFormat="1">
      <alignment horizontal="center" readingOrder="0" vertical="center"/>
    </xf>
    <xf borderId="33" fillId="2" fontId="22" numFmtId="10" xfId="0" applyAlignment="1" applyBorder="1" applyFont="1" applyNumberFormat="1">
      <alignment horizontal="center"/>
    </xf>
    <xf borderId="143" fillId="2" fontId="22" numFmtId="165" xfId="0" applyAlignment="1" applyBorder="1" applyFont="1" applyNumberFormat="1">
      <alignment horizontal="center" readingOrder="0" vertical="center"/>
    </xf>
    <xf borderId="107" fillId="8" fontId="38" numFmtId="165" xfId="0" applyAlignment="1" applyBorder="1" applyFont="1" applyNumberFormat="1">
      <alignment horizontal="center"/>
    </xf>
    <xf borderId="142" fillId="2" fontId="22" numFmtId="165" xfId="0" applyAlignment="1" applyBorder="1" applyFont="1" applyNumberFormat="1">
      <alignment horizontal="center" readingOrder="0" vertical="center"/>
    </xf>
    <xf borderId="22" fillId="2" fontId="22" numFmtId="165" xfId="0" applyAlignment="1" applyBorder="1" applyFont="1" applyNumberFormat="1">
      <alignment horizontal="center"/>
    </xf>
    <xf borderId="22" fillId="2" fontId="6" numFmtId="165" xfId="0" applyBorder="1" applyFont="1" applyNumberFormat="1"/>
    <xf borderId="116" fillId="2" fontId="6" numFmtId="165" xfId="0" applyBorder="1" applyFont="1" applyNumberFormat="1"/>
    <xf borderId="0" fillId="2" fontId="22" numFmtId="165" xfId="0" applyAlignment="1" applyFont="1" applyNumberFormat="1">
      <alignment horizontal="center" readingOrder="0" vertical="center"/>
    </xf>
    <xf borderId="111" fillId="2" fontId="41" numFmtId="4" xfId="0" applyAlignment="1" applyBorder="1" applyFont="1" applyNumberFormat="1">
      <alignment horizontal="center" readingOrder="0" vertical="center"/>
    </xf>
    <xf borderId="34" fillId="8" fontId="41" numFmtId="3" xfId="0" applyAlignment="1" applyBorder="1" applyFont="1" applyNumberFormat="1">
      <alignment horizontal="center" readingOrder="0" vertical="center"/>
    </xf>
    <xf borderId="34" fillId="8" fontId="41" numFmtId="1" xfId="0" applyAlignment="1" applyBorder="1" applyFont="1" applyNumberFormat="1">
      <alignment horizontal="center" readingOrder="0" vertical="center"/>
    </xf>
    <xf borderId="112" fillId="8" fontId="41" numFmtId="1" xfId="0" applyAlignment="1" applyBorder="1" applyFont="1" applyNumberFormat="1">
      <alignment horizontal="center" readingOrder="0" vertical="center"/>
    </xf>
    <xf borderId="112" fillId="8" fontId="41" numFmtId="3" xfId="0" applyAlignment="1" applyBorder="1" applyFont="1" applyNumberFormat="1">
      <alignment horizontal="center" readingOrder="0" vertical="center"/>
    </xf>
    <xf borderId="112" fillId="8" fontId="38" numFmtId="3" xfId="0" applyAlignment="1" applyBorder="1" applyFont="1" applyNumberFormat="1">
      <alignment horizontal="center" readingOrder="0"/>
    </xf>
    <xf borderId="111" fillId="9" fontId="38" numFmtId="4" xfId="0" applyAlignment="1" applyBorder="1" applyFont="1" applyNumberFormat="1">
      <alignment horizontal="center"/>
    </xf>
    <xf borderId="111" fillId="8" fontId="38" numFmtId="4" xfId="0" applyAlignment="1" applyBorder="1" applyFont="1" applyNumberFormat="1">
      <alignment horizontal="center"/>
    </xf>
    <xf borderId="34" fillId="9" fontId="22" numFmtId="165" xfId="0" applyAlignment="1" applyBorder="1" applyFont="1" applyNumberFormat="1">
      <alignment horizontal="center" readingOrder="0" vertical="center"/>
    </xf>
    <xf borderId="33" fillId="9" fontId="22" numFmtId="3" xfId="0" applyAlignment="1" applyBorder="1" applyFont="1" applyNumberFormat="1">
      <alignment horizontal="center" readingOrder="0"/>
    </xf>
    <xf borderId="108" fillId="9" fontId="22" numFmtId="165" xfId="0" applyAlignment="1" applyBorder="1" applyFont="1" applyNumberFormat="1">
      <alignment horizontal="center"/>
    </xf>
    <xf borderId="9" fillId="9" fontId="22" numFmtId="165" xfId="0" applyAlignment="1" applyBorder="1" applyFont="1" applyNumberFormat="1">
      <alignment horizontal="center"/>
    </xf>
    <xf borderId="9" fillId="9" fontId="6" numFmtId="165" xfId="0" applyBorder="1" applyFont="1" applyNumberFormat="1"/>
    <xf borderId="91" fillId="9" fontId="6" numFmtId="165" xfId="0" applyBorder="1" applyFont="1" applyNumberFormat="1"/>
    <xf borderId="112" fillId="8" fontId="41" numFmtId="165" xfId="0" applyAlignment="1" applyBorder="1" applyFont="1" applyNumberFormat="1">
      <alignment horizontal="center" readingOrder="0" vertical="center"/>
    </xf>
    <xf borderId="33" fillId="2" fontId="22" numFmtId="10" xfId="0" applyAlignment="1" applyBorder="1" applyFont="1" applyNumberFormat="1">
      <alignment horizontal="center" readingOrder="0"/>
    </xf>
    <xf borderId="108" fillId="2" fontId="22" numFmtId="165" xfId="0" applyAlignment="1" applyBorder="1" applyFont="1" applyNumberFormat="1">
      <alignment horizontal="center"/>
    </xf>
    <xf borderId="9" fillId="2" fontId="22" numFmtId="165" xfId="0" applyAlignment="1" applyBorder="1" applyFont="1" applyNumberFormat="1">
      <alignment horizontal="center"/>
    </xf>
    <xf borderId="9" fillId="2" fontId="6" numFmtId="165" xfId="0" applyBorder="1" applyFont="1" applyNumberFormat="1"/>
    <xf borderId="91" fillId="2" fontId="6" numFmtId="165" xfId="0" applyBorder="1" applyFont="1" applyNumberFormat="1"/>
    <xf borderId="111" fillId="2" fontId="38" numFmtId="165" xfId="0" applyAlignment="1" applyBorder="1" applyFont="1" applyNumberFormat="1">
      <alignment horizontal="center" readingOrder="0" vertical="center"/>
    </xf>
    <xf borderId="112" fillId="8" fontId="38" numFmtId="165" xfId="0" applyAlignment="1" applyBorder="1" applyFont="1" applyNumberFormat="1">
      <alignment horizontal="center" readingOrder="0"/>
    </xf>
    <xf borderId="111" fillId="9" fontId="38" numFmtId="165" xfId="0" applyAlignment="1" applyBorder="1" applyFont="1" applyNumberFormat="1">
      <alignment horizontal="center"/>
    </xf>
    <xf borderId="33" fillId="9" fontId="22" numFmtId="169" xfId="0" applyAlignment="1" applyBorder="1" applyFont="1" applyNumberFormat="1">
      <alignment horizontal="center" readingOrder="0"/>
    </xf>
    <xf borderId="105" fillId="2" fontId="37" numFmtId="1" xfId="0" applyAlignment="1" applyBorder="1" applyFont="1" applyNumberFormat="1">
      <alignment horizontal="center" readingOrder="0" vertical="center"/>
    </xf>
    <xf borderId="111" fillId="2" fontId="38" numFmtId="4" xfId="0" applyAlignment="1" applyBorder="1" applyFont="1" applyNumberFormat="1">
      <alignment horizontal="center"/>
    </xf>
    <xf borderId="33" fillId="2" fontId="22" numFmtId="4" xfId="0" applyAlignment="1" applyBorder="1" applyFont="1" applyNumberFormat="1">
      <alignment horizontal="center" readingOrder="0"/>
    </xf>
    <xf borderId="34" fillId="8" fontId="41" numFmtId="4" xfId="0" applyAlignment="1" applyBorder="1" applyFont="1" applyNumberFormat="1">
      <alignment horizontal="center" readingOrder="0" vertical="center"/>
    </xf>
    <xf borderId="111" fillId="9" fontId="38" numFmtId="10" xfId="0" applyAlignment="1" applyBorder="1" applyFont="1" applyNumberFormat="1">
      <alignment horizontal="center"/>
    </xf>
    <xf borderId="33" fillId="9" fontId="22" numFmtId="10" xfId="0" applyAlignment="1" applyBorder="1" applyFont="1" applyNumberFormat="1">
      <alignment horizontal="center" readingOrder="0"/>
    </xf>
    <xf borderId="105" fillId="9" fontId="22" numFmtId="10" xfId="0" applyAlignment="1" applyBorder="1" applyFont="1" applyNumberFormat="1">
      <alignment horizontal="center"/>
    </xf>
    <xf borderId="33" fillId="9" fontId="22" numFmtId="165" xfId="0" applyAlignment="1" applyBorder="1" applyFont="1" applyNumberFormat="1">
      <alignment horizontal="center" readingOrder="0"/>
    </xf>
    <xf borderId="109" fillId="8" fontId="22" numFmtId="165" xfId="0" applyAlignment="1" applyBorder="1" applyFont="1" applyNumberFormat="1">
      <alignment readingOrder="0" shrinkToFit="0" vertical="center" wrapText="1"/>
    </xf>
    <xf borderId="117" fillId="8" fontId="41" numFmtId="165" xfId="0" applyAlignment="1" applyBorder="1" applyFont="1" applyNumberFormat="1">
      <alignment horizontal="center" readingOrder="0" vertical="center"/>
    </xf>
    <xf borderId="136" fillId="2" fontId="41" numFmtId="10" xfId="0" applyAlignment="1" applyBorder="1" applyFont="1" applyNumberFormat="1">
      <alignment horizontal="center" readingOrder="0" vertical="center"/>
    </xf>
    <xf borderId="136" fillId="2" fontId="38" numFmtId="10" xfId="0" applyAlignment="1" applyBorder="1" applyFont="1" applyNumberFormat="1">
      <alignment horizontal="center" readingOrder="0" vertical="center"/>
    </xf>
    <xf borderId="136" fillId="8" fontId="38" numFmtId="10" xfId="0" applyAlignment="1" applyBorder="1" applyFont="1" applyNumberFormat="1">
      <alignment horizontal="center" readingOrder="0"/>
    </xf>
    <xf borderId="117" fillId="8" fontId="38" numFmtId="165" xfId="0" applyAlignment="1" applyBorder="1" applyFont="1" applyNumberFormat="1">
      <alignment horizontal="center" readingOrder="0"/>
    </xf>
    <xf borderId="136" fillId="2" fontId="22" numFmtId="10" xfId="0" applyAlignment="1" applyBorder="1" applyFont="1" applyNumberFormat="1">
      <alignment horizontal="center" vertical="center"/>
    </xf>
    <xf borderId="137" fillId="2" fontId="22" numFmtId="3" xfId="0" applyAlignment="1" applyBorder="1" applyFont="1" applyNumberFormat="1">
      <alignment horizontal="center" vertical="center"/>
    </xf>
    <xf borderId="137" fillId="2" fontId="22" numFmtId="10" xfId="0" applyAlignment="1" applyBorder="1" applyFont="1" applyNumberFormat="1">
      <alignment horizontal="center" readingOrder="0" vertical="center"/>
    </xf>
    <xf borderId="44" fillId="9" fontId="41" numFmtId="164" xfId="0" applyAlignment="1" applyBorder="1" applyFont="1" applyNumberFormat="1">
      <alignment readingOrder="0" shrinkToFit="0" vertical="center" wrapText="1"/>
    </xf>
    <xf borderId="44" fillId="9" fontId="19" numFmtId="0" xfId="0" applyBorder="1" applyFont="1"/>
    <xf borderId="104" fillId="9" fontId="19" numFmtId="0" xfId="0" applyBorder="1" applyFont="1"/>
    <xf borderId="137" fillId="9" fontId="22" numFmtId="164" xfId="0" applyAlignment="1" applyBorder="1" applyFont="1" applyNumberFormat="1">
      <alignment horizontal="center" readingOrder="0" vertical="center"/>
    </xf>
    <xf borderId="137" fillId="9" fontId="22" numFmtId="169" xfId="0" applyAlignment="1" applyBorder="1" applyFont="1" applyNumberFormat="1">
      <alignment horizontal="center" readingOrder="0" vertical="center"/>
    </xf>
    <xf borderId="137" fillId="9" fontId="41" numFmtId="10" xfId="0" applyAlignment="1" applyBorder="1" applyFont="1" applyNumberFormat="1">
      <alignment horizontal="center" vertical="center"/>
    </xf>
    <xf borderId="136" fillId="9" fontId="41" numFmtId="3" xfId="0" applyAlignment="1" applyBorder="1" applyFont="1" applyNumberFormat="1">
      <alignment horizontal="center" vertical="center"/>
    </xf>
    <xf borderId="118" fillId="8" fontId="41" numFmtId="3" xfId="0" applyAlignment="1" applyBorder="1" applyFont="1" applyNumberFormat="1">
      <alignment horizontal="center" readingOrder="0" vertical="center"/>
    </xf>
    <xf borderId="148" fillId="2" fontId="41" numFmtId="165" xfId="0" applyAlignment="1" applyBorder="1" applyFont="1" applyNumberFormat="1">
      <alignment horizontal="center" readingOrder="0" vertical="center"/>
    </xf>
    <xf borderId="112" fillId="9" fontId="41" numFmtId="3" xfId="0" applyAlignment="1" applyBorder="1" applyFont="1" applyNumberFormat="1">
      <alignment horizontal="center" readingOrder="0" vertical="center"/>
    </xf>
    <xf borderId="109" fillId="9" fontId="22" numFmtId="168" xfId="0" applyAlignment="1" applyBorder="1" applyFont="1" applyNumberFormat="1">
      <alignment horizontal="center" readingOrder="0" vertical="center"/>
    </xf>
    <xf borderId="112" fillId="2" fontId="41" numFmtId="3" xfId="0" applyAlignment="1" applyBorder="1" applyFont="1" applyNumberFormat="1">
      <alignment horizontal="center"/>
    </xf>
    <xf borderId="112" fillId="8" fontId="41" numFmtId="3" xfId="0" applyAlignment="1" applyBorder="1" applyFont="1" applyNumberFormat="1">
      <alignment horizontal="center"/>
    </xf>
    <xf borderId="33" fillId="9" fontId="22" numFmtId="164" xfId="0" applyAlignment="1" applyBorder="1" applyFont="1" applyNumberFormat="1">
      <alignment horizontal="center" readingOrder="0"/>
    </xf>
    <xf borderId="135" fillId="9" fontId="22" numFmtId="3" xfId="0" applyAlignment="1" applyBorder="1" applyFont="1" applyNumberFormat="1">
      <alignment horizontal="center" readingOrder="0" vertical="center"/>
    </xf>
    <xf borderId="149" fillId="2" fontId="41" numFmtId="3" xfId="0" applyAlignment="1" applyBorder="1" applyFont="1" applyNumberFormat="1">
      <alignment horizontal="center"/>
    </xf>
    <xf borderId="119" fillId="9" fontId="22" numFmtId="3" xfId="0" applyAlignment="1" applyBorder="1" applyFont="1" applyNumberFormat="1">
      <alignment horizontal="center"/>
    </xf>
    <xf borderId="131" fillId="9" fontId="22" numFmtId="3" xfId="0" applyAlignment="1" applyBorder="1" applyFont="1" applyNumberFormat="1">
      <alignment horizontal="center"/>
    </xf>
    <xf borderId="131" fillId="9" fontId="6" numFmtId="3" xfId="0" applyBorder="1" applyFont="1" applyNumberFormat="1"/>
    <xf borderId="134" fillId="9" fontId="6" numFmtId="3" xfId="0" applyBorder="1" applyFont="1" applyNumberFormat="1"/>
    <xf borderId="108" fillId="2" fontId="41" numFmtId="3" xfId="0" applyAlignment="1" applyBorder="1" applyFont="1" applyNumberFormat="1">
      <alignment horizontal="center" vertical="center"/>
    </xf>
    <xf borderId="15" fillId="8" fontId="41" numFmtId="3" xfId="0" applyAlignment="1" applyBorder="1" applyFont="1" applyNumberFormat="1">
      <alignment horizontal="center" readingOrder="0" vertical="center"/>
    </xf>
    <xf borderId="127" fillId="2" fontId="41" numFmtId="165" xfId="0" applyAlignment="1" applyBorder="1" applyFont="1" applyNumberFormat="1">
      <alignment horizontal="center" readingOrder="0" vertical="center"/>
    </xf>
    <xf borderId="25" fillId="2" fontId="22" numFmtId="168" xfId="0" applyAlignment="1" applyBorder="1" applyFont="1" applyNumberFormat="1">
      <alignment horizontal="center" readingOrder="0" vertical="center"/>
    </xf>
    <xf borderId="111" fillId="2" fontId="41" numFmtId="165" xfId="0" applyAlignment="1" applyBorder="1" applyFont="1" applyNumberFormat="1">
      <alignment horizontal="center"/>
    </xf>
    <xf borderId="105" fillId="2" fontId="6" numFmtId="3" xfId="0" applyAlignment="1" applyBorder="1" applyFont="1" applyNumberFormat="1">
      <alignment vertical="center"/>
    </xf>
    <xf borderId="33" fillId="2" fontId="22" numFmtId="3" xfId="0" applyAlignment="1" applyBorder="1" applyFont="1" applyNumberFormat="1">
      <alignment horizontal="center"/>
    </xf>
    <xf borderId="105" fillId="2" fontId="6" numFmtId="3" xfId="0" applyBorder="1" applyFont="1" applyNumberFormat="1"/>
    <xf borderId="112" fillId="2" fontId="6" numFmtId="3" xfId="0" applyBorder="1" applyFont="1" applyNumberFormat="1"/>
    <xf borderId="0" fillId="2" fontId="41" numFmtId="3" xfId="0" applyAlignment="1" applyFont="1" applyNumberFormat="1">
      <alignment horizontal="center"/>
    </xf>
    <xf borderId="0" fillId="2" fontId="22" numFmtId="3" xfId="0" applyAlignment="1" applyFont="1" applyNumberFormat="1">
      <alignment horizontal="center" readingOrder="0" vertical="center"/>
    </xf>
    <xf borderId="9" fillId="2" fontId="22" numFmtId="3" xfId="0" applyAlignment="1" applyBorder="1" applyFont="1" applyNumberFormat="1">
      <alignment horizontal="center"/>
    </xf>
    <xf borderId="150" fillId="9" fontId="19" numFmtId="0" xfId="0" applyBorder="1" applyFont="1"/>
    <xf borderId="44" fillId="9" fontId="22" numFmtId="0" xfId="0" applyAlignment="1" applyBorder="1" applyFont="1">
      <alignment readingOrder="0" shrinkToFit="0" vertical="center" wrapText="1"/>
    </xf>
    <xf borderId="108" fillId="9" fontId="41" numFmtId="3" xfId="0" applyAlignment="1" applyBorder="1" applyFont="1" applyNumberFormat="1">
      <alignment horizontal="center" vertical="center"/>
    </xf>
    <xf borderId="151" fillId="2" fontId="41" numFmtId="165" xfId="0" applyAlignment="1" applyBorder="1" applyFont="1" applyNumberFormat="1">
      <alignment horizontal="center" readingOrder="0" vertical="center"/>
    </xf>
    <xf borderId="117" fillId="8" fontId="41" numFmtId="3" xfId="0" applyAlignment="1" applyBorder="1" applyFont="1" applyNumberFormat="1">
      <alignment horizontal="center" readingOrder="0" vertical="center"/>
    </xf>
    <xf borderId="136" fillId="2" fontId="41" numFmtId="165" xfId="0" applyAlignment="1" applyBorder="1" applyFont="1" applyNumberFormat="1">
      <alignment horizontal="center" readingOrder="0" vertical="center"/>
    </xf>
    <xf borderId="136" fillId="2" fontId="38" numFmtId="165" xfId="0" applyAlignment="1" applyBorder="1" applyFont="1" applyNumberFormat="1">
      <alignment horizontal="center" readingOrder="0" vertical="center"/>
    </xf>
    <xf borderId="136" fillId="8" fontId="38" numFmtId="165" xfId="0" applyAlignment="1" applyBorder="1" applyFont="1" applyNumberFormat="1">
      <alignment horizontal="center" readingOrder="0"/>
    </xf>
    <xf borderId="117" fillId="9" fontId="41" numFmtId="3" xfId="0" applyAlignment="1" applyBorder="1" applyFont="1" applyNumberFormat="1">
      <alignment horizontal="center" readingOrder="0" vertical="center"/>
    </xf>
    <xf borderId="136" fillId="9" fontId="22" numFmtId="165" xfId="0" applyAlignment="1" applyBorder="1" applyFont="1" applyNumberFormat="1">
      <alignment horizontal="center" vertical="center"/>
    </xf>
    <xf borderId="137" fillId="9" fontId="22" numFmtId="3" xfId="0" applyAlignment="1" applyBorder="1" applyFont="1" applyNumberFormat="1">
      <alignment horizontal="center" vertical="center"/>
    </xf>
    <xf borderId="137" fillId="9" fontId="22" numFmtId="10" xfId="0" applyAlignment="1" applyBorder="1" applyFont="1" applyNumberFormat="1">
      <alignment horizontal="center" readingOrder="0" vertical="center"/>
    </xf>
    <xf borderId="125" fillId="9" fontId="41" numFmtId="165" xfId="0" applyAlignment="1" applyBorder="1" applyFont="1" applyNumberFormat="1">
      <alignment horizontal="center"/>
    </xf>
    <xf borderId="124" fillId="2" fontId="41" numFmtId="3" xfId="0" applyAlignment="1" applyBorder="1" applyFont="1" applyNumberFormat="1">
      <alignment horizontal="center"/>
    </xf>
    <xf borderId="124" fillId="8" fontId="41" numFmtId="3" xfId="0" applyAlignment="1" applyBorder="1" applyFont="1" applyNumberFormat="1">
      <alignment horizontal="center"/>
    </xf>
    <xf borderId="124" fillId="2" fontId="41" numFmtId="3" xfId="0" applyAlignment="1" applyBorder="1" applyFont="1" applyNumberFormat="1">
      <alignment horizontal="center" readingOrder="0"/>
    </xf>
    <xf borderId="125" fillId="9" fontId="22" numFmtId="3" xfId="0" applyAlignment="1" applyBorder="1" applyFont="1" applyNumberFormat="1">
      <alignment horizontal="center" vertical="center"/>
    </xf>
    <xf borderId="123" fillId="9" fontId="22" numFmtId="3" xfId="0" applyAlignment="1" applyBorder="1" applyFont="1" applyNumberFormat="1">
      <alignment horizontal="center" vertical="center"/>
    </xf>
    <xf borderId="124" fillId="9" fontId="6" numFmtId="168" xfId="0" applyAlignment="1" applyBorder="1" applyFont="1" applyNumberFormat="1">
      <alignment vertical="center"/>
    </xf>
    <xf borderId="124" fillId="9" fontId="41" numFmtId="3" xfId="0" applyAlignment="1" applyBorder="1" applyFont="1" applyNumberFormat="1">
      <alignment horizontal="center" readingOrder="0" vertical="center"/>
    </xf>
    <xf borderId="124" fillId="8" fontId="41" numFmtId="3" xfId="0" applyAlignment="1" applyBorder="1" applyFont="1" applyNumberFormat="1">
      <alignment horizontal="center" readingOrder="0" vertical="center"/>
    </xf>
    <xf borderId="124" fillId="9" fontId="22" numFmtId="3" xfId="0" applyAlignment="1" applyBorder="1" applyFont="1" applyNumberFormat="1">
      <alignment horizontal="center" readingOrder="0" vertical="center"/>
    </xf>
    <xf borderId="124" fillId="2" fontId="7" numFmtId="3" xfId="0" applyAlignment="1" applyBorder="1" applyFont="1" applyNumberFormat="1">
      <alignment horizontal="center" readingOrder="0" vertical="center"/>
    </xf>
    <xf borderId="124" fillId="9" fontId="7" numFmtId="3" xfId="0" applyAlignment="1" applyBorder="1" applyFont="1" applyNumberFormat="1">
      <alignment horizontal="center" readingOrder="0" vertical="center"/>
    </xf>
    <xf borderId="123" fillId="9" fontId="6" numFmtId="3" xfId="0" applyAlignment="1" applyBorder="1" applyFont="1" applyNumberFormat="1">
      <alignment vertical="center"/>
    </xf>
    <xf borderId="120" fillId="9" fontId="22" numFmtId="3" xfId="0" applyAlignment="1" applyBorder="1" applyFont="1" applyNumberFormat="1">
      <alignment horizontal="center" readingOrder="0" vertical="center"/>
    </xf>
    <xf borderId="122" fillId="9" fontId="22" numFmtId="3" xfId="0" applyAlignment="1" applyBorder="1" applyFont="1" applyNumberFormat="1">
      <alignment horizontal="center"/>
    </xf>
    <xf borderId="123" fillId="9" fontId="22" numFmtId="3" xfId="0" applyAlignment="1" applyBorder="1" applyFont="1" applyNumberFormat="1">
      <alignment horizontal="center"/>
    </xf>
    <xf borderId="123" fillId="9" fontId="6" numFmtId="3" xfId="0" applyBorder="1" applyFont="1" applyNumberFormat="1"/>
    <xf borderId="124" fillId="9" fontId="6" numFmtId="3" xfId="0" applyBorder="1" applyFont="1" applyNumberFormat="1"/>
    <xf borderId="0" fillId="9" fontId="22" numFmtId="3" xfId="0" applyAlignment="1" applyFont="1" applyNumberFormat="1">
      <alignment horizontal="center" readingOrder="0" vertical="center"/>
    </xf>
    <xf borderId="9" fillId="9" fontId="22" numFmtId="3" xfId="0" applyAlignment="1" applyBorder="1" applyFont="1" applyNumberFormat="1">
      <alignment horizontal="center"/>
    </xf>
    <xf borderId="152" fillId="10" fontId="36" numFmtId="0" xfId="0" applyAlignment="1" applyBorder="1" applyFont="1">
      <alignment horizontal="center" readingOrder="0" shrinkToFit="0" textRotation="90" vertical="center" wrapText="1"/>
    </xf>
    <xf borderId="153" fillId="2" fontId="44" numFmtId="3" xfId="0" applyAlignment="1" applyBorder="1" applyFont="1" applyNumberFormat="1">
      <alignment readingOrder="0" shrinkToFit="0" vertical="center" wrapText="1"/>
    </xf>
    <xf borderId="100" fillId="2" fontId="19" numFmtId="0" xfId="0" applyBorder="1" applyFont="1"/>
    <xf borderId="101" fillId="2" fontId="19" numFmtId="0" xfId="0" applyBorder="1" applyFont="1"/>
    <xf borderId="102" fillId="2" fontId="37" numFmtId="10" xfId="0" applyAlignment="1" applyBorder="1" applyFont="1" applyNumberFormat="1">
      <alignment horizontal="center" readingOrder="0" vertical="center"/>
    </xf>
    <xf borderId="102" fillId="2" fontId="41" numFmtId="10" xfId="0" applyAlignment="1" applyBorder="1" applyFont="1" applyNumberFormat="1">
      <alignment horizontal="center" vertical="center"/>
    </xf>
    <xf borderId="103" fillId="2" fontId="6" numFmtId="3" xfId="0" applyAlignment="1" applyBorder="1" applyFont="1" applyNumberFormat="1">
      <alignment vertical="center"/>
    </xf>
    <xf borderId="60" fillId="9" fontId="43" numFmtId="3" xfId="0" applyAlignment="1" applyBorder="1" applyFont="1" applyNumberFormat="1">
      <alignment horizontal="center"/>
    </xf>
    <xf borderId="106" fillId="2" fontId="41" numFmtId="3" xfId="0" applyAlignment="1" applyBorder="1" applyFont="1" applyNumberFormat="1">
      <alignment horizontal="center" vertical="center"/>
    </xf>
    <xf borderId="99" fillId="8" fontId="41" numFmtId="3" xfId="0" applyAlignment="1" applyBorder="1" applyFont="1" applyNumberFormat="1">
      <alignment horizontal="center" vertical="center"/>
    </xf>
    <xf borderId="106" fillId="8" fontId="41" numFmtId="3" xfId="0" applyAlignment="1" applyBorder="1" applyFont="1" applyNumberFormat="1">
      <alignment horizontal="center" vertical="center"/>
    </xf>
    <xf borderId="99" fillId="8" fontId="41" numFmtId="3" xfId="0" applyAlignment="1" applyBorder="1" applyFont="1" applyNumberFormat="1">
      <alignment horizontal="center" readingOrder="0" vertical="center"/>
    </xf>
    <xf borderId="103" fillId="8" fontId="41" numFmtId="3" xfId="0" applyAlignment="1" applyBorder="1" applyFont="1" applyNumberFormat="1">
      <alignment horizontal="center" vertical="center"/>
    </xf>
    <xf borderId="103" fillId="8" fontId="41" numFmtId="3" xfId="0" applyAlignment="1" applyBorder="1" applyFont="1" applyNumberFormat="1">
      <alignment horizontal="center" readingOrder="0" vertical="center"/>
    </xf>
    <xf borderId="106" fillId="2" fontId="41" numFmtId="3" xfId="0" applyAlignment="1" applyBorder="1" applyFont="1" applyNumberFormat="1">
      <alignment horizontal="center" readingOrder="0"/>
    </xf>
    <xf borderId="103" fillId="2" fontId="41" numFmtId="3" xfId="0" applyAlignment="1" applyBorder="1" applyFont="1" applyNumberFormat="1">
      <alignment horizontal="center" readingOrder="0" vertical="center"/>
    </xf>
    <xf borderId="106" fillId="2" fontId="37" numFmtId="10" xfId="0" applyAlignment="1" applyBorder="1" applyFont="1" applyNumberFormat="1">
      <alignment horizontal="center" readingOrder="0" vertical="center"/>
    </xf>
    <xf borderId="102" fillId="2" fontId="22" numFmtId="10" xfId="0" applyAlignment="1" applyBorder="1" applyFont="1" applyNumberFormat="1">
      <alignment horizontal="center" readingOrder="0" vertical="center"/>
    </xf>
    <xf borderId="103" fillId="2" fontId="22" numFmtId="168" xfId="0" applyAlignment="1" applyBorder="1" applyFont="1" applyNumberFormat="1">
      <alignment horizontal="center" readingOrder="0" vertical="center"/>
    </xf>
    <xf borderId="126" fillId="2" fontId="41" numFmtId="3" xfId="0" applyAlignment="1" applyBorder="1" applyFont="1" applyNumberFormat="1">
      <alignment horizontal="center"/>
    </xf>
    <xf borderId="126" fillId="8" fontId="41" numFmtId="3" xfId="0" applyAlignment="1" applyBorder="1" applyFont="1" applyNumberFormat="1">
      <alignment horizontal="center"/>
    </xf>
    <xf borderId="126" fillId="2" fontId="41" numFmtId="3" xfId="0" applyAlignment="1" applyBorder="1" applyFont="1" applyNumberFormat="1">
      <alignment horizontal="center" readingOrder="0"/>
    </xf>
    <xf borderId="113" fillId="2" fontId="22" numFmtId="10" xfId="0" applyAlignment="1" applyBorder="1" applyFont="1" applyNumberFormat="1">
      <alignment horizontal="center" readingOrder="0" vertical="center"/>
    </xf>
    <xf borderId="126" fillId="2" fontId="41" numFmtId="3" xfId="0" applyAlignment="1" applyBorder="1" applyFont="1" applyNumberFormat="1">
      <alignment horizontal="center" readingOrder="0" vertical="center"/>
    </xf>
    <xf borderId="126" fillId="8" fontId="41" numFmtId="3" xfId="0" applyAlignment="1" applyBorder="1" applyFont="1" applyNumberFormat="1">
      <alignment horizontal="center" readingOrder="0" vertical="center"/>
    </xf>
    <xf borderId="126" fillId="2" fontId="22" numFmtId="3" xfId="0" applyAlignment="1" applyBorder="1" applyFont="1" applyNumberFormat="1">
      <alignment horizontal="center" readingOrder="0" vertical="center"/>
    </xf>
    <xf borderId="126" fillId="2" fontId="7" numFmtId="3" xfId="0" applyAlignment="1" applyBorder="1" applyFont="1" applyNumberFormat="1">
      <alignment horizontal="center" readingOrder="0" vertical="center"/>
    </xf>
    <xf borderId="107" fillId="2" fontId="22" numFmtId="3" xfId="0" applyAlignment="1" applyBorder="1" applyFont="1" applyNumberFormat="1">
      <alignment horizontal="center" readingOrder="0" vertical="center"/>
    </xf>
    <xf borderId="60" fillId="2" fontId="41" numFmtId="3" xfId="0" applyAlignment="1" applyBorder="1" applyFont="1" applyNumberFormat="1">
      <alignment horizontal="center"/>
    </xf>
    <xf borderId="60" fillId="2" fontId="22" numFmtId="3" xfId="0" applyAlignment="1" applyBorder="1" applyFont="1" applyNumberFormat="1">
      <alignment horizontal="center" readingOrder="0" vertical="center"/>
    </xf>
    <xf borderId="98" fillId="2" fontId="22" numFmtId="3" xfId="0" applyAlignment="1" applyBorder="1" applyFont="1" applyNumberFormat="1">
      <alignment horizontal="center"/>
    </xf>
    <xf borderId="154" fillId="2" fontId="22" numFmtId="3" xfId="0" applyAlignment="1" applyBorder="1" applyFont="1" applyNumberFormat="1">
      <alignment horizontal="center"/>
    </xf>
    <xf borderId="154" fillId="2" fontId="6" numFmtId="3" xfId="0" applyBorder="1" applyFont="1" applyNumberFormat="1"/>
    <xf borderId="61" fillId="2" fontId="6" numFmtId="3" xfId="0" applyBorder="1" applyFont="1" applyNumberFormat="1"/>
    <xf borderId="61" fillId="2" fontId="22" numFmtId="3" xfId="0" applyAlignment="1" applyBorder="1" applyFont="1" applyNumberFormat="1">
      <alignment horizontal="center" readingOrder="0" vertical="center"/>
    </xf>
    <xf borderId="151" fillId="9" fontId="19" numFmtId="0" xfId="0" applyBorder="1" applyFont="1"/>
    <xf borderId="148" fillId="9" fontId="37" numFmtId="0" xfId="0" applyAlignment="1" applyBorder="1" applyFont="1">
      <alignment readingOrder="0" shrinkToFit="0" vertical="center" wrapText="1"/>
    </xf>
    <xf borderId="111" fillId="8" fontId="41" numFmtId="172" xfId="0" applyAlignment="1" applyBorder="1" applyFont="1" applyNumberFormat="1">
      <alignment horizontal="center" vertical="center"/>
    </xf>
    <xf borderId="34" fillId="8" fontId="41" numFmtId="172" xfId="0" applyAlignment="1" applyBorder="1" applyFont="1" applyNumberFormat="1">
      <alignment horizontal="center" vertical="center"/>
    </xf>
    <xf borderId="34" fillId="8" fontId="41" numFmtId="172" xfId="0" applyAlignment="1" applyBorder="1" applyFont="1" applyNumberFormat="1">
      <alignment horizontal="center" readingOrder="0" vertical="center"/>
    </xf>
    <xf borderId="112" fillId="8" fontId="41" numFmtId="172" xfId="0" applyAlignment="1" applyBorder="1" applyFont="1" applyNumberFormat="1">
      <alignment horizontal="center" vertical="center"/>
    </xf>
    <xf borderId="112" fillId="8" fontId="41" numFmtId="172" xfId="0" applyAlignment="1" applyBorder="1" applyFont="1" applyNumberFormat="1">
      <alignment horizontal="center" readingOrder="0" vertical="center"/>
    </xf>
    <xf borderId="111" fillId="2" fontId="41" numFmtId="172" xfId="0" applyAlignment="1" applyBorder="1" applyFont="1" applyNumberFormat="1">
      <alignment horizontal="center"/>
    </xf>
    <xf borderId="112" fillId="9" fontId="37" numFmtId="168" xfId="0" applyAlignment="1" applyBorder="1" applyFont="1" applyNumberFormat="1">
      <alignment horizontal="center" readingOrder="0" vertical="center"/>
    </xf>
    <xf borderId="111" fillId="9" fontId="41" numFmtId="172" xfId="0" applyAlignment="1" applyBorder="1" applyFont="1" applyNumberFormat="1">
      <alignment horizontal="center"/>
    </xf>
    <xf borderId="105" fillId="9" fontId="37" numFmtId="10" xfId="0" applyAlignment="1" applyBorder="1" applyFont="1" applyNumberFormat="1">
      <alignment horizontal="center" vertical="center"/>
    </xf>
    <xf borderId="112" fillId="9" fontId="40" numFmtId="168" xfId="0" applyAlignment="1" applyBorder="1" applyFont="1" applyNumberFormat="1">
      <alignment vertical="center"/>
    </xf>
    <xf borderId="33" fillId="2" fontId="41" numFmtId="3" xfId="0" applyAlignment="1" applyBorder="1" applyFont="1" applyNumberFormat="1">
      <alignment horizontal="center"/>
    </xf>
    <xf borderId="105" fillId="2" fontId="41" numFmtId="3" xfId="0" applyAlignment="1" applyBorder="1" applyFont="1" applyNumberFormat="1">
      <alignment horizontal="center"/>
    </xf>
    <xf borderId="91" fillId="9" fontId="22" numFmtId="3" xfId="0" applyAlignment="1" applyBorder="1" applyFont="1" applyNumberFormat="1">
      <alignment horizontal="center" readingOrder="0" vertical="center"/>
    </xf>
    <xf borderId="151" fillId="2" fontId="19" numFmtId="0" xfId="0" applyBorder="1" applyFont="1"/>
    <xf borderId="148" fillId="2" fontId="37" numFmtId="0" xfId="0" applyAlignment="1" applyBorder="1" applyFont="1">
      <alignment readingOrder="0" shrinkToFit="0" vertical="center" wrapText="1"/>
    </xf>
    <xf borderId="111" fillId="8" fontId="41" numFmtId="3" xfId="0" applyAlignment="1" applyBorder="1" applyFont="1" applyNumberFormat="1">
      <alignment horizontal="center" vertical="center"/>
    </xf>
    <xf borderId="34" fillId="8" fontId="41" numFmtId="3" xfId="0" applyAlignment="1" applyBorder="1" applyFont="1" applyNumberFormat="1">
      <alignment horizontal="center" vertical="center"/>
    </xf>
    <xf borderId="112" fillId="8" fontId="41" numFmtId="3" xfId="0" applyAlignment="1" applyBorder="1" applyFont="1" applyNumberFormat="1">
      <alignment horizontal="center" vertical="center"/>
    </xf>
    <xf borderId="111" fillId="8" fontId="41" numFmtId="4" xfId="0" applyAlignment="1" applyBorder="1" applyFont="1" applyNumberFormat="1">
      <alignment horizontal="center" vertical="center"/>
    </xf>
    <xf borderId="91" fillId="2" fontId="22" numFmtId="3" xfId="0" applyAlignment="1" applyBorder="1" applyFont="1" applyNumberFormat="1">
      <alignment horizontal="center" readingOrder="0" vertical="center"/>
    </xf>
    <xf borderId="148" fillId="2" fontId="22" numFmtId="0" xfId="0" applyAlignment="1" applyBorder="1" applyFont="1">
      <alignment readingOrder="0" shrinkToFit="0" vertical="center" wrapText="1"/>
    </xf>
    <xf borderId="33" fillId="2" fontId="22" numFmtId="169" xfId="0" applyAlignment="1" applyBorder="1" applyFont="1" applyNumberFormat="1">
      <alignment horizontal="center" readingOrder="0" vertical="center"/>
    </xf>
    <xf borderId="111" fillId="2" fontId="41" numFmtId="169" xfId="0" applyAlignment="1" applyBorder="1" applyFont="1" applyNumberFormat="1">
      <alignment horizontal="center"/>
    </xf>
    <xf borderId="148" fillId="9" fontId="22" numFmtId="0" xfId="0" applyAlignment="1" applyBorder="1" applyFont="1">
      <alignment readingOrder="0" shrinkToFit="0" vertical="center" wrapText="1"/>
    </xf>
    <xf borderId="111" fillId="2" fontId="22" numFmtId="3" xfId="0" applyAlignment="1" applyBorder="1" applyFont="1" applyNumberFormat="1">
      <alignment horizontal="center" readingOrder="0" vertical="center"/>
    </xf>
    <xf borderId="33" fillId="2" fontId="22" numFmtId="3" xfId="0" applyAlignment="1" applyBorder="1" applyFont="1" applyNumberFormat="1">
      <alignment horizontal="center" readingOrder="0" vertical="center"/>
    </xf>
    <xf borderId="105" fillId="9" fontId="37" numFmtId="174" xfId="0" applyAlignment="1" applyBorder="1" applyFont="1" applyNumberFormat="1">
      <alignment horizontal="center" readingOrder="0" vertical="center"/>
    </xf>
    <xf borderId="111" fillId="8" fontId="41" numFmtId="10" xfId="0" applyAlignment="1" applyBorder="1" applyFont="1" applyNumberFormat="1">
      <alignment horizontal="center" vertical="center"/>
    </xf>
    <xf borderId="111" fillId="2" fontId="41" numFmtId="10" xfId="0" applyAlignment="1" applyBorder="1" applyFont="1" applyNumberFormat="1">
      <alignment horizontal="center"/>
    </xf>
    <xf borderId="111" fillId="9" fontId="22" numFmtId="10" xfId="0" applyAlignment="1" applyBorder="1" applyFont="1" applyNumberFormat="1">
      <alignment horizontal="center" readingOrder="0" vertical="center"/>
    </xf>
    <xf borderId="148" fillId="9" fontId="22" numFmtId="0" xfId="0" applyAlignment="1" applyBorder="1" applyFont="1">
      <alignment shrinkToFit="0" wrapText="1"/>
    </xf>
    <xf borderId="111" fillId="8" fontId="41" numFmtId="4" xfId="0" applyAlignment="1" applyBorder="1" applyFont="1" applyNumberFormat="1">
      <alignment horizontal="center" readingOrder="0" vertical="center"/>
    </xf>
    <xf borderId="111" fillId="8" fontId="41" numFmtId="172" xfId="0" applyAlignment="1" applyBorder="1" applyFont="1" applyNumberFormat="1">
      <alignment horizontal="center" readingOrder="0" vertical="center"/>
    </xf>
    <xf borderId="111" fillId="2" fontId="41" numFmtId="172" xfId="0" applyAlignment="1" applyBorder="1" applyFont="1" applyNumberFormat="1">
      <alignment horizontal="center" readingOrder="0"/>
    </xf>
    <xf borderId="148" fillId="2" fontId="22" numFmtId="0" xfId="0" applyAlignment="1" applyBorder="1" applyFont="1">
      <alignment shrinkToFit="0" wrapText="1"/>
    </xf>
    <xf borderId="111" fillId="2" fontId="22" numFmtId="10" xfId="0" applyAlignment="1" applyBorder="1" applyFont="1" applyNumberFormat="1">
      <alignment horizontal="center" readingOrder="0" vertical="center"/>
    </xf>
    <xf borderId="105" fillId="2" fontId="22" numFmtId="165" xfId="0" applyAlignment="1" applyBorder="1" applyFont="1" applyNumberFormat="1">
      <alignment horizontal="center" readingOrder="0"/>
    </xf>
    <xf borderId="148" fillId="8" fontId="22" numFmtId="165" xfId="0" applyAlignment="1" applyBorder="1" applyFont="1" applyNumberFormat="1">
      <alignment readingOrder="0" shrinkToFit="0" vertical="center" wrapText="1"/>
    </xf>
    <xf borderId="34" fillId="8" fontId="41" numFmtId="10" xfId="0" applyAlignment="1" applyBorder="1" applyFont="1" applyNumberFormat="1">
      <alignment horizontal="center" vertical="center"/>
    </xf>
    <xf borderId="112" fillId="8" fontId="41" numFmtId="10" xfId="0" applyAlignment="1" applyBorder="1" applyFont="1" applyNumberFormat="1">
      <alignment horizontal="center" vertical="center"/>
    </xf>
    <xf borderId="148" fillId="2" fontId="41" numFmtId="164" xfId="0" applyAlignment="1" applyBorder="1" applyFont="1" applyNumberFormat="1">
      <alignment readingOrder="0" shrinkToFit="0" vertical="center" wrapText="1"/>
    </xf>
    <xf borderId="118" fillId="8" fontId="41" numFmtId="3" xfId="0" applyAlignment="1" applyBorder="1" applyFont="1" applyNumberFormat="1">
      <alignment horizontal="center" vertical="center"/>
    </xf>
    <xf borderId="135" fillId="2" fontId="41" numFmtId="3" xfId="0" applyAlignment="1" applyBorder="1" applyFont="1" applyNumberFormat="1">
      <alignment horizontal="center"/>
    </xf>
    <xf borderId="135" fillId="2" fontId="22" numFmtId="3" xfId="0" applyAlignment="1" applyBorder="1" applyFont="1" applyNumberFormat="1">
      <alignment horizontal="center" readingOrder="0" vertical="center"/>
    </xf>
    <xf borderId="119" fillId="2" fontId="22" numFmtId="3" xfId="0" applyAlignment="1" applyBorder="1" applyFont="1" applyNumberFormat="1">
      <alignment horizontal="center"/>
    </xf>
    <xf borderId="131" fillId="2" fontId="22" numFmtId="3" xfId="0" applyAlignment="1" applyBorder="1" applyFont="1" applyNumberFormat="1">
      <alignment horizontal="center"/>
    </xf>
    <xf borderId="131" fillId="2" fontId="6" numFmtId="3" xfId="0" applyBorder="1" applyFont="1" applyNumberFormat="1"/>
    <xf borderId="134" fillId="2" fontId="6" numFmtId="3" xfId="0" applyBorder="1" applyFont="1" applyNumberFormat="1"/>
    <xf borderId="134" fillId="2" fontId="22" numFmtId="3" xfId="0" applyAlignment="1" applyBorder="1" applyFont="1" applyNumberFormat="1">
      <alignment horizontal="center" readingOrder="0" vertical="center"/>
    </xf>
    <xf borderId="113" fillId="8" fontId="41" numFmtId="172" xfId="0" applyAlignment="1" applyBorder="1" applyFont="1" applyNumberFormat="1">
      <alignment horizontal="center" vertical="center"/>
    </xf>
    <xf borderId="15" fillId="8" fontId="41" numFmtId="3" xfId="0" applyAlignment="1" applyBorder="1" applyFont="1" applyNumberFormat="1">
      <alignment horizontal="center" vertical="center"/>
    </xf>
    <xf borderId="155" fillId="2" fontId="19" numFmtId="0" xfId="0" applyBorder="1" applyFont="1"/>
    <xf borderId="40" fillId="2" fontId="22" numFmtId="0" xfId="0" applyAlignment="1" applyBorder="1" applyFont="1">
      <alignment readingOrder="0" shrinkToFit="0" vertical="center" wrapText="1"/>
    </xf>
    <xf borderId="44" fillId="2" fontId="19" numFmtId="0" xfId="0" applyBorder="1" applyFont="1"/>
    <xf borderId="104" fillId="2" fontId="19" numFmtId="0" xfId="0" applyBorder="1" applyFont="1"/>
    <xf borderId="137" fillId="2" fontId="22" numFmtId="169" xfId="0" applyAlignment="1" applyBorder="1" applyFont="1" applyNumberFormat="1">
      <alignment horizontal="center" readingOrder="0" vertical="center"/>
    </xf>
    <xf borderId="137" fillId="2" fontId="41" numFmtId="10" xfId="0" applyAlignment="1" applyBorder="1" applyFont="1" applyNumberFormat="1">
      <alignment horizontal="center" vertical="center"/>
    </xf>
    <xf borderId="125" fillId="8" fontId="41" numFmtId="172" xfId="0" applyAlignment="1" applyBorder="1" applyFont="1" applyNumberFormat="1">
      <alignment horizontal="center" vertical="center"/>
    </xf>
    <xf borderId="124" fillId="8" fontId="41" numFmtId="3" xfId="0" applyAlignment="1" applyBorder="1" applyFont="1" applyNumberFormat="1">
      <alignment horizontal="center" vertical="center"/>
    </xf>
    <xf borderId="136" fillId="8" fontId="41" numFmtId="172" xfId="0" applyAlignment="1" applyBorder="1" applyFont="1" applyNumberFormat="1">
      <alignment horizontal="center" vertical="center"/>
    </xf>
    <xf borderId="136" fillId="2" fontId="41" numFmtId="172" xfId="0" applyAlignment="1" applyBorder="1" applyFont="1" applyNumberFormat="1">
      <alignment horizontal="center"/>
    </xf>
    <xf borderId="117" fillId="2" fontId="41" numFmtId="3" xfId="0" applyAlignment="1" applyBorder="1" applyFont="1" applyNumberFormat="1">
      <alignment horizontal="center" readingOrder="0" vertical="center"/>
    </xf>
    <xf borderId="117" fillId="2" fontId="22" numFmtId="168" xfId="0" applyAlignment="1" applyBorder="1" applyFont="1" applyNumberFormat="1">
      <alignment horizontal="center" readingOrder="0" vertical="center"/>
    </xf>
    <xf borderId="117" fillId="2" fontId="41" numFmtId="3" xfId="0" applyAlignment="1" applyBorder="1" applyFont="1" applyNumberFormat="1">
      <alignment horizontal="center"/>
    </xf>
    <xf borderId="117" fillId="8" fontId="41" numFmtId="3" xfId="0" applyAlignment="1" applyBorder="1" applyFont="1" applyNumberFormat="1">
      <alignment horizontal="center"/>
    </xf>
    <xf borderId="117" fillId="2" fontId="41" numFmtId="3" xfId="0" applyAlignment="1" applyBorder="1" applyFont="1" applyNumberFormat="1">
      <alignment horizontal="center" readingOrder="0"/>
    </xf>
    <xf borderId="137" fillId="2" fontId="22" numFmtId="3" xfId="0" applyAlignment="1" applyBorder="1" applyFont="1" applyNumberFormat="1">
      <alignment horizontal="center" readingOrder="0" vertical="center"/>
    </xf>
    <xf borderId="117" fillId="2" fontId="22" numFmtId="3" xfId="0" applyAlignment="1" applyBorder="1" applyFont="1" applyNumberFormat="1">
      <alignment horizontal="center" readingOrder="0" vertical="center"/>
    </xf>
    <xf borderId="117" fillId="2" fontId="7" numFmtId="3" xfId="0" applyAlignment="1" applyBorder="1" applyFont="1" applyNumberFormat="1">
      <alignment horizontal="center" readingOrder="0" vertical="center"/>
    </xf>
    <xf borderId="136" fillId="2" fontId="41" numFmtId="3" xfId="0" applyAlignment="1" applyBorder="1" applyFont="1" applyNumberFormat="1">
      <alignment horizontal="center"/>
    </xf>
    <xf borderId="104" fillId="2" fontId="41" numFmtId="3" xfId="0" applyAlignment="1" applyBorder="1" applyFont="1" applyNumberFormat="1">
      <alignment horizontal="center"/>
    </xf>
    <xf borderId="137" fillId="2" fontId="41" numFmtId="3" xfId="0" applyAlignment="1" applyBorder="1" applyFont="1" applyNumberFormat="1">
      <alignment horizontal="center"/>
    </xf>
    <xf borderId="118" fillId="2" fontId="22" numFmtId="3" xfId="0" applyAlignment="1" applyBorder="1" applyFont="1" applyNumberFormat="1">
      <alignment horizontal="center" readingOrder="0" vertical="center"/>
    </xf>
    <xf borderId="152" fillId="11" fontId="36" numFmtId="0" xfId="0" applyAlignment="1" applyBorder="1" applyFont="1">
      <alignment horizontal="center" readingOrder="0" shrinkToFit="0" textRotation="90" vertical="center" wrapText="1"/>
    </xf>
    <xf borderId="153" fillId="9" fontId="44" numFmtId="3" xfId="0" applyAlignment="1" applyBorder="1" applyFont="1" applyNumberFormat="1">
      <alignment readingOrder="0" shrinkToFit="0" vertical="center" wrapText="1"/>
    </xf>
    <xf borderId="102" fillId="9" fontId="37" numFmtId="10" xfId="0" applyAlignment="1" applyBorder="1" applyFont="1" applyNumberFormat="1">
      <alignment horizontal="center" readingOrder="0" vertical="center"/>
    </xf>
    <xf borderId="102" fillId="9" fontId="41" numFmtId="10" xfId="0" applyAlignment="1" applyBorder="1" applyFont="1" applyNumberFormat="1">
      <alignment horizontal="center" vertical="center"/>
    </xf>
    <xf borderId="103" fillId="9" fontId="6" numFmtId="3" xfId="0" applyAlignment="1" applyBorder="1" applyFont="1" applyNumberFormat="1">
      <alignment vertical="center"/>
    </xf>
    <xf borderId="106" fillId="9" fontId="41" numFmtId="3" xfId="0" applyAlignment="1" applyBorder="1" applyFont="1" applyNumberFormat="1">
      <alignment horizontal="center" vertical="center"/>
    </xf>
    <xf borderId="106" fillId="8" fontId="41" numFmtId="10" xfId="0" applyAlignment="1" applyBorder="1" applyFont="1" applyNumberFormat="1">
      <alignment horizontal="center" readingOrder="0" vertical="center"/>
    </xf>
    <xf borderId="106" fillId="2" fontId="41" numFmtId="10" xfId="0" applyAlignment="1" applyBorder="1" applyFont="1" applyNumberFormat="1">
      <alignment horizontal="center" readingOrder="0"/>
    </xf>
    <xf borderId="103" fillId="9" fontId="41" numFmtId="3" xfId="0" applyAlignment="1" applyBorder="1" applyFont="1" applyNumberFormat="1">
      <alignment horizontal="center" readingOrder="0" vertical="center"/>
    </xf>
    <xf borderId="106" fillId="9" fontId="37" numFmtId="10" xfId="0" applyAlignment="1" applyBorder="1" applyFont="1" applyNumberFormat="1">
      <alignment horizontal="center" readingOrder="0" vertical="center"/>
    </xf>
    <xf borderId="102" fillId="9" fontId="22" numFmtId="10" xfId="0" applyAlignment="1" applyBorder="1" applyFont="1" applyNumberFormat="1">
      <alignment horizontal="center" readingOrder="0" vertical="center"/>
    </xf>
    <xf borderId="103" fillId="9" fontId="22" numFmtId="168" xfId="0" applyAlignment="1" applyBorder="1" applyFont="1" applyNumberFormat="1">
      <alignment horizontal="center" readingOrder="0" vertical="center"/>
    </xf>
    <xf borderId="106" fillId="9" fontId="41" numFmtId="10" xfId="0" applyAlignment="1" applyBorder="1" applyFont="1" applyNumberFormat="1">
      <alignment horizontal="center" readingOrder="0"/>
    </xf>
    <xf borderId="103" fillId="2" fontId="41" numFmtId="3" xfId="0" applyAlignment="1" applyBorder="1" applyFont="1" applyNumberFormat="1">
      <alignment horizontal="center"/>
    </xf>
    <xf borderId="103" fillId="8" fontId="41" numFmtId="3" xfId="0" applyAlignment="1" applyBorder="1" applyFont="1" applyNumberFormat="1">
      <alignment horizontal="center"/>
    </xf>
    <xf borderId="103" fillId="2" fontId="41" numFmtId="3" xfId="0" applyAlignment="1" applyBorder="1" applyFont="1" applyNumberFormat="1">
      <alignment horizontal="center" readingOrder="0"/>
    </xf>
    <xf borderId="102" fillId="9" fontId="22" numFmtId="3" xfId="0" applyAlignment="1" applyBorder="1" applyFont="1" applyNumberFormat="1">
      <alignment horizontal="center" vertical="center"/>
    </xf>
    <xf borderId="102" fillId="9" fontId="22" numFmtId="10" xfId="0" applyAlignment="1" applyBorder="1" applyFont="1" applyNumberFormat="1">
      <alignment horizontal="center" vertical="center"/>
    </xf>
    <xf borderId="103" fillId="9" fontId="6" numFmtId="168" xfId="0" applyAlignment="1" applyBorder="1" applyFont="1" applyNumberFormat="1">
      <alignment vertical="center"/>
    </xf>
    <xf borderId="106" fillId="9" fontId="22" numFmtId="10" xfId="0" applyAlignment="1" applyBorder="1" applyFont="1" applyNumberFormat="1">
      <alignment horizontal="center" readingOrder="0" vertical="center"/>
    </xf>
    <xf borderId="106" fillId="9" fontId="41" numFmtId="3" xfId="0" applyAlignment="1" applyBorder="1" applyFont="1" applyNumberFormat="1">
      <alignment horizontal="center"/>
    </xf>
    <xf borderId="103" fillId="9" fontId="22" numFmtId="3" xfId="0" applyAlignment="1" applyBorder="1" applyFont="1" applyNumberFormat="1">
      <alignment horizontal="center" readingOrder="0" vertical="center"/>
    </xf>
    <xf borderId="103" fillId="2" fontId="7" numFmtId="3" xfId="0" applyAlignment="1" applyBorder="1" applyFont="1" applyNumberFormat="1">
      <alignment horizontal="center" readingOrder="0" vertical="center"/>
    </xf>
    <xf borderId="103" fillId="9" fontId="7" numFmtId="3" xfId="0" applyAlignment="1" applyBorder="1" applyFont="1" applyNumberFormat="1">
      <alignment horizontal="center" readingOrder="0" vertical="center"/>
    </xf>
    <xf borderId="106" fillId="2" fontId="41" numFmtId="3" xfId="0" applyAlignment="1" applyBorder="1" applyFont="1" applyNumberFormat="1">
      <alignment horizontal="center"/>
    </xf>
    <xf borderId="60" fillId="9" fontId="22" numFmtId="3" xfId="0" applyAlignment="1" applyBorder="1" applyFont="1" applyNumberFormat="1">
      <alignment horizontal="center" readingOrder="0" vertical="center"/>
    </xf>
    <xf borderId="98" fillId="9" fontId="22" numFmtId="3" xfId="0" applyAlignment="1" applyBorder="1" applyFont="1" applyNumberFormat="1">
      <alignment horizontal="center"/>
    </xf>
    <xf borderId="154" fillId="9" fontId="22" numFmtId="3" xfId="0" applyAlignment="1" applyBorder="1" applyFont="1" applyNumberFormat="1">
      <alignment horizontal="center"/>
    </xf>
    <xf borderId="154" fillId="9" fontId="6" numFmtId="3" xfId="0" applyBorder="1" applyFont="1" applyNumberFormat="1"/>
    <xf borderId="61" fillId="9" fontId="6" numFmtId="3" xfId="0" applyBorder="1" applyFont="1" applyNumberFormat="1"/>
    <xf borderId="61" fillId="9" fontId="22" numFmtId="3" xfId="0" applyAlignment="1" applyBorder="1" applyFont="1" applyNumberFormat="1">
      <alignment horizontal="center" readingOrder="0" vertical="center"/>
    </xf>
    <xf borderId="111" fillId="8" fontId="41" numFmtId="165" xfId="0" applyAlignment="1" applyBorder="1" applyFont="1" applyNumberFormat="1">
      <alignment horizontal="center" vertical="center"/>
    </xf>
    <xf borderId="112" fillId="2" fontId="37" numFmtId="168" xfId="0" applyAlignment="1" applyBorder="1" applyFont="1" applyNumberFormat="1">
      <alignment horizontal="center" readingOrder="0" vertical="center"/>
    </xf>
    <xf borderId="111" fillId="9" fontId="41" numFmtId="3" xfId="0" applyAlignment="1" applyBorder="1" applyFont="1" applyNumberFormat="1">
      <alignment horizontal="center" vertical="center"/>
    </xf>
    <xf borderId="111" fillId="9" fontId="22" numFmtId="169" xfId="0" applyAlignment="1" applyBorder="1" applyFont="1" applyNumberFormat="1">
      <alignment horizontal="center" readingOrder="0" vertical="center"/>
    </xf>
    <xf borderId="33" fillId="9" fontId="22" numFmtId="169" xfId="0" applyAlignment="1" applyBorder="1" applyFont="1" applyNumberFormat="1">
      <alignment horizontal="center" readingOrder="0" vertical="center"/>
    </xf>
    <xf borderId="111" fillId="9" fontId="41" numFmtId="169" xfId="0" applyAlignment="1" applyBorder="1" applyFont="1" applyNumberFormat="1">
      <alignment horizontal="center"/>
    </xf>
    <xf borderId="112" fillId="8" fontId="41" numFmtId="4" xfId="0" applyAlignment="1" applyBorder="1" applyFont="1" applyNumberFormat="1">
      <alignment horizontal="center" readingOrder="0" vertical="center"/>
    </xf>
    <xf borderId="111" fillId="9" fontId="41" numFmtId="4" xfId="0" applyAlignment="1" applyBorder="1" applyFont="1" applyNumberFormat="1">
      <alignment horizontal="center" vertical="center"/>
    </xf>
    <xf borderId="33" fillId="9" fontId="22" numFmtId="165" xfId="0" applyAlignment="1" applyBorder="1" applyFont="1" applyNumberFormat="1">
      <alignment horizontal="center" readingOrder="0" vertical="center"/>
    </xf>
    <xf borderId="111" fillId="2" fontId="41" numFmtId="175" xfId="0" applyAlignment="1" applyBorder="1" applyFont="1" applyNumberFormat="1">
      <alignment horizontal="center" vertical="center"/>
    </xf>
    <xf borderId="111" fillId="8" fontId="41" numFmtId="175" xfId="0" applyAlignment="1" applyBorder="1" applyFont="1" applyNumberFormat="1">
      <alignment horizontal="center" vertical="center"/>
    </xf>
    <xf borderId="111" fillId="2" fontId="41" numFmtId="175" xfId="0" applyAlignment="1" applyBorder="1" applyFont="1" applyNumberFormat="1">
      <alignment horizontal="center"/>
    </xf>
    <xf borderId="105" fillId="2" fontId="22" numFmtId="9" xfId="0" applyAlignment="1" applyBorder="1" applyFont="1" applyNumberFormat="1">
      <alignment horizontal="center" readingOrder="0" vertical="center"/>
    </xf>
    <xf borderId="148" fillId="9" fontId="41" numFmtId="164" xfId="0" applyAlignment="1" applyBorder="1" applyFont="1" applyNumberFormat="1">
      <alignment readingOrder="0" shrinkToFit="0" vertical="center" wrapText="1"/>
    </xf>
    <xf borderId="134" fillId="9" fontId="22" numFmtId="3" xfId="0" applyAlignment="1" applyBorder="1" applyFont="1" applyNumberFormat="1">
      <alignment horizontal="center" readingOrder="0" vertical="center"/>
    </xf>
    <xf borderId="113" fillId="8" fontId="41" numFmtId="165" xfId="0" applyAlignment="1" applyBorder="1" applyFont="1" applyNumberFormat="1">
      <alignment horizontal="center" vertical="center"/>
    </xf>
    <xf borderId="155" fillId="9" fontId="19" numFmtId="0" xfId="0" applyBorder="1" applyFont="1"/>
    <xf borderId="156" fillId="9" fontId="22" numFmtId="0" xfId="0" applyAlignment="1" applyBorder="1" applyFont="1">
      <alignment readingOrder="0" shrinkToFit="0" vertical="center" wrapText="1"/>
    </xf>
    <xf borderId="123" fillId="9" fontId="22" numFmtId="169" xfId="0" applyAlignment="1" applyBorder="1" applyFont="1" applyNumberFormat="1">
      <alignment horizontal="center" readingOrder="0" vertical="center"/>
    </xf>
    <xf borderId="123" fillId="9" fontId="41" numFmtId="10" xfId="0" applyAlignment="1" applyBorder="1" applyFont="1" applyNumberFormat="1">
      <alignment horizontal="center" vertical="center"/>
    </xf>
    <xf borderId="135" fillId="9" fontId="19" numFmtId="0" xfId="0" applyBorder="1" applyFont="1"/>
    <xf borderId="113" fillId="9" fontId="41" numFmtId="165" xfId="0" applyAlignment="1" applyBorder="1" applyFont="1" applyNumberFormat="1">
      <alignment horizontal="center" vertical="center"/>
    </xf>
    <xf borderId="125" fillId="9" fontId="41" numFmtId="165" xfId="0" applyAlignment="1" applyBorder="1" applyFont="1" applyNumberFormat="1">
      <alignment horizontal="center" vertical="center"/>
    </xf>
    <xf borderId="125" fillId="8" fontId="41" numFmtId="165" xfId="0" applyAlignment="1" applyBorder="1" applyFont="1" applyNumberFormat="1">
      <alignment horizontal="center" vertical="center"/>
    </xf>
    <xf borderId="124" fillId="8" fontId="41" numFmtId="165" xfId="0" applyAlignment="1" applyBorder="1" applyFont="1" applyNumberFormat="1">
      <alignment horizontal="center" readingOrder="0" vertical="center"/>
    </xf>
    <xf borderId="125" fillId="2" fontId="41" numFmtId="165" xfId="0" applyAlignment="1" applyBorder="1" applyFont="1" applyNumberFormat="1">
      <alignment horizontal="center"/>
    </xf>
    <xf borderId="125" fillId="9" fontId="22" numFmtId="164" xfId="0" applyAlignment="1" applyBorder="1" applyFont="1" applyNumberFormat="1">
      <alignment horizontal="center" vertical="center"/>
    </xf>
    <xf borderId="123" fillId="9" fontId="22" numFmtId="164" xfId="0" applyAlignment="1" applyBorder="1" applyFont="1" applyNumberFormat="1">
      <alignment horizontal="center" vertical="center"/>
    </xf>
    <xf borderId="123" fillId="9" fontId="22" numFmtId="10" xfId="0" applyAlignment="1" applyBorder="1" applyFont="1" applyNumberFormat="1">
      <alignment horizontal="center" readingOrder="0" vertical="center"/>
    </xf>
    <xf borderId="124" fillId="9" fontId="22" numFmtId="168" xfId="0" applyAlignment="1" applyBorder="1" applyFont="1" applyNumberFormat="1">
      <alignment horizontal="center" readingOrder="0" vertical="center"/>
    </xf>
    <xf borderId="124" fillId="2" fontId="41" numFmtId="165" xfId="0" applyAlignment="1" applyBorder="1" applyFont="1" applyNumberFormat="1">
      <alignment horizontal="center" readingOrder="0"/>
    </xf>
    <xf borderId="136" fillId="9" fontId="22" numFmtId="3" xfId="0" applyAlignment="1" applyBorder="1" applyFont="1" applyNumberFormat="1">
      <alignment horizontal="center" vertical="center"/>
    </xf>
    <xf borderId="137" fillId="9" fontId="22" numFmtId="165" xfId="0" applyAlignment="1" applyBorder="1" applyFont="1" applyNumberFormat="1">
      <alignment horizontal="center" vertical="center"/>
    </xf>
    <xf borderId="137" fillId="9" fontId="22" numFmtId="10" xfId="0" applyAlignment="1" applyBorder="1" applyFont="1" applyNumberFormat="1">
      <alignment horizontal="center" vertical="center"/>
    </xf>
    <xf borderId="117" fillId="9" fontId="6" numFmtId="168" xfId="0" applyAlignment="1" applyBorder="1" applyFont="1" applyNumberFormat="1">
      <alignment vertical="center"/>
    </xf>
    <xf borderId="136" fillId="9" fontId="41" numFmtId="165" xfId="0" applyAlignment="1" applyBorder="1" applyFont="1" applyNumberFormat="1">
      <alignment horizontal="center"/>
    </xf>
    <xf borderId="137" fillId="9" fontId="6" numFmtId="3" xfId="0" applyAlignment="1" applyBorder="1" applyFont="1" applyNumberFormat="1">
      <alignment vertical="center"/>
    </xf>
    <xf borderId="117" fillId="9" fontId="6" numFmtId="3" xfId="0" applyAlignment="1" applyBorder="1" applyFont="1" applyNumberFormat="1">
      <alignment vertical="center"/>
    </xf>
    <xf borderId="157" fillId="11" fontId="36" numFmtId="0" xfId="0" applyAlignment="1" applyBorder="1" applyFont="1">
      <alignment horizontal="center" readingOrder="0" shrinkToFit="0" textRotation="90" vertical="center" wrapText="1"/>
    </xf>
    <xf borderId="127" fillId="2" fontId="44" numFmtId="3" xfId="0" applyAlignment="1" applyBorder="1" applyFont="1" applyNumberFormat="1">
      <alignment readingOrder="0" shrinkToFit="0" vertical="center" wrapText="1"/>
    </xf>
    <xf borderId="107" fillId="2" fontId="41" numFmtId="10" xfId="0" applyAlignment="1" applyBorder="1" applyFont="1" applyNumberFormat="1">
      <alignment horizontal="center" vertical="center"/>
    </xf>
    <xf borderId="126" fillId="2" fontId="6" numFmtId="3" xfId="0" applyAlignment="1" applyBorder="1" applyFont="1" applyNumberFormat="1">
      <alignment vertical="center"/>
    </xf>
    <xf borderId="152" fillId="9" fontId="43" numFmtId="3" xfId="0" applyAlignment="1" applyBorder="1" applyFont="1" applyNumberFormat="1">
      <alignment horizontal="center"/>
    </xf>
    <xf borderId="126" fillId="8" fontId="41" numFmtId="3" xfId="0" applyAlignment="1" applyBorder="1" applyFont="1" applyNumberFormat="1">
      <alignment horizontal="center" vertical="center"/>
    </xf>
    <xf borderId="113" fillId="8" fontId="41" numFmtId="3" xfId="0" applyAlignment="1" applyBorder="1" applyFont="1" applyNumberFormat="1">
      <alignment horizontal="center" vertical="center"/>
    </xf>
    <xf borderId="23" fillId="8" fontId="41" numFmtId="3" xfId="0" applyAlignment="1" applyBorder="1" applyFont="1" applyNumberFormat="1">
      <alignment horizontal="center" readingOrder="0" vertical="center"/>
    </xf>
    <xf borderId="113" fillId="2" fontId="41" numFmtId="3" xfId="0" applyAlignment="1" applyBorder="1" applyFont="1" applyNumberFormat="1">
      <alignment horizontal="center" readingOrder="0"/>
    </xf>
    <xf borderId="23" fillId="2" fontId="41" numFmtId="3" xfId="0" applyAlignment="1" applyBorder="1" applyFont="1" applyNumberFormat="1">
      <alignment horizontal="center" readingOrder="0" vertical="center"/>
    </xf>
    <xf borderId="113" fillId="2" fontId="37" numFmtId="10" xfId="0" applyAlignment="1" applyBorder="1" applyFont="1" applyNumberFormat="1">
      <alignment horizontal="center" readingOrder="0" vertical="center"/>
    </xf>
    <xf borderId="116" fillId="2" fontId="41" numFmtId="3" xfId="0" applyAlignment="1" applyBorder="1" applyFont="1" applyNumberFormat="1">
      <alignment horizontal="center"/>
    </xf>
    <xf borderId="116" fillId="8" fontId="41" numFmtId="3" xfId="0" applyAlignment="1" applyBorder="1" applyFont="1" applyNumberFormat="1">
      <alignment horizontal="center"/>
    </xf>
    <xf borderId="25" fillId="2" fontId="41" numFmtId="3" xfId="0" applyAlignment="1" applyBorder="1" applyFont="1" applyNumberFormat="1">
      <alignment horizontal="center" readingOrder="0"/>
    </xf>
    <xf borderId="106" fillId="2" fontId="22" numFmtId="10" xfId="0" applyAlignment="1" applyBorder="1" applyFont="1" applyNumberFormat="1">
      <alignment horizontal="center" readingOrder="0" vertical="center"/>
    </xf>
    <xf borderId="102" fillId="2" fontId="22" numFmtId="3" xfId="0" applyAlignment="1" applyBorder="1" applyFont="1" applyNumberFormat="1">
      <alignment horizontal="center" vertical="center"/>
    </xf>
    <xf borderId="102" fillId="2" fontId="22" numFmtId="10" xfId="0" applyAlignment="1" applyBorder="1" applyFont="1" applyNumberFormat="1">
      <alignment horizontal="center" vertical="center"/>
    </xf>
    <xf borderId="99" fillId="2" fontId="6" numFmtId="168" xfId="0" applyAlignment="1" applyBorder="1" applyFont="1" applyNumberFormat="1">
      <alignment vertical="center"/>
    </xf>
    <xf borderId="99" fillId="2" fontId="41" numFmtId="3" xfId="0" applyAlignment="1" applyBorder="1" applyFont="1" applyNumberFormat="1">
      <alignment horizontal="center" readingOrder="0" vertical="center"/>
    </xf>
    <xf borderId="106" fillId="2" fontId="22" numFmtId="3" xfId="0" applyAlignment="1" applyBorder="1" applyFont="1" applyNumberFormat="1">
      <alignment horizontal="center" vertical="center"/>
    </xf>
    <xf borderId="103" fillId="2" fontId="6" numFmtId="168" xfId="0" applyAlignment="1" applyBorder="1" applyFont="1" applyNumberFormat="1">
      <alignment vertical="center"/>
    </xf>
    <xf borderId="101" fillId="2" fontId="41" numFmtId="3" xfId="0" applyAlignment="1" applyBorder="1" applyFont="1" applyNumberFormat="1">
      <alignment horizontal="center"/>
    </xf>
    <xf borderId="34" fillId="9" fontId="41" numFmtId="3" xfId="0" applyAlignment="1" applyBorder="1" applyFont="1" applyNumberFormat="1">
      <alignment horizontal="center" readingOrder="0" vertical="center"/>
    </xf>
    <xf borderId="22" fillId="9" fontId="41" numFmtId="3" xfId="0" applyAlignment="1" applyBorder="1" applyFont="1" applyNumberFormat="1">
      <alignment horizontal="center"/>
    </xf>
    <xf borderId="34" fillId="9" fontId="6" numFmtId="168" xfId="0" applyAlignment="1" applyBorder="1" applyFont="1" applyNumberFormat="1">
      <alignment vertical="center"/>
    </xf>
    <xf borderId="33" fillId="9" fontId="41" numFmtId="3" xfId="0" applyAlignment="1" applyBorder="1" applyFont="1" applyNumberFormat="1">
      <alignment horizontal="center"/>
    </xf>
    <xf borderId="127" fillId="2" fontId="37" numFmtId="0" xfId="0" applyAlignment="1" applyBorder="1" applyFont="1">
      <alignment readingOrder="0" shrinkToFit="0" vertical="center" wrapText="1"/>
    </xf>
    <xf borderId="34" fillId="2" fontId="41" numFmtId="3" xfId="0" applyAlignment="1" applyBorder="1" applyFont="1" applyNumberFormat="1">
      <alignment horizontal="center" readingOrder="0" vertical="center"/>
    </xf>
    <xf borderId="34" fillId="2" fontId="6" numFmtId="168" xfId="0" applyAlignment="1" applyBorder="1" applyFont="1" applyNumberFormat="1">
      <alignment vertical="center"/>
    </xf>
    <xf borderId="127" fillId="9" fontId="37" numFmtId="0" xfId="0" applyAlignment="1" applyBorder="1" applyFont="1">
      <alignment readingOrder="0" shrinkToFit="0" vertical="center" wrapText="1"/>
    </xf>
    <xf borderId="111" fillId="9" fontId="22" numFmtId="3" xfId="0" applyAlignment="1" applyBorder="1" applyFont="1" applyNumberFormat="1">
      <alignment horizontal="center" readingOrder="0" vertical="center"/>
    </xf>
    <xf borderId="105" fillId="9" fontId="6" numFmtId="3" xfId="0" applyBorder="1" applyFont="1" applyNumberFormat="1"/>
    <xf borderId="112" fillId="9" fontId="6" numFmtId="3" xfId="0" applyBorder="1" applyFont="1" applyNumberFormat="1"/>
    <xf borderId="105" fillId="9" fontId="6" numFmtId="3" xfId="0" applyAlignment="1" applyBorder="1" applyFont="1" applyNumberFormat="1">
      <alignment vertical="center"/>
    </xf>
    <xf borderId="158" fillId="2" fontId="19" numFmtId="0" xfId="0" applyBorder="1" applyFont="1"/>
    <xf borderId="156" fillId="2" fontId="41" numFmtId="164" xfId="0" applyAlignment="1" applyBorder="1" applyFont="1" applyNumberFormat="1">
      <alignment readingOrder="0" shrinkToFit="0" vertical="center" wrapText="1"/>
    </xf>
    <xf borderId="123" fillId="2" fontId="41" numFmtId="10" xfId="0" applyAlignment="1" applyBorder="1" applyFont="1" applyNumberFormat="1">
      <alignment horizontal="center" vertical="center"/>
    </xf>
    <xf borderId="124" fillId="2" fontId="6" numFmtId="168" xfId="0" applyAlignment="1" applyBorder="1" applyFont="1" applyNumberFormat="1">
      <alignment vertical="center"/>
    </xf>
    <xf borderId="125" fillId="2" fontId="41" numFmtId="3" xfId="0" applyAlignment="1" applyBorder="1" applyFont="1" applyNumberFormat="1">
      <alignment horizontal="center" vertical="center"/>
    </xf>
    <xf borderId="120" fillId="8" fontId="41" numFmtId="3" xfId="0" applyAlignment="1" applyBorder="1" applyFont="1" applyNumberFormat="1">
      <alignment horizontal="center" vertical="center"/>
    </xf>
    <xf borderId="125" fillId="8" fontId="41" numFmtId="3" xfId="0" applyAlignment="1" applyBorder="1" applyFont="1" applyNumberFormat="1">
      <alignment horizontal="center" vertical="center"/>
    </xf>
    <xf borderId="120" fillId="8" fontId="41" numFmtId="3" xfId="0" applyAlignment="1" applyBorder="1" applyFont="1" applyNumberFormat="1">
      <alignment horizontal="center" readingOrder="0" vertical="center"/>
    </xf>
    <xf borderId="108" fillId="2" fontId="41" numFmtId="3" xfId="0" applyAlignment="1" applyBorder="1" applyFont="1" applyNumberFormat="1">
      <alignment horizontal="center" readingOrder="0"/>
    </xf>
    <xf borderId="118" fillId="2" fontId="41" numFmtId="3" xfId="0" applyAlignment="1" applyBorder="1" applyFont="1" applyNumberFormat="1">
      <alignment horizontal="center" readingOrder="0" vertical="center"/>
    </xf>
    <xf borderId="131" fillId="2" fontId="41" numFmtId="3" xfId="0" applyAlignment="1" applyBorder="1" applyFont="1" applyNumberFormat="1">
      <alignment horizontal="center"/>
    </xf>
    <xf borderId="134" fillId="2" fontId="41" numFmtId="3" xfId="0" applyAlignment="1" applyBorder="1" applyFont="1" applyNumberFormat="1">
      <alignment horizontal="center"/>
    </xf>
    <xf borderId="134" fillId="8" fontId="41" numFmtId="3" xfId="0" applyAlignment="1" applyBorder="1" applyFont="1" applyNumberFormat="1">
      <alignment horizontal="center"/>
    </xf>
    <xf borderId="135" fillId="2" fontId="41" numFmtId="3" xfId="0" applyAlignment="1" applyBorder="1" applyFont="1" applyNumberFormat="1">
      <alignment horizontal="center" readingOrder="0"/>
    </xf>
    <xf borderId="123" fillId="2" fontId="22" numFmtId="3" xfId="0" applyAlignment="1" applyBorder="1" applyFont="1" applyNumberFormat="1">
      <alignment horizontal="center" vertical="center"/>
    </xf>
    <xf borderId="123" fillId="2" fontId="22" numFmtId="10" xfId="0" applyAlignment="1" applyBorder="1" applyFont="1" applyNumberFormat="1">
      <alignment horizontal="center" vertical="center"/>
    </xf>
    <xf borderId="120" fillId="2" fontId="6" numFmtId="168" xfId="0" applyAlignment="1" applyBorder="1" applyFont="1" applyNumberFormat="1">
      <alignment vertical="center"/>
    </xf>
    <xf borderId="120" fillId="2" fontId="41" numFmtId="3" xfId="0" applyAlignment="1" applyBorder="1" applyFont="1" applyNumberFormat="1">
      <alignment horizontal="center" readingOrder="0" vertical="center"/>
    </xf>
    <xf borderId="136" fillId="2" fontId="22" numFmtId="3" xfId="0" applyAlignment="1" applyBorder="1" applyFont="1" applyNumberFormat="1">
      <alignment horizontal="center" vertical="center"/>
    </xf>
    <xf borderId="125" fillId="2" fontId="22" numFmtId="3" xfId="0" applyAlignment="1" applyBorder="1" applyFont="1" applyNumberFormat="1">
      <alignment horizontal="center" vertical="center"/>
    </xf>
    <xf borderId="123" fillId="2" fontId="6" numFmtId="3" xfId="0" applyAlignment="1" applyBorder="1" applyFont="1" applyNumberFormat="1">
      <alignment vertical="center"/>
    </xf>
    <xf borderId="124" fillId="2" fontId="6" numFmtId="3" xfId="0" applyAlignment="1" applyBorder="1" applyFont="1" applyNumberFormat="1">
      <alignment vertical="center"/>
    </xf>
    <xf borderId="125" fillId="2" fontId="22" numFmtId="3" xfId="0" applyAlignment="1" applyBorder="1" applyFont="1" applyNumberFormat="1">
      <alignment horizontal="center"/>
    </xf>
    <xf borderId="123" fillId="2" fontId="22" numFmtId="3" xfId="0" applyAlignment="1" applyBorder="1" applyFont="1" applyNumberFormat="1">
      <alignment horizontal="center"/>
    </xf>
    <xf borderId="123" fillId="2" fontId="6" numFmtId="3" xfId="0" applyBorder="1" applyFont="1" applyNumberFormat="1"/>
    <xf borderId="124" fillId="2" fontId="6" numFmtId="3" xfId="0" applyBorder="1" applyFont="1" applyNumberFormat="1"/>
    <xf borderId="22" fillId="9" fontId="22" numFmtId="10" xfId="0" applyAlignment="1" applyBorder="1" applyFont="1" applyNumberFormat="1">
      <alignment horizontal="center" readingOrder="0" vertical="center"/>
    </xf>
    <xf borderId="149" fillId="9" fontId="41" numFmtId="10" xfId="0" applyAlignment="1" applyBorder="1" applyFont="1" applyNumberFormat="1">
      <alignment horizontal="center" vertical="center"/>
    </xf>
    <xf borderId="159" fillId="9" fontId="6" numFmtId="168" xfId="0" applyAlignment="1" applyBorder="1" applyFont="1" applyNumberFormat="1">
      <alignment vertical="center"/>
    </xf>
    <xf borderId="0" fillId="9" fontId="43" numFmtId="3" xfId="0" applyAlignment="1" applyFont="1" applyNumberFormat="1">
      <alignment horizontal="center"/>
    </xf>
    <xf borderId="160" fillId="2" fontId="41" numFmtId="3" xfId="0" applyAlignment="1" applyBorder="1" applyFont="1" applyNumberFormat="1">
      <alignment horizontal="center" readingOrder="0"/>
    </xf>
    <xf borderId="161" fillId="9" fontId="41" numFmtId="3" xfId="0" applyAlignment="1" applyBorder="1" applyFont="1" applyNumberFormat="1">
      <alignment horizontal="center" readingOrder="0" vertical="center"/>
    </xf>
    <xf borderId="107" fillId="9" fontId="22" numFmtId="3" xfId="0" applyAlignment="1" applyBorder="1" applyFont="1" applyNumberFormat="1">
      <alignment horizontal="center" vertical="center"/>
    </xf>
    <xf borderId="106" fillId="9" fontId="22" numFmtId="3" xfId="0" applyAlignment="1" applyBorder="1" applyFont="1" applyNumberFormat="1">
      <alignment horizontal="center" vertical="center"/>
    </xf>
    <xf borderId="99" fillId="9" fontId="41" numFmtId="3" xfId="0" applyAlignment="1" applyBorder="1" applyFont="1" applyNumberFormat="1">
      <alignment horizontal="center" readingOrder="0" vertical="center"/>
    </xf>
    <xf borderId="102" fillId="9" fontId="6" numFmtId="3" xfId="0" applyAlignment="1" applyBorder="1" applyFont="1" applyNumberFormat="1">
      <alignment vertical="center"/>
    </xf>
    <xf borderId="107" fillId="9" fontId="22" numFmtId="3" xfId="0" applyAlignment="1" applyBorder="1" applyFont="1" applyNumberFormat="1">
      <alignment horizontal="center"/>
    </xf>
    <xf borderId="107" fillId="9" fontId="6" numFmtId="3" xfId="0" applyBorder="1" applyFont="1" applyNumberFormat="1"/>
    <xf borderId="116" fillId="2" fontId="19" numFmtId="0" xfId="0" applyBorder="1" applyFont="1"/>
    <xf borderId="162" fillId="2" fontId="41" numFmtId="3" xfId="0" applyAlignment="1" applyBorder="1" applyFont="1" applyNumberFormat="1">
      <alignment horizontal="center" readingOrder="0"/>
    </xf>
    <xf borderId="163" fillId="9" fontId="19" numFmtId="0" xfId="0" applyBorder="1" applyFont="1"/>
    <xf borderId="33" fillId="9" fontId="22" numFmtId="3" xfId="0" applyAlignment="1" applyBorder="1" applyFont="1" applyNumberFormat="1">
      <alignment horizontal="center" readingOrder="0" vertical="center"/>
    </xf>
    <xf borderId="23" fillId="9" fontId="41" numFmtId="10" xfId="0" applyAlignment="1" applyBorder="1" applyFont="1" applyNumberFormat="1">
      <alignment horizontal="center" vertical="center"/>
    </xf>
    <xf borderId="141" fillId="9" fontId="6" numFmtId="3" xfId="0" applyAlignment="1" applyBorder="1" applyFont="1" applyNumberFormat="1">
      <alignment vertical="center"/>
    </xf>
    <xf borderId="163" fillId="2" fontId="19" numFmtId="0" xfId="0" applyBorder="1" applyFont="1"/>
    <xf borderId="141" fillId="2" fontId="6" numFmtId="3" xfId="0" applyAlignment="1" applyBorder="1" applyFont="1" applyNumberFormat="1">
      <alignment vertical="center"/>
    </xf>
    <xf borderId="33" fillId="2" fontId="22" numFmtId="10" xfId="0" applyAlignment="1" applyBorder="1" applyFont="1" applyNumberFormat="1">
      <alignment horizontal="center" readingOrder="0" vertical="center"/>
    </xf>
    <xf borderId="158" fillId="9" fontId="19" numFmtId="0" xfId="0" applyBorder="1" applyFont="1"/>
    <xf borderId="41" fillId="9" fontId="19" numFmtId="0" xfId="0" applyBorder="1" applyFont="1"/>
    <xf borderId="104" fillId="9" fontId="22" numFmtId="169" xfId="0" applyAlignment="1" applyBorder="1" applyFont="1" applyNumberFormat="1">
      <alignment horizontal="center" readingOrder="0" vertical="center"/>
    </xf>
    <xf borderId="15" fillId="9" fontId="41" numFmtId="10" xfId="0" applyAlignment="1" applyBorder="1" applyFont="1" applyNumberFormat="1">
      <alignment horizontal="center" vertical="center"/>
    </xf>
    <xf borderId="164" fillId="9" fontId="6" numFmtId="3" xfId="0" applyAlignment="1" applyBorder="1" applyFont="1" applyNumberFormat="1">
      <alignment vertical="center"/>
    </xf>
    <xf borderId="125" fillId="9" fontId="41" numFmtId="3" xfId="0" applyAlignment="1" applyBorder="1" applyFont="1" applyNumberFormat="1">
      <alignment horizontal="center" vertical="center"/>
    </xf>
    <xf borderId="117" fillId="8" fontId="41" numFmtId="3" xfId="0" applyAlignment="1" applyBorder="1" applyFont="1" applyNumberFormat="1">
      <alignment horizontal="center" vertical="center"/>
    </xf>
    <xf borderId="136" fillId="8" fontId="41" numFmtId="3" xfId="0" applyAlignment="1" applyBorder="1" applyFont="1" applyNumberFormat="1">
      <alignment horizontal="center" vertical="center"/>
    </xf>
    <xf borderId="165" fillId="2" fontId="41" numFmtId="3" xfId="0" applyAlignment="1" applyBorder="1" applyFont="1" applyNumberFormat="1">
      <alignment horizontal="center" readingOrder="0"/>
    </xf>
    <xf borderId="118" fillId="9" fontId="41" numFmtId="3" xfId="0" applyAlignment="1" applyBorder="1" applyFont="1" applyNumberFormat="1">
      <alignment horizontal="center" readingOrder="0" vertical="center"/>
    </xf>
    <xf borderId="149" fillId="9" fontId="22" numFmtId="10" xfId="0" applyAlignment="1" applyBorder="1" applyFont="1" applyNumberFormat="1">
      <alignment horizontal="center" readingOrder="0" vertical="center"/>
    </xf>
    <xf borderId="166" fillId="9" fontId="22" numFmtId="168" xfId="0" applyAlignment="1" applyBorder="1" applyFont="1" applyNumberFormat="1">
      <alignment horizontal="center" readingOrder="0" vertical="center"/>
    </xf>
    <xf borderId="9" fillId="9" fontId="41" numFmtId="3" xfId="0" applyAlignment="1" applyBorder="1" applyFont="1" applyNumberFormat="1">
      <alignment horizontal="center"/>
    </xf>
    <xf borderId="91" fillId="2" fontId="41" numFmtId="3" xfId="0" applyAlignment="1" applyBorder="1" applyFont="1" applyNumberFormat="1">
      <alignment horizontal="center"/>
    </xf>
    <xf borderId="91" fillId="8" fontId="41" numFmtId="3" xfId="0" applyAlignment="1" applyBorder="1" applyFont="1" applyNumberFormat="1">
      <alignment horizontal="center"/>
    </xf>
    <xf borderId="0" fillId="2" fontId="41" numFmtId="3" xfId="0" applyAlignment="1" applyFont="1" applyNumberFormat="1">
      <alignment horizontal="center" readingOrder="0"/>
    </xf>
    <xf borderId="125" fillId="9" fontId="41" numFmtId="3" xfId="0" applyAlignment="1" applyBorder="1" applyFont="1" applyNumberFormat="1">
      <alignment horizontal="center"/>
    </xf>
    <xf borderId="120" fillId="9" fontId="41" numFmtId="3" xfId="0" applyAlignment="1" applyBorder="1" applyFont="1" applyNumberFormat="1">
      <alignment horizontal="center" readingOrder="0" vertical="center"/>
    </xf>
    <xf borderId="137" fillId="9" fontId="22" numFmtId="3" xfId="0" applyAlignment="1" applyBorder="1" applyFont="1" applyNumberFormat="1">
      <alignment horizontal="center"/>
    </xf>
    <xf borderId="137" fillId="9" fontId="6" numFmtId="3" xfId="0" applyBorder="1" applyFont="1" applyNumberFormat="1"/>
    <xf borderId="152" fillId="11" fontId="17" numFmtId="0" xfId="0" applyAlignment="1" applyBorder="1" applyFont="1">
      <alignment horizontal="center" readingOrder="0" shrinkToFit="0" textRotation="90" vertical="center" wrapText="1"/>
    </xf>
    <xf borderId="153" fillId="2" fontId="22" numFmtId="0" xfId="0" applyAlignment="1" applyBorder="1" applyFont="1">
      <alignment readingOrder="0" shrinkToFit="0" vertical="center" wrapText="1"/>
    </xf>
    <xf borderId="100" fillId="9" fontId="43" numFmtId="3" xfId="0" applyAlignment="1" applyBorder="1" applyFont="1" applyNumberFormat="1">
      <alignment horizontal="center"/>
    </xf>
    <xf borderId="106" fillId="2" fontId="41" numFmtId="10" xfId="0" applyAlignment="1" applyBorder="1" applyFont="1" applyNumberFormat="1">
      <alignment horizontal="center" vertical="center"/>
    </xf>
    <xf borderId="103" fillId="8" fontId="41" numFmtId="10" xfId="0" applyAlignment="1" applyBorder="1" applyFont="1" applyNumberFormat="1">
      <alignment horizontal="center" readingOrder="0" vertical="center"/>
    </xf>
    <xf borderId="106" fillId="2" fontId="41" numFmtId="10" xfId="0" applyAlignment="1" applyBorder="1" applyFont="1" applyNumberFormat="1">
      <alignment horizontal="center"/>
    </xf>
    <xf borderId="99" fillId="2" fontId="41" numFmtId="3" xfId="0" applyAlignment="1" applyBorder="1" applyFont="1" applyNumberFormat="1">
      <alignment horizontal="center" readingOrder="0"/>
    </xf>
    <xf borderId="106" fillId="2" fontId="22" numFmtId="10" xfId="0" applyAlignment="1" applyBorder="1" applyFont="1" applyNumberFormat="1">
      <alignment horizontal="center" vertical="center"/>
    </xf>
    <xf borderId="22" fillId="2" fontId="41" numFmtId="10" xfId="0" applyAlignment="1" applyBorder="1" applyFont="1" applyNumberFormat="1">
      <alignment horizontal="center"/>
    </xf>
    <xf borderId="103" fillId="2" fontId="22" numFmtId="3" xfId="0" applyAlignment="1" applyBorder="1" applyFont="1" applyNumberFormat="1">
      <alignment horizontal="center" readingOrder="0" vertical="center"/>
    </xf>
    <xf borderId="102" fillId="2" fontId="22" numFmtId="10" xfId="0" applyAlignment="1" applyBorder="1" applyFont="1" applyNumberFormat="1">
      <alignment vertical="center"/>
    </xf>
    <xf borderId="106" fillId="2" fontId="22" numFmtId="10" xfId="0" applyAlignment="1" applyBorder="1" applyFont="1" applyNumberFormat="1">
      <alignment horizontal="center"/>
    </xf>
    <xf borderId="102" fillId="2" fontId="22" numFmtId="3" xfId="0" applyAlignment="1" applyBorder="1" applyFont="1" applyNumberFormat="1">
      <alignment horizontal="center"/>
    </xf>
    <xf borderId="102" fillId="2" fontId="6" numFmtId="3" xfId="0" applyBorder="1" applyFont="1" applyNumberFormat="1"/>
    <xf borderId="103" fillId="2" fontId="6" numFmtId="3" xfId="0" applyBorder="1" applyFont="1" applyNumberFormat="1"/>
    <xf borderId="109" fillId="9" fontId="43" numFmtId="3" xfId="0" applyAlignment="1" applyBorder="1" applyFont="1" applyNumberFormat="1">
      <alignment horizontal="center"/>
    </xf>
    <xf borderId="112" fillId="2" fontId="41" numFmtId="165" xfId="0" applyAlignment="1" applyBorder="1" applyFont="1" applyNumberFormat="1">
      <alignment horizontal="center"/>
    </xf>
    <xf borderId="33" fillId="9" fontId="41" numFmtId="165" xfId="0" applyAlignment="1" applyBorder="1" applyFont="1" applyNumberFormat="1">
      <alignment horizontal="center"/>
    </xf>
    <xf borderId="112" fillId="8" fontId="41" numFmtId="165" xfId="0" applyAlignment="1" applyBorder="1" applyFont="1" applyNumberFormat="1">
      <alignment horizontal="center" vertical="center"/>
    </xf>
    <xf borderId="112" fillId="2" fontId="7" numFmtId="165" xfId="0" applyAlignment="1" applyBorder="1" applyFont="1" applyNumberFormat="1">
      <alignment horizontal="center" vertical="center"/>
    </xf>
    <xf borderId="105" fillId="9" fontId="22" numFmtId="10" xfId="0" applyAlignment="1" applyBorder="1" applyFont="1" applyNumberFormat="1">
      <alignment vertical="center"/>
    </xf>
    <xf borderId="112" fillId="2" fontId="41" numFmtId="4" xfId="0" applyAlignment="1" applyBorder="1" applyFont="1" applyNumberFormat="1">
      <alignment horizontal="center" readingOrder="0" vertical="center"/>
    </xf>
    <xf borderId="112" fillId="8" fontId="41" numFmtId="3" xfId="0" applyAlignment="1" applyBorder="1" applyFont="1" applyNumberFormat="1">
      <alignment horizontal="center" readingOrder="0"/>
    </xf>
    <xf borderId="33" fillId="2" fontId="41" numFmtId="4" xfId="0" applyAlignment="1" applyBorder="1" applyFont="1" applyNumberFormat="1">
      <alignment horizontal="center"/>
    </xf>
    <xf borderId="105" fillId="2" fontId="22" numFmtId="10" xfId="0" applyAlignment="1" applyBorder="1" applyFont="1" applyNumberFormat="1">
      <alignment vertical="center"/>
    </xf>
    <xf borderId="111" fillId="2" fontId="22" numFmtId="4" xfId="0" applyAlignment="1" applyBorder="1" applyFont="1" applyNumberFormat="1">
      <alignment horizontal="center"/>
    </xf>
    <xf borderId="111" fillId="2" fontId="22" numFmtId="171" xfId="0" applyAlignment="1" applyBorder="1" applyFont="1" applyNumberFormat="1">
      <alignment horizontal="center"/>
    </xf>
    <xf borderId="112" fillId="2" fontId="41" numFmtId="10" xfId="0" applyAlignment="1" applyBorder="1" applyFont="1" applyNumberFormat="1">
      <alignment horizontal="center"/>
    </xf>
    <xf borderId="148" fillId="9" fontId="22" numFmtId="10" xfId="0" applyAlignment="1" applyBorder="1" applyFont="1" applyNumberFormat="1">
      <alignment horizontal="center" vertical="center"/>
    </xf>
    <xf borderId="33" fillId="9" fontId="41" numFmtId="10" xfId="0" applyAlignment="1" applyBorder="1" applyFont="1" applyNumberFormat="1">
      <alignment horizontal="center"/>
    </xf>
    <xf borderId="107" fillId="2" fontId="22" numFmtId="165" xfId="0" applyAlignment="1" applyBorder="1" applyFont="1" applyNumberFormat="1">
      <alignment horizontal="center" vertical="center"/>
    </xf>
    <xf borderId="33" fillId="2" fontId="41" numFmtId="165" xfId="0" applyAlignment="1" applyBorder="1" applyFont="1" applyNumberFormat="1">
      <alignment horizontal="center"/>
    </xf>
    <xf borderId="111" fillId="2" fontId="22" numFmtId="165" xfId="0" applyAlignment="1" applyBorder="1" applyFont="1" applyNumberFormat="1">
      <alignment horizontal="center"/>
    </xf>
    <xf borderId="112" fillId="8" fontId="41" numFmtId="4" xfId="0" applyAlignment="1" applyBorder="1" applyFont="1" applyNumberFormat="1">
      <alignment horizontal="center" vertical="center"/>
    </xf>
    <xf borderId="105" fillId="9" fontId="22" numFmtId="4" xfId="0" applyAlignment="1" applyBorder="1" applyFont="1" applyNumberFormat="1">
      <alignment horizontal="center" vertical="center"/>
    </xf>
    <xf borderId="33" fillId="9" fontId="41" numFmtId="4" xfId="0" applyAlignment="1" applyBorder="1" applyFont="1" applyNumberFormat="1">
      <alignment horizontal="center"/>
    </xf>
    <xf borderId="111" fillId="9" fontId="22" numFmtId="171" xfId="0" applyAlignment="1" applyBorder="1" applyFont="1" applyNumberFormat="1">
      <alignment horizontal="center"/>
    </xf>
    <xf borderId="33" fillId="2" fontId="41" numFmtId="10" xfId="0" applyAlignment="1" applyBorder="1" applyFont="1" applyNumberFormat="1">
      <alignment horizontal="center"/>
    </xf>
    <xf borderId="111" fillId="2" fontId="22" numFmtId="10" xfId="0" applyAlignment="1" applyBorder="1" applyFont="1" applyNumberFormat="1">
      <alignment horizontal="center"/>
    </xf>
    <xf borderId="112" fillId="8" fontId="41" numFmtId="171" xfId="0" applyAlignment="1" applyBorder="1" applyFont="1" applyNumberFormat="1">
      <alignment horizontal="center" vertical="center"/>
    </xf>
    <xf borderId="111" fillId="9" fontId="22" numFmtId="4" xfId="0" applyAlignment="1" applyBorder="1" applyFont="1" applyNumberFormat="1">
      <alignment horizontal="center"/>
    </xf>
    <xf borderId="121" fillId="9" fontId="43" numFmtId="3" xfId="0" applyAlignment="1" applyBorder="1" applyFont="1" applyNumberFormat="1">
      <alignment horizontal="center"/>
    </xf>
    <xf borderId="125" fillId="2" fontId="41" numFmtId="165" xfId="0" applyAlignment="1" applyBorder="1" applyFont="1" applyNumberFormat="1">
      <alignment horizontal="center" vertical="center"/>
    </xf>
    <xf borderId="124" fillId="8" fontId="41" numFmtId="165" xfId="0" applyAlignment="1" applyBorder="1" applyFont="1" applyNumberFormat="1">
      <alignment horizontal="center" vertical="center"/>
    </xf>
    <xf borderId="120" fillId="8" fontId="41" numFmtId="165" xfId="0" applyAlignment="1" applyBorder="1" applyFont="1" applyNumberFormat="1">
      <alignment horizontal="center" readingOrder="0" vertical="center"/>
    </xf>
    <xf borderId="148" fillId="9" fontId="41" numFmtId="0" xfId="0" applyAlignment="1" applyBorder="1" applyFont="1">
      <alignment readingOrder="0" shrinkToFit="0" vertical="center" wrapText="1"/>
    </xf>
    <xf borderId="9" fillId="9" fontId="41" numFmtId="165" xfId="0" applyAlignment="1" applyBorder="1" applyFont="1" applyNumberFormat="1">
      <alignment horizontal="center" vertical="center"/>
    </xf>
    <xf borderId="91" fillId="8" fontId="41" numFmtId="165" xfId="0" applyAlignment="1" applyBorder="1" applyFont="1" applyNumberFormat="1">
      <alignment horizontal="center" vertical="center"/>
    </xf>
    <xf borderId="108" fillId="9" fontId="41" numFmtId="165" xfId="0" applyAlignment="1" applyBorder="1" applyFont="1" applyNumberFormat="1">
      <alignment horizontal="center" vertical="center"/>
    </xf>
    <xf borderId="15" fillId="8" fontId="41" numFmtId="165" xfId="0" applyAlignment="1" applyBorder="1" applyFont="1" applyNumberFormat="1">
      <alignment horizontal="center" readingOrder="0" vertical="center"/>
    </xf>
    <xf borderId="156" fillId="2" fontId="41" numFmtId="0" xfId="0" applyAlignment="1" applyBorder="1" applyFont="1">
      <alignment readingOrder="0" shrinkToFit="0" vertical="center" wrapText="1"/>
    </xf>
    <xf borderId="123" fillId="2" fontId="22" numFmtId="3" xfId="0" applyAlignment="1" applyBorder="1" applyFont="1" applyNumberFormat="1">
      <alignment horizontal="center" readingOrder="0" vertical="center"/>
    </xf>
    <xf borderId="123" fillId="2" fontId="22" numFmtId="165" xfId="0" applyAlignment="1" applyBorder="1" applyFont="1" applyNumberFormat="1">
      <alignment horizontal="center" readingOrder="0" vertical="center"/>
    </xf>
    <xf borderId="9" fillId="2" fontId="41" numFmtId="165" xfId="0" applyAlignment="1" applyBorder="1" applyFont="1" applyNumberFormat="1">
      <alignment horizontal="center" vertical="center"/>
    </xf>
    <xf borderId="108" fillId="2" fontId="41" numFmtId="165" xfId="0" applyAlignment="1" applyBorder="1" applyFont="1" applyNumberFormat="1">
      <alignment horizontal="center" vertical="center"/>
    </xf>
    <xf borderId="124" fillId="2" fontId="41" numFmtId="3" xfId="0" applyAlignment="1" applyBorder="1" applyFont="1" applyNumberFormat="1">
      <alignment horizontal="center" readingOrder="0" vertical="center"/>
    </xf>
    <xf borderId="120" fillId="2" fontId="41" numFmtId="3" xfId="0" applyAlignment="1" applyBorder="1" applyFont="1" applyNumberFormat="1">
      <alignment horizontal="center" readingOrder="0"/>
    </xf>
    <xf borderId="123" fillId="2" fontId="22" numFmtId="165" xfId="0" applyAlignment="1" applyBorder="1" applyFont="1" applyNumberFormat="1">
      <alignment horizontal="center" vertical="center"/>
    </xf>
    <xf borderId="122" fillId="2" fontId="41" numFmtId="165" xfId="0" applyAlignment="1" applyBorder="1" applyFont="1" applyNumberFormat="1">
      <alignment horizontal="center"/>
    </xf>
    <xf borderId="124" fillId="2" fontId="22" numFmtId="3" xfId="0" applyAlignment="1" applyBorder="1" applyFont="1" applyNumberFormat="1">
      <alignment horizontal="center" readingOrder="0" vertical="center"/>
    </xf>
    <xf borderId="138" fillId="10" fontId="17" numFmtId="0" xfId="0" applyAlignment="1" applyBorder="1" applyFont="1">
      <alignment horizontal="center" readingOrder="0" shrinkToFit="0" textRotation="90" vertical="center" wrapText="1"/>
    </xf>
    <xf borderId="25" fillId="9" fontId="22" numFmtId="0" xfId="0" applyAlignment="1" applyBorder="1" applyFont="1">
      <alignment readingOrder="0" shrinkToFit="0" vertical="center" wrapText="1"/>
    </xf>
    <xf borderId="27" fillId="9" fontId="19" numFmtId="0" xfId="0" applyBorder="1" applyFont="1"/>
    <xf borderId="107" fillId="9" fontId="22" numFmtId="3" xfId="0" applyAlignment="1" applyBorder="1" applyFont="1" applyNumberFormat="1">
      <alignment horizontal="center" readingOrder="0" vertical="center"/>
    </xf>
    <xf borderId="107" fillId="9" fontId="22" numFmtId="0" xfId="0" applyAlignment="1" applyBorder="1" applyFont="1">
      <alignment horizontal="center" readingOrder="0" vertical="center"/>
    </xf>
    <xf borderId="167" fillId="9" fontId="27" numFmtId="164" xfId="0" applyAlignment="1" applyBorder="1" applyFont="1" applyNumberFormat="1">
      <alignment horizontal="left" readingOrder="0" vertical="center"/>
    </xf>
    <xf borderId="22" fillId="9" fontId="41" numFmtId="0" xfId="0" applyAlignment="1" applyBorder="1" applyFont="1">
      <alignment horizontal="center" vertical="center"/>
    </xf>
    <xf borderId="116" fillId="9" fontId="41" numFmtId="0" xfId="0" applyAlignment="1" applyBorder="1" applyFont="1">
      <alignment horizontal="center" vertical="center"/>
    </xf>
    <xf borderId="113" fillId="9" fontId="41" numFmtId="0" xfId="0" applyAlignment="1" applyBorder="1" applyFont="1">
      <alignment horizontal="center" vertical="center"/>
    </xf>
    <xf borderId="116" fillId="9" fontId="41" numFmtId="0" xfId="0" applyAlignment="1" applyBorder="1" applyFont="1">
      <alignment horizontal="center" readingOrder="0" vertical="center"/>
    </xf>
    <xf borderId="22" fillId="9" fontId="41" numFmtId="0" xfId="0" applyAlignment="1" applyBorder="1" applyFont="1">
      <alignment horizontal="center" readingOrder="0" vertical="center"/>
    </xf>
    <xf borderId="116" fillId="9" fontId="7" numFmtId="0" xfId="0" applyAlignment="1" applyBorder="1" applyFont="1">
      <alignment horizontal="center" readingOrder="0" vertical="center"/>
    </xf>
    <xf borderId="25" fillId="9" fontId="7" numFmtId="0" xfId="0" applyAlignment="1" applyBorder="1" applyFont="1">
      <alignment horizontal="center" readingOrder="0" vertical="center"/>
    </xf>
    <xf borderId="22" fillId="9" fontId="41" numFmtId="10" xfId="0" applyAlignment="1" applyBorder="1" applyFont="1" applyNumberFormat="1">
      <alignment horizontal="center" vertical="center"/>
    </xf>
    <xf borderId="113" fillId="9" fontId="41" numFmtId="10" xfId="0" applyAlignment="1" applyBorder="1" applyFont="1" applyNumberFormat="1">
      <alignment horizontal="center" vertical="center"/>
    </xf>
    <xf borderId="22" fillId="9" fontId="22" numFmtId="10" xfId="0" applyAlignment="1" applyBorder="1" applyFont="1" applyNumberFormat="1">
      <alignment horizontal="center" vertical="center"/>
    </xf>
    <xf borderId="113" fillId="9" fontId="41" numFmtId="0" xfId="0" applyAlignment="1" applyBorder="1" applyFont="1">
      <alignment horizontal="center" readingOrder="0" vertical="center"/>
    </xf>
    <xf borderId="113" fillId="9" fontId="6" numFmtId="0" xfId="0" applyAlignment="1" applyBorder="1" applyFont="1">
      <alignment readingOrder="0" vertical="center"/>
    </xf>
    <xf borderId="116" fillId="9" fontId="6" numFmtId="0" xfId="0" applyAlignment="1" applyBorder="1" applyFont="1">
      <alignment readingOrder="0" vertical="center"/>
    </xf>
    <xf borderId="22" fillId="9" fontId="7" numFmtId="0" xfId="0" applyAlignment="1" applyBorder="1" applyFont="1">
      <alignment horizontal="center" readingOrder="0" vertical="center"/>
    </xf>
    <xf borderId="113" fillId="9" fontId="22" numFmtId="0" xfId="0" applyAlignment="1" applyBorder="1" applyFont="1">
      <alignment horizontal="center" readingOrder="0" vertical="center"/>
    </xf>
    <xf borderId="126" fillId="9" fontId="22" numFmtId="0" xfId="0" applyAlignment="1" applyBorder="1" applyFont="1">
      <alignment horizontal="center" readingOrder="0" vertical="center"/>
    </xf>
    <xf borderId="126" fillId="9" fontId="7" numFmtId="0" xfId="0" applyAlignment="1" applyBorder="1" applyFont="1">
      <alignment horizontal="center" readingOrder="0" vertical="center"/>
    </xf>
    <xf borderId="129" fillId="9" fontId="22" numFmtId="0" xfId="0" applyAlignment="1" applyBorder="1" applyFont="1">
      <alignment horizontal="center" readingOrder="0" vertical="center"/>
    </xf>
    <xf borderId="128" fillId="9" fontId="22" numFmtId="0" xfId="0" applyAlignment="1" applyBorder="1" applyFont="1">
      <alignment horizontal="center" readingOrder="0" vertical="center"/>
    </xf>
    <xf borderId="168" fillId="9" fontId="22" numFmtId="0" xfId="0" applyAlignment="1" applyBorder="1" applyFont="1">
      <alignment horizontal="center" readingOrder="0" vertical="center"/>
    </xf>
    <xf borderId="169" fillId="9" fontId="22" numFmtId="0" xfId="0" applyAlignment="1" applyBorder="1" applyFont="1">
      <alignment horizontal="center" readingOrder="0" vertical="center"/>
    </xf>
    <xf borderId="99" fillId="9" fontId="22" numFmtId="0" xfId="0" applyAlignment="1" applyBorder="1" applyFont="1">
      <alignment horizontal="center" readingOrder="0" vertical="center"/>
    </xf>
    <xf borderId="138" fillId="0" fontId="19" numFmtId="0" xfId="0" applyBorder="1" applyFont="1"/>
    <xf borderId="109" fillId="0" fontId="22" numFmtId="3" xfId="0" applyAlignment="1" applyBorder="1" applyFont="1" applyNumberFormat="1">
      <alignment readingOrder="0" shrinkToFit="0" vertical="center" wrapText="1"/>
    </xf>
    <xf borderId="109" fillId="0" fontId="19" numFmtId="0" xfId="0" applyBorder="1" applyFont="1"/>
    <xf borderId="163" fillId="0" fontId="19" numFmtId="0" xfId="0" applyBorder="1" applyFont="1"/>
    <xf borderId="105" fillId="0" fontId="22" numFmtId="3" xfId="0" applyAlignment="1" applyBorder="1" applyFont="1" applyNumberFormat="1">
      <alignment horizontal="center" readingOrder="0" vertical="center"/>
    </xf>
    <xf borderId="105" fillId="0" fontId="22" numFmtId="0" xfId="0" applyAlignment="1" applyBorder="1" applyFont="1">
      <alignment horizontal="center" readingOrder="0" vertical="center"/>
    </xf>
    <xf borderId="105" fillId="0" fontId="22" numFmtId="10" xfId="0" applyAlignment="1" applyBorder="1" applyFont="1" applyNumberFormat="1">
      <alignment horizontal="center" readingOrder="0" vertical="center"/>
    </xf>
    <xf borderId="112" fillId="0" fontId="22" numFmtId="168" xfId="0" applyAlignment="1" applyBorder="1" applyFont="1" applyNumberFormat="1">
      <alignment horizontal="center" readingOrder="0" vertical="center"/>
    </xf>
    <xf borderId="170" fillId="0" fontId="27" numFmtId="164" xfId="0" applyAlignment="1" applyBorder="1" applyFont="1" applyNumberFormat="1">
      <alignment horizontal="left" readingOrder="0" vertical="center"/>
    </xf>
    <xf borderId="22" fillId="0" fontId="41" numFmtId="0" xfId="0" applyAlignment="1" applyBorder="1" applyFont="1">
      <alignment horizontal="center" vertical="center"/>
    </xf>
    <xf borderId="116" fillId="0" fontId="41" numFmtId="0" xfId="0" applyAlignment="1" applyBorder="1" applyFont="1">
      <alignment horizontal="center" vertical="center"/>
    </xf>
    <xf borderId="111" fillId="2" fontId="41" numFmtId="0" xfId="0" applyAlignment="1" applyBorder="1" applyFont="1">
      <alignment horizontal="center" vertical="center"/>
    </xf>
    <xf borderId="112" fillId="2" fontId="41" numFmtId="0" xfId="0" applyAlignment="1" applyBorder="1" applyFont="1">
      <alignment horizontal="center" readingOrder="0" vertical="center"/>
    </xf>
    <xf borderId="116" fillId="2" fontId="41" numFmtId="0" xfId="0" applyAlignment="1" applyBorder="1" applyFont="1">
      <alignment horizontal="center" readingOrder="0" vertical="center"/>
    </xf>
    <xf borderId="22" fillId="2" fontId="41" numFmtId="0" xfId="0" applyAlignment="1" applyBorder="1" applyFont="1">
      <alignment horizontal="center" readingOrder="0" vertical="center"/>
    </xf>
    <xf borderId="25" fillId="2" fontId="41" numFmtId="0" xfId="0" applyAlignment="1" applyBorder="1" applyFont="1">
      <alignment horizontal="center" readingOrder="0" vertical="center"/>
    </xf>
    <xf borderId="111" fillId="0" fontId="22" numFmtId="3" xfId="0" applyAlignment="1" applyBorder="1" applyFont="1" applyNumberFormat="1">
      <alignment horizontal="center" vertical="center"/>
    </xf>
    <xf borderId="105" fillId="0" fontId="22" numFmtId="3" xfId="0" applyAlignment="1" applyBorder="1" applyFont="1" applyNumberFormat="1">
      <alignment horizontal="center" vertical="center"/>
    </xf>
    <xf borderId="22" fillId="0" fontId="41" numFmtId="165" xfId="0" applyAlignment="1" applyBorder="1" applyFont="1" applyNumberFormat="1">
      <alignment horizontal="center" readingOrder="0" vertical="center"/>
    </xf>
    <xf borderId="116" fillId="0" fontId="41" numFmtId="0" xfId="0" applyAlignment="1" applyBorder="1" applyFont="1">
      <alignment horizontal="center" readingOrder="0" vertical="center"/>
    </xf>
    <xf borderId="113" fillId="0" fontId="41" numFmtId="165" xfId="0" applyAlignment="1" applyBorder="1" applyFont="1" applyNumberFormat="1">
      <alignment horizontal="center" vertical="center"/>
    </xf>
    <xf borderId="22" fillId="2" fontId="41" numFmtId="165" xfId="0" applyAlignment="1" applyBorder="1" applyFont="1" applyNumberFormat="1">
      <alignment horizontal="center" vertical="center"/>
    </xf>
    <xf borderId="38" fillId="2" fontId="41" numFmtId="0" xfId="0" applyAlignment="1" applyBorder="1" applyFont="1">
      <alignment horizontal="center" readingOrder="0" vertical="center"/>
    </xf>
    <xf borderId="22" fillId="9" fontId="22" numFmtId="10" xfId="0" applyAlignment="1" applyBorder="1" applyFont="1" applyNumberFormat="1">
      <alignment horizontal="center" vertical="center"/>
    </xf>
    <xf borderId="116" fillId="9" fontId="6" numFmtId="168" xfId="0" applyAlignment="1" applyBorder="1" applyFont="1" applyNumberFormat="1">
      <alignment vertical="center"/>
    </xf>
    <xf borderId="113" fillId="0" fontId="41" numFmtId="0" xfId="0" applyAlignment="1" applyBorder="1" applyFont="1">
      <alignment horizontal="center" readingOrder="0" vertical="center"/>
    </xf>
    <xf borderId="113" fillId="9" fontId="6" numFmtId="0" xfId="0" applyAlignment="1" applyBorder="1" applyFont="1">
      <alignment readingOrder="0" vertical="center"/>
    </xf>
    <xf borderId="116" fillId="9" fontId="6" numFmtId="0" xfId="0" applyAlignment="1" applyBorder="1" applyFont="1">
      <alignment readingOrder="0" vertical="center"/>
    </xf>
    <xf borderId="116" fillId="9" fontId="7" numFmtId="0" xfId="0" applyAlignment="1" applyBorder="1" applyFont="1">
      <alignment horizontal="center" readingOrder="0" vertical="center"/>
    </xf>
    <xf borderId="116" fillId="2" fontId="7" numFmtId="0" xfId="0" applyAlignment="1" applyBorder="1" applyFont="1">
      <alignment horizontal="center" readingOrder="0" vertical="center"/>
    </xf>
    <xf borderId="22" fillId="2" fontId="7" numFmtId="0" xfId="0" applyAlignment="1" applyBorder="1" applyFont="1">
      <alignment horizontal="center" readingOrder="0" vertical="center"/>
    </xf>
    <xf borderId="38" fillId="2" fontId="7" numFmtId="0" xfId="0" applyAlignment="1" applyBorder="1" applyFont="1">
      <alignment horizontal="center" readingOrder="0" vertical="center"/>
    </xf>
    <xf borderId="111" fillId="0" fontId="22" numFmtId="0" xfId="0" applyAlignment="1" applyBorder="1" applyFont="1">
      <alignment horizontal="center" readingOrder="0" vertical="center"/>
    </xf>
    <xf borderId="112" fillId="0" fontId="22" numFmtId="0" xfId="0" applyAlignment="1" applyBorder="1" applyFont="1">
      <alignment horizontal="center" readingOrder="0" vertical="center"/>
    </xf>
    <xf borderId="112" fillId="0" fontId="7" numFmtId="0" xfId="0" applyAlignment="1" applyBorder="1" applyFont="1">
      <alignment horizontal="center" readingOrder="0" vertical="center"/>
    </xf>
    <xf borderId="113" fillId="0" fontId="22" numFmtId="3" xfId="0" applyAlignment="1" applyBorder="1" applyFont="1" applyNumberFormat="1">
      <alignment horizontal="center"/>
    </xf>
    <xf borderId="22" fillId="0" fontId="22" numFmtId="3" xfId="0" applyAlignment="1" applyBorder="1" applyFont="1" applyNumberFormat="1">
      <alignment horizontal="center"/>
    </xf>
    <xf borderId="116" fillId="2" fontId="6" numFmtId="168" xfId="0" applyBorder="1" applyFont="1" applyNumberFormat="1"/>
    <xf borderId="95" fillId="2" fontId="7" numFmtId="0" xfId="0" applyAlignment="1" applyBorder="1" applyFont="1">
      <alignment horizontal="center" readingOrder="0" vertical="center"/>
    </xf>
    <xf borderId="171" fillId="2" fontId="7" numFmtId="0" xfId="0" applyAlignment="1" applyBorder="1" applyFont="1">
      <alignment horizontal="center" readingOrder="0" vertical="center"/>
    </xf>
    <xf borderId="172" fillId="2" fontId="7" numFmtId="0" xfId="0" applyAlignment="1" applyBorder="1" applyFont="1">
      <alignment horizontal="center" readingOrder="0" vertical="center"/>
    </xf>
    <xf borderId="39" fillId="0" fontId="22" numFmtId="0" xfId="0" applyAlignment="1" applyBorder="1" applyFont="1">
      <alignment horizontal="center" readingOrder="0" vertical="center"/>
    </xf>
    <xf borderId="31" fillId="0" fontId="22" numFmtId="0" xfId="0" applyAlignment="1" applyBorder="1" applyFont="1">
      <alignment horizontal="center" readingOrder="0" vertical="center"/>
    </xf>
    <xf borderId="34" fillId="0" fontId="22" numFmtId="0" xfId="0" applyAlignment="1" applyBorder="1" applyFont="1">
      <alignment horizontal="center" readingOrder="0" vertical="center"/>
    </xf>
    <xf borderId="0" fillId="0" fontId="22" numFmtId="168" xfId="0" applyAlignment="1" applyFont="1" applyNumberFormat="1">
      <alignment horizontal="center" readingOrder="0" vertical="center"/>
    </xf>
    <xf borderId="109" fillId="0" fontId="22" numFmtId="0" xfId="0" applyAlignment="1" applyBorder="1" applyFont="1">
      <alignment readingOrder="0" shrinkToFit="0" vertical="center" wrapText="1"/>
    </xf>
    <xf borderId="111" fillId="0" fontId="22" numFmtId="176" xfId="0" applyAlignment="1" applyBorder="1" applyFont="1" applyNumberFormat="1">
      <alignment horizontal="center" readingOrder="0" vertical="center"/>
    </xf>
    <xf borderId="105" fillId="0" fontId="22" numFmtId="176" xfId="0" applyAlignment="1" applyBorder="1" applyFont="1" applyNumberFormat="1">
      <alignment horizontal="center" readingOrder="0" vertical="center"/>
    </xf>
    <xf borderId="170" fillId="0" fontId="27" numFmtId="164" xfId="0" applyAlignment="1" applyBorder="1" applyFont="1" applyNumberFormat="1">
      <alignment horizontal="left" readingOrder="0" vertical="center"/>
    </xf>
    <xf borderId="113" fillId="0" fontId="41" numFmtId="176" xfId="0" applyAlignment="1" applyBorder="1" applyFont="1" applyNumberFormat="1">
      <alignment horizontal="center" vertical="center"/>
    </xf>
    <xf borderId="116" fillId="0" fontId="41" numFmtId="176" xfId="0" applyAlignment="1" applyBorder="1" applyFont="1" applyNumberFormat="1">
      <alignment horizontal="center" vertical="center"/>
    </xf>
    <xf borderId="111" fillId="9" fontId="41" numFmtId="176" xfId="0" applyAlignment="1" applyBorder="1" applyFont="1" applyNumberFormat="1">
      <alignment horizontal="center" vertical="center"/>
    </xf>
    <xf borderId="112" fillId="9" fontId="41" numFmtId="176" xfId="0" applyAlignment="1" applyBorder="1" applyFont="1" applyNumberFormat="1">
      <alignment horizontal="center" readingOrder="0" vertical="center"/>
    </xf>
    <xf borderId="116" fillId="9" fontId="41" numFmtId="176" xfId="0" applyAlignment="1" applyBorder="1" applyFont="1" applyNumberFormat="1">
      <alignment horizontal="center" readingOrder="0" vertical="center"/>
    </xf>
    <xf borderId="25" fillId="9" fontId="6" numFmtId="0" xfId="0" applyAlignment="1" applyBorder="1" applyFont="1">
      <alignment readingOrder="0" vertical="center"/>
    </xf>
    <xf borderId="105" fillId="0" fontId="22" numFmtId="176" xfId="0" applyAlignment="1" applyBorder="1" applyFont="1" applyNumberFormat="1">
      <alignment horizontal="center" vertical="center"/>
    </xf>
    <xf borderId="105" fillId="0" fontId="22" numFmtId="10" xfId="0" applyAlignment="1" applyBorder="1" applyFont="1" applyNumberFormat="1">
      <alignment horizontal="center" readingOrder="0" vertical="center"/>
    </xf>
    <xf borderId="112" fillId="0" fontId="22" numFmtId="168" xfId="0" applyAlignment="1" applyBorder="1" applyFont="1" applyNumberFormat="1">
      <alignment horizontal="center" readingOrder="0" vertical="center"/>
    </xf>
    <xf borderId="22" fillId="0" fontId="41" numFmtId="4" xfId="0" applyAlignment="1" applyBorder="1" applyFont="1" applyNumberFormat="1">
      <alignment horizontal="center" vertical="center"/>
    </xf>
    <xf borderId="113" fillId="0" fontId="41" numFmtId="4" xfId="0" applyAlignment="1" applyBorder="1" applyFont="1" applyNumberFormat="1">
      <alignment horizontal="center" vertical="center"/>
    </xf>
    <xf borderId="116" fillId="0" fontId="41" numFmtId="176" xfId="0" applyAlignment="1" applyBorder="1" applyFont="1" applyNumberFormat="1">
      <alignment horizontal="center" readingOrder="0" vertical="center"/>
    </xf>
    <xf borderId="22" fillId="9" fontId="41" numFmtId="4" xfId="0" applyAlignment="1" applyBorder="1" applyFont="1" applyNumberFormat="1">
      <alignment horizontal="center" vertical="center"/>
    </xf>
    <xf borderId="116" fillId="9" fontId="6" numFmtId="20" xfId="0" applyAlignment="1" applyBorder="1" applyFont="1" applyNumberFormat="1">
      <alignment readingOrder="0" vertical="center"/>
    </xf>
    <xf borderId="113" fillId="0" fontId="22" numFmtId="176" xfId="0" applyAlignment="1" applyBorder="1" applyFont="1" applyNumberFormat="1">
      <alignment horizontal="center" readingOrder="0" vertical="center"/>
    </xf>
    <xf borderId="22" fillId="0" fontId="22" numFmtId="176" xfId="0" applyAlignment="1" applyBorder="1" applyFont="1" applyNumberFormat="1">
      <alignment horizontal="center" vertical="center"/>
    </xf>
    <xf borderId="113" fillId="0" fontId="41" numFmtId="176" xfId="0" applyAlignment="1" applyBorder="1" applyFont="1" applyNumberFormat="1">
      <alignment horizontal="center" readingOrder="0" vertical="center"/>
    </xf>
    <xf borderId="116" fillId="0" fontId="41" numFmtId="20" xfId="0" applyAlignment="1" applyBorder="1" applyFont="1" applyNumberFormat="1">
      <alignment horizontal="center" readingOrder="0" vertical="center"/>
    </xf>
    <xf borderId="116" fillId="9" fontId="41" numFmtId="20" xfId="0" applyAlignment="1" applyBorder="1" applyFont="1" applyNumberFormat="1">
      <alignment horizontal="center" readingOrder="0" vertical="center"/>
    </xf>
    <xf borderId="111" fillId="0" fontId="22" numFmtId="177" xfId="0" applyAlignment="1" applyBorder="1" applyFont="1" applyNumberFormat="1">
      <alignment horizontal="center" vertical="center"/>
    </xf>
    <xf borderId="113" fillId="0" fontId="6" numFmtId="176" xfId="0" applyAlignment="1" applyBorder="1" applyFont="1" applyNumberFormat="1">
      <alignment readingOrder="0" vertical="center"/>
    </xf>
    <xf borderId="116" fillId="0" fontId="6" numFmtId="176" xfId="0" applyAlignment="1" applyBorder="1" applyFont="1" applyNumberFormat="1">
      <alignment readingOrder="0" vertical="center"/>
    </xf>
    <xf borderId="116" fillId="0" fontId="7" numFmtId="176" xfId="0" applyAlignment="1" applyBorder="1" applyFont="1" applyNumberFormat="1">
      <alignment horizontal="center" readingOrder="0" vertical="center"/>
    </xf>
    <xf borderId="116" fillId="9" fontId="7" numFmtId="176" xfId="0" applyAlignment="1" applyBorder="1" applyFont="1" applyNumberFormat="1">
      <alignment horizontal="center" readingOrder="0" vertical="center"/>
    </xf>
    <xf borderId="116" fillId="9" fontId="7" numFmtId="20" xfId="0" applyAlignment="1" applyBorder="1" applyFont="1" applyNumberFormat="1">
      <alignment horizontal="center" readingOrder="0" vertical="center"/>
    </xf>
    <xf borderId="112" fillId="0" fontId="22" numFmtId="176" xfId="0" applyAlignment="1" applyBorder="1" applyFont="1" applyNumberFormat="1">
      <alignment horizontal="center" readingOrder="0" vertical="center"/>
    </xf>
    <xf borderId="113" fillId="0" fontId="22" numFmtId="177" xfId="0" applyAlignment="1" applyBorder="1" applyFont="1" applyNumberFormat="1">
      <alignment horizontal="center"/>
    </xf>
    <xf borderId="22" fillId="0" fontId="22" numFmtId="176" xfId="0" applyAlignment="1" applyBorder="1" applyFont="1" applyNumberFormat="1">
      <alignment horizontal="center"/>
    </xf>
    <xf borderId="95" fillId="0" fontId="22" numFmtId="176" xfId="0" applyAlignment="1" applyBorder="1" applyFont="1" applyNumberFormat="1">
      <alignment horizontal="center" readingOrder="0" vertical="center"/>
    </xf>
    <xf borderId="94" fillId="0" fontId="22" numFmtId="176" xfId="0" applyAlignment="1" applyBorder="1" applyFont="1" applyNumberFormat="1">
      <alignment horizontal="center" readingOrder="0" vertical="center"/>
    </xf>
    <xf borderId="31" fillId="0" fontId="22" numFmtId="176" xfId="0" applyAlignment="1" applyBorder="1" applyFont="1" applyNumberFormat="1">
      <alignment horizontal="center" readingOrder="0" vertical="center"/>
    </xf>
    <xf borderId="39" fillId="0" fontId="22" numFmtId="176" xfId="0" applyAlignment="1" applyBorder="1" applyFont="1" applyNumberFormat="1">
      <alignment horizontal="center" readingOrder="0" vertical="center"/>
    </xf>
    <xf borderId="34" fillId="0" fontId="22" numFmtId="176" xfId="0" applyAlignment="1" applyBorder="1" applyFont="1" applyNumberFormat="1">
      <alignment horizontal="center" readingOrder="0" vertical="center"/>
    </xf>
    <xf borderId="0" fillId="0" fontId="22" numFmtId="176" xfId="0" applyAlignment="1" applyFont="1" applyNumberFormat="1">
      <alignment horizontal="center" readingOrder="0" vertical="center"/>
    </xf>
    <xf borderId="170" fillId="0" fontId="27" numFmtId="3" xfId="0" applyAlignment="1" applyBorder="1" applyFont="1" applyNumberFormat="1">
      <alignment horizontal="left" readingOrder="0" vertical="center"/>
    </xf>
    <xf borderId="113" fillId="0" fontId="41" numFmtId="3" xfId="0" applyAlignment="1" applyBorder="1" applyFont="1" applyNumberFormat="1">
      <alignment horizontal="center" vertical="center"/>
    </xf>
    <xf borderId="116" fillId="0" fontId="41" numFmtId="3" xfId="0" applyAlignment="1" applyBorder="1" applyFont="1" applyNumberFormat="1">
      <alignment horizontal="center" vertical="center"/>
    </xf>
    <xf borderId="111" fillId="0" fontId="41" numFmtId="3" xfId="0" applyAlignment="1" applyBorder="1" applyFont="1" applyNumberFormat="1">
      <alignment horizontal="center" vertical="center"/>
    </xf>
    <xf borderId="112" fillId="0" fontId="41" numFmtId="3" xfId="0" applyAlignment="1" applyBorder="1" applyFont="1" applyNumberFormat="1">
      <alignment horizontal="center" readingOrder="0" vertical="center"/>
    </xf>
    <xf borderId="116" fillId="0" fontId="41" numFmtId="3" xfId="0" applyAlignment="1" applyBorder="1" applyFont="1" applyNumberFormat="1">
      <alignment horizontal="center" readingOrder="0" vertical="center"/>
    </xf>
    <xf borderId="113" fillId="0" fontId="41" numFmtId="3" xfId="0" applyAlignment="1" applyBorder="1" applyFont="1" applyNumberFormat="1">
      <alignment horizontal="center" readingOrder="0" vertical="center"/>
    </xf>
    <xf borderId="113" fillId="0" fontId="41" numFmtId="3" xfId="0" applyAlignment="1" applyBorder="1" applyFont="1" applyNumberFormat="1">
      <alignment horizontal="center" readingOrder="0" vertical="center"/>
    </xf>
    <xf borderId="25" fillId="0" fontId="41" numFmtId="3" xfId="0" applyAlignment="1" applyBorder="1" applyFont="1" applyNumberFormat="1">
      <alignment horizontal="center" readingOrder="0" vertical="center"/>
    </xf>
    <xf borderId="22" fillId="0" fontId="41" numFmtId="10" xfId="0" applyAlignment="1" applyBorder="1" applyFont="1" applyNumberFormat="1">
      <alignment horizontal="center" vertical="center"/>
    </xf>
    <xf borderId="113" fillId="0" fontId="41" numFmtId="10" xfId="0" applyAlignment="1" applyBorder="1" applyFont="1" applyNumberFormat="1">
      <alignment horizontal="center" vertical="center"/>
    </xf>
    <xf borderId="22" fillId="2" fontId="22" numFmtId="10" xfId="0" applyAlignment="1" applyBorder="1" applyFont="1" applyNumberFormat="1">
      <alignment horizontal="center" vertical="center"/>
    </xf>
    <xf borderId="113" fillId="2" fontId="41" numFmtId="3" xfId="0" applyAlignment="1" applyBorder="1" applyFont="1" applyNumberFormat="1">
      <alignment horizontal="center" readingOrder="0" vertical="center"/>
    </xf>
    <xf borderId="116" fillId="2" fontId="41" numFmtId="3" xfId="0" applyAlignment="1" applyBorder="1" applyFont="1" applyNumberFormat="1">
      <alignment horizontal="center" readingOrder="0" vertical="center"/>
    </xf>
    <xf borderId="113" fillId="2" fontId="6" numFmtId="3" xfId="0" applyAlignment="1" applyBorder="1" applyFont="1" applyNumberFormat="1">
      <alignment readingOrder="0" vertical="center"/>
    </xf>
    <xf borderId="116" fillId="2" fontId="6" numFmtId="3" xfId="0" applyAlignment="1" applyBorder="1" applyFont="1" applyNumberFormat="1">
      <alignment readingOrder="0" vertical="center"/>
    </xf>
    <xf borderId="116" fillId="2" fontId="7" numFmtId="3" xfId="0" applyAlignment="1" applyBorder="1" applyFont="1" applyNumberFormat="1">
      <alignment horizontal="center" readingOrder="0" vertical="center"/>
    </xf>
    <xf borderId="22" fillId="2" fontId="7" numFmtId="3" xfId="0" applyAlignment="1" applyBorder="1" applyFont="1" applyNumberFormat="1">
      <alignment horizontal="center" readingOrder="0" vertical="center"/>
    </xf>
    <xf borderId="22" fillId="2" fontId="7" numFmtId="3" xfId="0" applyAlignment="1" applyBorder="1" applyFont="1" applyNumberFormat="1">
      <alignment horizontal="center" readingOrder="0" vertical="center"/>
    </xf>
    <xf borderId="116" fillId="2" fontId="7" numFmtId="3" xfId="0" applyAlignment="1" applyBorder="1" applyFont="1" applyNumberFormat="1">
      <alignment horizontal="center" readingOrder="0" vertical="center"/>
    </xf>
    <xf borderId="111" fillId="2" fontId="22" numFmtId="2" xfId="0" applyAlignment="1" applyBorder="1" applyFont="1" applyNumberFormat="1">
      <alignment horizontal="center" readingOrder="0" vertical="center"/>
    </xf>
    <xf borderId="111" fillId="2" fontId="22" numFmtId="1" xfId="0" applyAlignment="1" applyBorder="1" applyFont="1" applyNumberFormat="1">
      <alignment horizontal="center" readingOrder="0" vertical="center"/>
    </xf>
    <xf borderId="111" fillId="2" fontId="7" numFmtId="4" xfId="0" applyAlignment="1" applyBorder="1" applyFont="1" applyNumberFormat="1">
      <alignment horizontal="center" readingOrder="0" vertical="center"/>
    </xf>
    <xf borderId="95" fillId="0" fontId="22" numFmtId="0" xfId="0" applyAlignment="1" applyBorder="1" applyFont="1">
      <alignment horizontal="center" readingOrder="0" vertical="center"/>
    </xf>
    <xf borderId="94" fillId="0" fontId="22" numFmtId="0" xfId="0" applyAlignment="1" applyBorder="1" applyFont="1">
      <alignment horizontal="center" readingOrder="0" vertical="center"/>
    </xf>
    <xf borderId="31" fillId="0" fontId="22" numFmtId="0" xfId="0" applyAlignment="1" applyBorder="1" applyFont="1">
      <alignment horizontal="center" readingOrder="0" vertical="center"/>
    </xf>
    <xf borderId="39" fillId="0" fontId="22" numFmtId="0" xfId="0" applyAlignment="1" applyBorder="1" applyFont="1">
      <alignment horizontal="center" readingOrder="0" vertical="center"/>
    </xf>
    <xf borderId="34" fillId="0" fontId="22" numFmtId="0" xfId="0" applyAlignment="1" applyBorder="1" applyFont="1">
      <alignment horizontal="center" readingOrder="0" vertical="center"/>
    </xf>
    <xf borderId="22" fillId="2" fontId="22" numFmtId="10" xfId="0" applyAlignment="1" applyBorder="1" applyFont="1" applyNumberFormat="1">
      <alignment horizontal="center"/>
    </xf>
    <xf borderId="170" fillId="2" fontId="27" numFmtId="3" xfId="0" applyAlignment="1" applyBorder="1" applyFont="1" applyNumberFormat="1">
      <alignment horizontal="left" readingOrder="0" vertical="center"/>
    </xf>
    <xf borderId="110" fillId="0" fontId="41" numFmtId="3" xfId="0" applyAlignment="1" applyBorder="1" applyFont="1" applyNumberFormat="1">
      <alignment horizontal="center" vertical="center"/>
    </xf>
    <xf borderId="110" fillId="0" fontId="41" numFmtId="3" xfId="0" applyAlignment="1" applyBorder="1" applyFont="1" applyNumberFormat="1">
      <alignment horizontal="center" readingOrder="0" vertical="center"/>
    </xf>
    <xf borderId="111" fillId="0" fontId="41" numFmtId="3" xfId="0" applyAlignment="1" applyBorder="1" applyFont="1" applyNumberFormat="1">
      <alignment horizontal="center" readingOrder="0" vertical="center"/>
    </xf>
    <xf borderId="111" fillId="0" fontId="41" numFmtId="3" xfId="0" applyAlignment="1" applyBorder="1" applyFont="1" applyNumberFormat="1">
      <alignment horizontal="center" readingOrder="0" vertical="center"/>
    </xf>
    <xf borderId="109" fillId="0" fontId="41" numFmtId="3" xfId="0" applyAlignment="1" applyBorder="1" applyFont="1" applyNumberFormat="1">
      <alignment horizontal="center" readingOrder="0" vertical="center"/>
    </xf>
    <xf borderId="33" fillId="0" fontId="41" numFmtId="175" xfId="0" applyAlignment="1" applyBorder="1" applyFont="1" applyNumberFormat="1">
      <alignment horizontal="center" vertical="center"/>
    </xf>
    <xf borderId="111" fillId="0" fontId="41" numFmtId="175" xfId="0" applyAlignment="1" applyBorder="1" applyFont="1" applyNumberFormat="1">
      <alignment horizontal="center" vertical="center"/>
    </xf>
    <xf borderId="111" fillId="9" fontId="41" numFmtId="3" xfId="0" applyAlignment="1" applyBorder="1" applyFont="1" applyNumberFormat="1">
      <alignment horizontal="center" readingOrder="0" vertical="center"/>
    </xf>
    <xf borderId="110" fillId="9" fontId="41" numFmtId="3" xfId="0" applyAlignment="1" applyBorder="1" applyFont="1" applyNumberFormat="1">
      <alignment horizontal="center" readingOrder="0" vertical="center"/>
    </xf>
    <xf borderId="113" fillId="9" fontId="6" numFmtId="3" xfId="0" applyAlignment="1" applyBorder="1" applyFont="1" applyNumberFormat="1">
      <alignment readingOrder="0" vertical="center"/>
    </xf>
    <xf borderId="116" fillId="9" fontId="6" numFmtId="3" xfId="0" applyAlignment="1" applyBorder="1" applyFont="1" applyNumberFormat="1">
      <alignment readingOrder="0" vertical="center"/>
    </xf>
    <xf borderId="116" fillId="9" fontId="7" numFmtId="3" xfId="0" applyAlignment="1" applyBorder="1" applyFont="1" applyNumberFormat="1">
      <alignment horizontal="center" readingOrder="0" vertical="center"/>
    </xf>
    <xf borderId="22" fillId="9" fontId="7" numFmtId="3" xfId="0" applyAlignment="1" applyBorder="1" applyFont="1" applyNumberFormat="1">
      <alignment horizontal="center" readingOrder="0" vertical="center"/>
    </xf>
    <xf borderId="22" fillId="9" fontId="7" numFmtId="3" xfId="0" applyAlignment="1" applyBorder="1" applyFont="1" applyNumberFormat="1">
      <alignment horizontal="center" readingOrder="0" vertical="center"/>
    </xf>
    <xf borderId="116" fillId="9" fontId="7" numFmtId="3" xfId="0" applyAlignment="1" applyBorder="1" applyFont="1" applyNumberFormat="1">
      <alignment horizontal="center" readingOrder="0" vertical="center"/>
    </xf>
    <xf borderId="33" fillId="9" fontId="6" numFmtId="1" xfId="0" applyAlignment="1" applyBorder="1" applyFont="1" applyNumberFormat="1">
      <alignment horizontal="center" readingOrder="0" vertical="center"/>
    </xf>
    <xf borderId="36" fillId="9" fontId="6" numFmtId="1" xfId="0" applyAlignment="1" applyBorder="1" applyFont="1" applyNumberFormat="1">
      <alignment horizontal="center" readingOrder="0" vertical="center"/>
    </xf>
    <xf borderId="110" fillId="9" fontId="6" numFmtId="3" xfId="0" applyAlignment="1" applyBorder="1" applyFont="1" applyNumberFormat="1">
      <alignment horizontal="center" readingOrder="0" vertical="center"/>
    </xf>
    <xf borderId="110" fillId="9" fontId="6" numFmtId="1" xfId="0" applyAlignment="1" applyBorder="1" applyFont="1" applyNumberFormat="1">
      <alignment horizontal="center" readingOrder="0" vertical="center"/>
    </xf>
    <xf borderId="110" fillId="9" fontId="6" numFmtId="3" xfId="0" applyAlignment="1" applyBorder="1" applyFont="1" applyNumberFormat="1">
      <alignment readingOrder="0" vertical="center"/>
    </xf>
    <xf borderId="33" fillId="9" fontId="6" numFmtId="3" xfId="0" applyAlignment="1" applyBorder="1" applyFont="1" applyNumberFormat="1">
      <alignment readingOrder="0" vertical="center"/>
    </xf>
    <xf borderId="113" fillId="2" fontId="22" numFmtId="3" xfId="0" applyAlignment="1" applyBorder="1" applyFont="1" applyNumberFormat="1">
      <alignment horizontal="center"/>
    </xf>
    <xf borderId="22" fillId="2" fontId="22" numFmtId="3" xfId="0" applyAlignment="1" applyBorder="1" applyFont="1" applyNumberFormat="1">
      <alignment horizontal="center"/>
    </xf>
    <xf borderId="33" fillId="2" fontId="6" numFmtId="1" xfId="0" applyAlignment="1" applyBorder="1" applyFont="1" applyNumberFormat="1">
      <alignment horizontal="center" readingOrder="0" vertical="center"/>
    </xf>
    <xf borderId="36" fillId="2" fontId="6" numFmtId="1" xfId="0" applyAlignment="1" applyBorder="1" applyFont="1" applyNumberFormat="1">
      <alignment horizontal="center" readingOrder="0" vertical="center"/>
    </xf>
    <xf borderId="31" fillId="0" fontId="6" numFmtId="3" xfId="0" applyAlignment="1" applyBorder="1" applyFont="1" applyNumberFormat="1">
      <alignment horizontal="center" readingOrder="0" vertical="center"/>
    </xf>
    <xf borderId="33" fillId="0" fontId="6" numFmtId="3" xfId="0" applyAlignment="1" applyBorder="1" applyFont="1" applyNumberFormat="1">
      <alignment vertical="center"/>
    </xf>
    <xf borderId="31" fillId="0" fontId="6" numFmtId="3" xfId="0" applyAlignment="1" applyBorder="1" applyFont="1" applyNumberFormat="1">
      <alignment vertical="center"/>
    </xf>
    <xf borderId="34" fillId="0" fontId="6" numFmtId="3" xfId="0" applyAlignment="1" applyBorder="1" applyFont="1" applyNumberFormat="1">
      <alignment vertical="center"/>
    </xf>
    <xf borderId="22" fillId="9" fontId="22" numFmtId="10" xfId="0" applyAlignment="1" applyBorder="1" applyFont="1" applyNumberFormat="1">
      <alignment horizontal="center"/>
    </xf>
    <xf borderId="116" fillId="9" fontId="6" numFmtId="168" xfId="0" applyBorder="1" applyFont="1" applyNumberFormat="1"/>
    <xf borderId="130" fillId="0" fontId="6" numFmtId="3" xfId="0" applyAlignment="1" applyBorder="1" applyFont="1" applyNumberFormat="1">
      <alignment vertical="center"/>
    </xf>
    <xf borderId="105" fillId="0" fontId="22" numFmtId="169" xfId="0" applyAlignment="1" applyBorder="1" applyFont="1" applyNumberFormat="1">
      <alignment horizontal="center" readingOrder="0" vertical="center"/>
    </xf>
    <xf borderId="112" fillId="0" fontId="22" numFmtId="164" xfId="0" applyAlignment="1" applyBorder="1" applyFont="1" applyNumberFormat="1">
      <alignment horizontal="center" readingOrder="0" vertical="center"/>
    </xf>
    <xf borderId="170" fillId="0" fontId="23" numFmtId="164" xfId="0" applyAlignment="1" applyBorder="1" applyFont="1" applyNumberFormat="1">
      <alignment horizontal="left" vertical="center"/>
    </xf>
    <xf borderId="33" fillId="0" fontId="41" numFmtId="164" xfId="0" applyAlignment="1" applyBorder="1" applyFont="1" applyNumberFormat="1">
      <alignment horizontal="center" vertical="center"/>
    </xf>
    <xf borderId="110" fillId="0" fontId="41" numFmtId="164" xfId="0" applyAlignment="1" applyBorder="1" applyFont="1" applyNumberFormat="1">
      <alignment horizontal="center" vertical="center"/>
    </xf>
    <xf borderId="111" fillId="0" fontId="41" numFmtId="164" xfId="0" applyAlignment="1" applyBorder="1" applyFont="1" applyNumberFormat="1">
      <alignment horizontal="center" vertical="center"/>
    </xf>
    <xf borderId="112" fillId="9" fontId="41" numFmtId="164" xfId="0" applyAlignment="1" applyBorder="1" applyFont="1" applyNumberFormat="1">
      <alignment horizontal="center" readingOrder="0" vertical="center"/>
    </xf>
    <xf borderId="110" fillId="0" fontId="41" numFmtId="164" xfId="0" applyAlignment="1" applyBorder="1" applyFont="1" applyNumberFormat="1">
      <alignment horizontal="center" readingOrder="0" vertical="center"/>
    </xf>
    <xf borderId="33" fillId="0" fontId="41" numFmtId="164" xfId="0" applyAlignment="1" applyBorder="1" applyFont="1" applyNumberFormat="1">
      <alignment horizontal="center" readingOrder="0" vertical="center"/>
    </xf>
    <xf borderId="110" fillId="9" fontId="41" numFmtId="164" xfId="0" applyAlignment="1" applyBorder="1" applyFont="1" applyNumberFormat="1">
      <alignment horizontal="center" readingOrder="0" vertical="center"/>
    </xf>
    <xf borderId="109" fillId="9" fontId="41" numFmtId="164" xfId="0" applyAlignment="1" applyBorder="1" applyFont="1" applyNumberFormat="1">
      <alignment horizontal="center" readingOrder="0" vertical="center"/>
    </xf>
    <xf borderId="111" fillId="0" fontId="22" numFmtId="164" xfId="0" applyAlignment="1" applyBorder="1" applyFont="1" applyNumberFormat="1">
      <alignment horizontal="center" vertical="center"/>
    </xf>
    <xf borderId="105" fillId="0" fontId="22" numFmtId="164" xfId="0" applyAlignment="1" applyBorder="1" applyFont="1" applyNumberFormat="1">
      <alignment horizontal="center" vertical="center"/>
    </xf>
    <xf borderId="0" fillId="0" fontId="8" numFmtId="165" xfId="0" applyFont="1" applyNumberFormat="1"/>
    <xf borderId="111" fillId="0" fontId="41" numFmtId="165" xfId="0" applyAlignment="1" applyBorder="1" applyFont="1" applyNumberFormat="1">
      <alignment horizontal="center" vertical="center"/>
    </xf>
    <xf borderId="33" fillId="0" fontId="41" numFmtId="165" xfId="0" applyAlignment="1" applyBorder="1" applyFont="1" applyNumberFormat="1">
      <alignment horizontal="center" vertical="center"/>
    </xf>
    <xf borderId="116" fillId="2" fontId="6" numFmtId="164" xfId="0" applyAlignment="1" applyBorder="1" applyFont="1" applyNumberFormat="1">
      <alignment vertical="center"/>
    </xf>
    <xf borderId="33" fillId="2" fontId="41" numFmtId="164" xfId="0" applyAlignment="1" applyBorder="1" applyFont="1" applyNumberFormat="1">
      <alignment horizontal="center" vertical="center"/>
    </xf>
    <xf borderId="110" fillId="2" fontId="41" numFmtId="164" xfId="0" applyAlignment="1" applyBorder="1" applyFont="1" applyNumberFormat="1">
      <alignment horizontal="center" readingOrder="0" vertical="center"/>
    </xf>
    <xf borderId="116" fillId="2" fontId="41" numFmtId="169" xfId="0" applyAlignment="1" applyBorder="1" applyFont="1" applyNumberFormat="1">
      <alignment horizontal="center" readingOrder="0" vertical="center"/>
    </xf>
    <xf borderId="33" fillId="2" fontId="41" numFmtId="164" xfId="0" applyAlignment="1" applyBorder="1" applyFont="1" applyNumberFormat="1">
      <alignment horizontal="center" readingOrder="0" vertical="center"/>
    </xf>
    <xf borderId="116" fillId="2" fontId="6" numFmtId="164" xfId="0" applyAlignment="1" applyBorder="1" applyFont="1" applyNumberFormat="1">
      <alignment readingOrder="0" vertical="center"/>
    </xf>
    <xf borderId="111" fillId="2" fontId="41" numFmtId="164" xfId="0" applyAlignment="1" applyBorder="1" applyFont="1" applyNumberFormat="1">
      <alignment horizontal="center" vertical="center"/>
    </xf>
    <xf borderId="116" fillId="2" fontId="7" numFmtId="164" xfId="0" applyAlignment="1" applyBorder="1" applyFont="1" applyNumberFormat="1">
      <alignment horizontal="center" readingOrder="0" vertical="center"/>
    </xf>
    <xf borderId="22" fillId="2" fontId="7" numFmtId="164" xfId="0" applyAlignment="1" applyBorder="1" applyFont="1" applyNumberFormat="1">
      <alignment horizontal="center" readingOrder="0" vertical="center"/>
    </xf>
    <xf borderId="22" fillId="2" fontId="7" numFmtId="164" xfId="0" applyAlignment="1" applyBorder="1" applyFont="1" applyNumberFormat="1">
      <alignment horizontal="center" readingOrder="0" vertical="center"/>
    </xf>
    <xf borderId="116" fillId="9" fontId="7" numFmtId="164" xfId="0" applyAlignment="1" applyBorder="1" applyFont="1" applyNumberFormat="1">
      <alignment horizontal="center" readingOrder="0" vertical="center"/>
    </xf>
    <xf borderId="0" fillId="2" fontId="8" numFmtId="0" xfId="0" applyAlignment="1" applyFont="1">
      <alignment vertical="center"/>
    </xf>
    <xf borderId="112" fillId="2" fontId="7" numFmtId="164" xfId="0" applyAlignment="1" applyBorder="1" applyFont="1" applyNumberFormat="1">
      <alignment horizontal="center" readingOrder="0" vertical="center"/>
    </xf>
    <xf borderId="113" fillId="0" fontId="22" numFmtId="164" xfId="0" applyAlignment="1" applyBorder="1" applyFont="1" applyNumberFormat="1">
      <alignment horizontal="center"/>
    </xf>
    <xf borderId="22" fillId="0" fontId="22" numFmtId="164" xfId="0" applyAlignment="1" applyBorder="1" applyFont="1" applyNumberFormat="1">
      <alignment horizontal="center"/>
    </xf>
    <xf borderId="116" fillId="2" fontId="6" numFmtId="164" xfId="0" applyBorder="1" applyFont="1" applyNumberFormat="1"/>
    <xf borderId="94" fillId="2" fontId="7" numFmtId="164" xfId="0" applyAlignment="1" applyBorder="1" applyFont="1" applyNumberFormat="1">
      <alignment horizontal="center" readingOrder="0" vertical="center"/>
    </xf>
    <xf borderId="31" fillId="0" fontId="22" numFmtId="164" xfId="0" applyAlignment="1" applyBorder="1" applyFont="1" applyNumberFormat="1">
      <alignment horizontal="center" readingOrder="0" vertical="center"/>
    </xf>
    <xf borderId="39" fillId="0" fontId="22" numFmtId="164" xfId="0" applyAlignment="1" applyBorder="1" applyFont="1" applyNumberFormat="1">
      <alignment horizontal="center" readingOrder="0" vertical="center"/>
    </xf>
    <xf borderId="34" fillId="0" fontId="22" numFmtId="164" xfId="0" applyAlignment="1" applyBorder="1" applyFont="1" applyNumberFormat="1">
      <alignment horizontal="center" readingOrder="0" vertical="center"/>
    </xf>
    <xf borderId="116" fillId="2" fontId="6" numFmtId="164" xfId="0" applyBorder="1" applyFont="1" applyNumberFormat="1"/>
    <xf borderId="0" fillId="0" fontId="22" numFmtId="164" xfId="0" applyAlignment="1" applyFont="1" applyNumberFormat="1">
      <alignment horizontal="center" readingOrder="0" vertical="center"/>
    </xf>
    <xf borderId="109" fillId="9" fontId="22" numFmtId="169" xfId="0" applyAlignment="1" applyBorder="1" applyFont="1" applyNumberFormat="1">
      <alignment readingOrder="0" shrinkToFit="0" vertical="center" wrapText="1"/>
    </xf>
    <xf borderId="112" fillId="2" fontId="22" numFmtId="169" xfId="0" applyAlignment="1" applyBorder="1" applyFont="1" applyNumberFormat="1">
      <alignment horizontal="center" readingOrder="0" vertical="center"/>
    </xf>
    <xf borderId="170" fillId="2" fontId="27" numFmtId="169" xfId="0" applyAlignment="1" applyBorder="1" applyFont="1" applyNumberFormat="1">
      <alignment horizontal="left" readingOrder="0" vertical="center"/>
    </xf>
    <xf borderId="22" fillId="2" fontId="41" numFmtId="169" xfId="0" applyAlignment="1" applyBorder="1" applyFont="1" applyNumberFormat="1">
      <alignment horizontal="center" vertical="center"/>
    </xf>
    <xf borderId="116" fillId="2" fontId="41" numFmtId="169" xfId="0" applyAlignment="1" applyBorder="1" applyFont="1" applyNumberFormat="1">
      <alignment horizontal="center" vertical="center"/>
    </xf>
    <xf borderId="111" fillId="2" fontId="41" numFmtId="169" xfId="0" applyAlignment="1" applyBorder="1" applyFont="1" applyNumberFormat="1">
      <alignment horizontal="center" vertical="center"/>
    </xf>
    <xf borderId="22" fillId="0" fontId="41" numFmtId="169" xfId="0" applyAlignment="1" applyBorder="1" applyFont="1" applyNumberFormat="1">
      <alignment horizontal="center" vertical="center"/>
    </xf>
    <xf borderId="116" fillId="0" fontId="41" numFmtId="169" xfId="0" applyAlignment="1" applyBorder="1" applyFont="1" applyNumberFormat="1">
      <alignment horizontal="center" vertical="center"/>
    </xf>
    <xf borderId="112" fillId="0" fontId="22" numFmtId="169" xfId="0" applyAlignment="1" applyBorder="1" applyFont="1" applyNumberFormat="1">
      <alignment horizontal="center" readingOrder="0" vertical="center"/>
    </xf>
    <xf borderId="116" fillId="0" fontId="41" numFmtId="169" xfId="0" applyAlignment="1" applyBorder="1" applyFont="1" applyNumberFormat="1">
      <alignment horizontal="center" readingOrder="0" vertical="center"/>
    </xf>
    <xf borderId="22" fillId="0" fontId="41" numFmtId="169" xfId="0" applyAlignment="1" applyBorder="1" applyFont="1" applyNumberFormat="1">
      <alignment horizontal="center" readingOrder="0" vertical="center"/>
    </xf>
    <xf borderId="116" fillId="9" fontId="41" numFmtId="169" xfId="0" applyAlignment="1" applyBorder="1" applyFont="1" applyNumberFormat="1">
      <alignment horizontal="center" readingOrder="0" vertical="center"/>
    </xf>
    <xf borderId="25" fillId="9" fontId="41" numFmtId="169" xfId="0" applyAlignment="1" applyBorder="1" applyFont="1" applyNumberFormat="1">
      <alignment horizontal="center" readingOrder="0" vertical="center"/>
    </xf>
    <xf borderId="111" fillId="0" fontId="22" numFmtId="169" xfId="0" applyAlignment="1" applyBorder="1" applyFont="1" applyNumberFormat="1">
      <alignment horizontal="center" vertical="center"/>
    </xf>
    <xf borderId="105" fillId="0" fontId="22" numFmtId="169" xfId="0" applyAlignment="1" applyBorder="1" applyFont="1" applyNumberFormat="1">
      <alignment horizontal="center" vertical="center"/>
    </xf>
    <xf borderId="111" fillId="2" fontId="41" numFmtId="10" xfId="0" applyAlignment="1" applyBorder="1" applyFont="1" applyNumberFormat="1">
      <alignment horizontal="center" vertical="center"/>
    </xf>
    <xf borderId="22" fillId="0" fontId="41" numFmtId="10" xfId="0" applyAlignment="1" applyBorder="1" applyFont="1" applyNumberFormat="1">
      <alignment horizontal="center" vertical="center"/>
    </xf>
    <xf borderId="116" fillId="0" fontId="7" numFmtId="169" xfId="0" applyAlignment="1" applyBorder="1" applyFont="1" applyNumberFormat="1">
      <alignment horizontal="center" readingOrder="0" vertical="center"/>
    </xf>
    <xf borderId="113" fillId="0" fontId="22" numFmtId="169" xfId="0" applyAlignment="1" applyBorder="1" applyFont="1" applyNumberFormat="1">
      <alignment horizontal="center" vertical="center"/>
    </xf>
    <xf borderId="22" fillId="0" fontId="22" numFmtId="169" xfId="0" applyAlignment="1" applyBorder="1" applyFont="1" applyNumberFormat="1">
      <alignment horizontal="center" vertical="center"/>
    </xf>
    <xf borderId="22" fillId="9" fontId="22" numFmtId="169" xfId="0" applyAlignment="1" applyBorder="1" applyFont="1" applyNumberFormat="1">
      <alignment horizontal="center" vertical="center"/>
    </xf>
    <xf borderId="116" fillId="9" fontId="6" numFmtId="169" xfId="0" applyAlignment="1" applyBorder="1" applyFont="1" applyNumberFormat="1">
      <alignment vertical="center"/>
    </xf>
    <xf borderId="116" fillId="9" fontId="41" numFmtId="169" xfId="0" applyAlignment="1" applyBorder="1" applyFont="1" applyNumberFormat="1">
      <alignment horizontal="center" readingOrder="0" vertical="center"/>
    </xf>
    <xf borderId="22" fillId="9" fontId="41" numFmtId="169" xfId="0" applyAlignment="1" applyBorder="1" applyFont="1" applyNumberFormat="1">
      <alignment horizontal="center" readingOrder="0" vertical="center"/>
    </xf>
    <xf borderId="116" fillId="9" fontId="7" numFmtId="169" xfId="0" applyAlignment="1" applyBorder="1" applyFont="1" applyNumberFormat="1">
      <alignment horizontal="center" readingOrder="0" vertical="center"/>
    </xf>
    <xf borderId="116" fillId="9" fontId="6" numFmtId="169" xfId="0" applyAlignment="1" applyBorder="1" applyFont="1" applyNumberFormat="1">
      <alignment readingOrder="0" vertical="center"/>
    </xf>
    <xf borderId="22" fillId="9" fontId="7" numFmtId="169" xfId="0" applyAlignment="1" applyBorder="1" applyFont="1" applyNumberFormat="1">
      <alignment horizontal="center" readingOrder="0" vertical="center"/>
    </xf>
    <xf borderId="22" fillId="9" fontId="7" numFmtId="169" xfId="0" applyAlignment="1" applyBorder="1" applyFont="1" applyNumberFormat="1">
      <alignment horizontal="center" readingOrder="0" vertical="center"/>
    </xf>
    <xf borderId="116" fillId="9" fontId="7" numFmtId="169" xfId="0" applyAlignment="1" applyBorder="1" applyFont="1" applyNumberFormat="1">
      <alignment horizontal="center" readingOrder="0" vertical="center"/>
    </xf>
    <xf borderId="112" fillId="9" fontId="22" numFmtId="169" xfId="0" applyAlignment="1" applyBorder="1" applyFont="1" applyNumberFormat="1">
      <alignment horizontal="center" readingOrder="0" vertical="center"/>
    </xf>
    <xf borderId="112" fillId="9" fontId="7" numFmtId="169" xfId="0" applyAlignment="1" applyBorder="1" applyFont="1" applyNumberFormat="1">
      <alignment horizontal="center" readingOrder="0" vertical="center"/>
    </xf>
    <xf borderId="113" fillId="0" fontId="22" numFmtId="169" xfId="0" applyAlignment="1" applyBorder="1" applyFont="1" applyNumberFormat="1">
      <alignment horizontal="center"/>
    </xf>
    <xf borderId="22" fillId="0" fontId="22" numFmtId="169" xfId="0" applyAlignment="1" applyBorder="1" applyFont="1" applyNumberFormat="1">
      <alignment horizontal="center"/>
    </xf>
    <xf borderId="116" fillId="9" fontId="6" numFmtId="169" xfId="0" applyBorder="1" applyFont="1" applyNumberFormat="1"/>
    <xf borderId="132" fillId="0" fontId="22" numFmtId="169" xfId="0" applyAlignment="1" applyBorder="1" applyFont="1" applyNumberFormat="1">
      <alignment horizontal="center" readingOrder="0" vertical="center"/>
    </xf>
    <xf borderId="31" fillId="0" fontId="22" numFmtId="169" xfId="0" applyAlignment="1" applyBorder="1" applyFont="1" applyNumberFormat="1">
      <alignment horizontal="center" readingOrder="0" vertical="center"/>
    </xf>
    <xf borderId="33" fillId="0" fontId="22" numFmtId="169" xfId="0" applyAlignment="1" applyBorder="1" applyFont="1" applyNumberFormat="1">
      <alignment horizontal="center" readingOrder="0" vertical="center"/>
    </xf>
    <xf borderId="39" fillId="0" fontId="22" numFmtId="169" xfId="0" applyAlignment="1" applyBorder="1" applyFont="1" applyNumberFormat="1">
      <alignment horizontal="center" readingOrder="0" vertical="center"/>
    </xf>
    <xf borderId="34" fillId="0" fontId="22" numFmtId="169" xfId="0" applyAlignment="1" applyBorder="1" applyFont="1" applyNumberFormat="1">
      <alignment horizontal="center" readingOrder="0" vertical="center"/>
    </xf>
    <xf borderId="22" fillId="9" fontId="22" numFmtId="169" xfId="0" applyAlignment="1" applyBorder="1" applyFont="1" applyNumberFormat="1">
      <alignment horizontal="center"/>
    </xf>
    <xf borderId="116" fillId="9" fontId="6" numFmtId="169" xfId="0" applyBorder="1" applyFont="1" applyNumberFormat="1"/>
    <xf borderId="0" fillId="0" fontId="22" numFmtId="169" xfId="0" applyAlignment="1" applyFont="1" applyNumberFormat="1">
      <alignment horizontal="center" readingOrder="0" vertical="center"/>
    </xf>
    <xf borderId="109" fillId="2" fontId="17" numFmtId="3" xfId="0" applyAlignment="1" applyBorder="1" applyFont="1" applyNumberFormat="1">
      <alignment readingOrder="0" shrinkToFit="0" vertical="center" wrapText="1"/>
    </xf>
    <xf borderId="105" fillId="0" fontId="17" numFmtId="169" xfId="0" applyAlignment="1" applyBorder="1" applyFont="1" applyNumberFormat="1">
      <alignment horizontal="center" readingOrder="0" vertical="center"/>
    </xf>
    <xf borderId="105" fillId="9" fontId="17" numFmtId="10" xfId="0" applyAlignment="1" applyBorder="1" applyFont="1" applyNumberFormat="1">
      <alignment horizontal="center" readingOrder="0" vertical="center"/>
    </xf>
    <xf borderId="112" fillId="9" fontId="17" numFmtId="168" xfId="0" applyAlignment="1" applyBorder="1" applyFont="1" applyNumberFormat="1">
      <alignment horizontal="center" readingOrder="0" vertical="center"/>
    </xf>
    <xf borderId="170" fillId="9" fontId="13" numFmtId="164" xfId="0" applyAlignment="1" applyBorder="1" applyFont="1" applyNumberFormat="1">
      <alignment horizontal="left" readingOrder="0" vertical="center"/>
    </xf>
    <xf borderId="22" fillId="9" fontId="47" numFmtId="165" xfId="0" applyAlignment="1" applyBorder="1" applyFont="1" applyNumberFormat="1">
      <alignment horizontal="center" vertical="center"/>
    </xf>
    <xf borderId="116" fillId="9" fontId="47" numFmtId="165" xfId="0" applyAlignment="1" applyBorder="1" applyFont="1" applyNumberFormat="1">
      <alignment horizontal="center" vertical="center"/>
    </xf>
    <xf borderId="111" fillId="9" fontId="47" numFmtId="164" xfId="0" applyAlignment="1" applyBorder="1" applyFont="1" applyNumberFormat="1">
      <alignment horizontal="center" vertical="center"/>
    </xf>
    <xf borderId="22" fillId="0" fontId="47" numFmtId="165" xfId="0" applyAlignment="1" applyBorder="1" applyFont="1" applyNumberFormat="1">
      <alignment horizontal="center" vertical="center"/>
    </xf>
    <xf borderId="116" fillId="0" fontId="47" numFmtId="165" xfId="0" applyAlignment="1" applyBorder="1" applyFont="1" applyNumberFormat="1">
      <alignment horizontal="center" vertical="center"/>
    </xf>
    <xf borderId="22" fillId="0" fontId="47" numFmtId="165" xfId="0" applyAlignment="1" applyBorder="1" applyFont="1" applyNumberFormat="1">
      <alignment horizontal="center" readingOrder="0" vertical="center"/>
    </xf>
    <xf borderId="116" fillId="9" fontId="47" numFmtId="165" xfId="0" applyAlignment="1" applyBorder="1" applyFont="1" applyNumberFormat="1">
      <alignment horizontal="center" readingOrder="0" vertical="center"/>
    </xf>
    <xf borderId="25" fillId="9" fontId="47" numFmtId="165" xfId="0" applyAlignment="1" applyBorder="1" applyFont="1" applyNumberFormat="1">
      <alignment horizontal="center" readingOrder="0" vertical="center"/>
    </xf>
    <xf borderId="111" fillId="0" fontId="17" numFmtId="165" xfId="0" applyAlignment="1" applyBorder="1" applyFont="1" applyNumberFormat="1">
      <alignment horizontal="center" vertical="center"/>
    </xf>
    <xf borderId="105" fillId="0" fontId="17" numFmtId="165" xfId="0" applyAlignment="1" applyBorder="1" applyFont="1" applyNumberFormat="1">
      <alignment horizontal="center" vertical="center"/>
    </xf>
    <xf borderId="105" fillId="0" fontId="17" numFmtId="10" xfId="0" applyAlignment="1" applyBorder="1" applyFont="1" applyNumberFormat="1">
      <alignment horizontal="center" readingOrder="0" vertical="center"/>
    </xf>
    <xf borderId="112" fillId="0" fontId="17" numFmtId="168" xfId="0" applyAlignment="1" applyBorder="1" applyFont="1" applyNumberFormat="1">
      <alignment horizontal="center" readingOrder="0" vertical="center"/>
    </xf>
    <xf borderId="33" fillId="2" fontId="41" numFmtId="169" xfId="0" applyAlignment="1" applyBorder="1" applyFont="1" applyNumberFormat="1">
      <alignment horizontal="center" readingOrder="0" vertical="center"/>
    </xf>
    <xf borderId="116" fillId="0" fontId="47" numFmtId="165" xfId="0" applyAlignment="1" applyBorder="1" applyFont="1" applyNumberFormat="1">
      <alignment horizontal="center" readingOrder="0" vertical="center"/>
    </xf>
    <xf borderId="111" fillId="2" fontId="41" numFmtId="169" xfId="0" applyAlignment="1" applyBorder="1" applyFont="1" applyNumberFormat="1">
      <alignment horizontal="center" vertical="center"/>
    </xf>
    <xf borderId="116" fillId="9" fontId="47" numFmtId="165" xfId="0" applyAlignment="1" applyBorder="1" applyFont="1" applyNumberFormat="1">
      <alignment horizontal="center" readingOrder="0" vertical="center"/>
    </xf>
    <xf borderId="22" fillId="0" fontId="47" numFmtId="169" xfId="0" applyAlignment="1" applyBorder="1" applyFont="1" applyNumberFormat="1">
      <alignment horizontal="center" vertical="center"/>
    </xf>
    <xf borderId="116" fillId="0" fontId="41" numFmtId="168" xfId="0" applyAlignment="1" applyBorder="1" applyFont="1" applyNumberFormat="1">
      <alignment horizontal="center" readingOrder="0" vertical="center"/>
    </xf>
    <xf borderId="116" fillId="0" fontId="29" numFmtId="165" xfId="0" applyAlignment="1" applyBorder="1" applyFont="1" applyNumberFormat="1">
      <alignment horizontal="center" readingOrder="0" vertical="center"/>
    </xf>
    <xf borderId="114" fillId="0" fontId="17" numFmtId="165" xfId="0" applyAlignment="1" applyBorder="1" applyFont="1" applyNumberFormat="1">
      <alignment horizontal="center" vertical="center"/>
    </xf>
    <xf borderId="115" fillId="0" fontId="17" numFmtId="165" xfId="0" applyAlignment="1" applyBorder="1" applyFont="1" applyNumberFormat="1">
      <alignment horizontal="center" vertical="center"/>
    </xf>
    <xf borderId="22" fillId="2" fontId="17" numFmtId="10" xfId="0" applyAlignment="1" applyBorder="1" applyFont="1" applyNumberFormat="1">
      <alignment horizontal="center" vertical="center"/>
    </xf>
    <xf borderId="116" fillId="2" fontId="47" numFmtId="165" xfId="0" applyAlignment="1" applyBorder="1" applyFont="1" applyNumberFormat="1">
      <alignment horizontal="center" readingOrder="0" vertical="center"/>
    </xf>
    <xf borderId="22" fillId="2" fontId="47" numFmtId="165" xfId="0" applyAlignment="1" applyBorder="1" applyFont="1" applyNumberFormat="1">
      <alignment horizontal="center" readingOrder="0" vertical="center"/>
    </xf>
    <xf borderId="116" fillId="2" fontId="29" numFmtId="165" xfId="0" applyAlignment="1" applyBorder="1" applyFont="1" applyNumberFormat="1">
      <alignment horizontal="center" readingOrder="0" vertical="center"/>
    </xf>
    <xf borderId="116" fillId="2" fontId="6" numFmtId="169" xfId="0" applyAlignment="1" applyBorder="1" applyFont="1" applyNumberFormat="1">
      <alignment readingOrder="0" vertical="center"/>
    </xf>
    <xf borderId="116" fillId="2" fontId="7" numFmtId="168" xfId="0" applyAlignment="1" applyBorder="1" applyFont="1" applyNumberFormat="1">
      <alignment horizontal="center" readingOrder="0" vertical="center"/>
    </xf>
    <xf borderId="116" fillId="2" fontId="7" numFmtId="169" xfId="0" applyAlignment="1" applyBorder="1" applyFont="1" applyNumberFormat="1">
      <alignment horizontal="center" readingOrder="0" vertical="center"/>
    </xf>
    <xf borderId="22" fillId="2" fontId="7" numFmtId="165" xfId="0" applyAlignment="1" applyBorder="1" applyFont="1" applyNumberFormat="1">
      <alignment horizontal="center" readingOrder="0" vertical="center"/>
    </xf>
    <xf borderId="116" fillId="2" fontId="7" numFmtId="165" xfId="0" applyAlignment="1" applyBorder="1" applyFont="1" applyNumberFormat="1">
      <alignment horizontal="center" readingOrder="0" vertical="center"/>
    </xf>
    <xf borderId="22" fillId="2" fontId="7" numFmtId="165" xfId="0" applyAlignment="1" applyBorder="1" applyFont="1" applyNumberFormat="1">
      <alignment horizontal="center" readingOrder="0" vertical="center"/>
    </xf>
    <xf borderId="112" fillId="2" fontId="17" numFmtId="3" xfId="0" applyAlignment="1" applyBorder="1" applyFont="1" applyNumberFormat="1">
      <alignment horizontal="center" readingOrder="0" vertical="center"/>
    </xf>
    <xf borderId="112" fillId="2" fontId="17" numFmtId="164" xfId="0" applyAlignment="1" applyBorder="1" applyFont="1" applyNumberFormat="1">
      <alignment horizontal="center" readingOrder="0" vertical="center"/>
    </xf>
    <xf borderId="111" fillId="2" fontId="17" numFmtId="3" xfId="0" applyAlignment="1" applyBorder="1" applyFont="1" applyNumberFormat="1">
      <alignment horizontal="center" readingOrder="0" vertical="center"/>
    </xf>
    <xf borderId="112" fillId="2" fontId="29" numFmtId="3" xfId="0" applyAlignment="1" applyBorder="1" applyFont="1" applyNumberFormat="1">
      <alignment horizontal="center" readingOrder="0" vertical="center"/>
    </xf>
    <xf borderId="114" fillId="0" fontId="17" numFmtId="165" xfId="0" applyAlignment="1" applyBorder="1" applyFont="1" applyNumberFormat="1">
      <alignment horizontal="center"/>
    </xf>
    <xf borderId="22" fillId="0" fontId="17" numFmtId="165" xfId="0" applyAlignment="1" applyBorder="1" applyFont="1" applyNumberFormat="1">
      <alignment horizontal="center"/>
    </xf>
    <xf borderId="22" fillId="2" fontId="17" numFmtId="10" xfId="0" applyAlignment="1" applyBorder="1" applyFont="1" applyNumberFormat="1">
      <alignment horizontal="center"/>
    </xf>
    <xf borderId="80" fillId="0" fontId="17" numFmtId="3" xfId="0" applyAlignment="1" applyBorder="1" applyFont="1" applyNumberFormat="1">
      <alignment horizontal="center" readingOrder="0" vertical="center"/>
    </xf>
    <xf borderId="31" fillId="0" fontId="17" numFmtId="3" xfId="0" applyAlignment="1" applyBorder="1" applyFont="1" applyNumberFormat="1">
      <alignment horizontal="center" readingOrder="0" vertical="center"/>
    </xf>
    <xf borderId="33" fillId="0" fontId="17" numFmtId="3" xfId="0" applyAlignment="1" applyBorder="1" applyFont="1" applyNumberFormat="1">
      <alignment horizontal="center" vertical="center"/>
    </xf>
    <xf borderId="31" fillId="0" fontId="17" numFmtId="3" xfId="0" applyAlignment="1" applyBorder="1" applyFont="1" applyNumberFormat="1">
      <alignment horizontal="center" vertical="center"/>
    </xf>
    <xf borderId="39" fillId="0" fontId="17" numFmtId="3" xfId="0" applyAlignment="1" applyBorder="1" applyFont="1" applyNumberFormat="1">
      <alignment horizontal="center" vertical="center"/>
    </xf>
    <xf borderId="34" fillId="0" fontId="17" numFmtId="3" xfId="0" applyAlignment="1" applyBorder="1" applyFont="1" applyNumberFormat="1">
      <alignment horizontal="center" vertical="center"/>
    </xf>
    <xf borderId="22" fillId="2" fontId="17" numFmtId="10" xfId="0" applyAlignment="1" applyBorder="1" applyFont="1" applyNumberFormat="1">
      <alignment horizontal="center"/>
    </xf>
    <xf borderId="0" fillId="0" fontId="17" numFmtId="3" xfId="0" applyAlignment="1" applyFont="1" applyNumberFormat="1">
      <alignment horizontal="center" readingOrder="0" vertical="center"/>
    </xf>
    <xf borderId="44" fillId="9" fontId="22" numFmtId="3" xfId="0" applyAlignment="1" applyBorder="1" applyFont="1" applyNumberFormat="1">
      <alignment readingOrder="0" shrinkToFit="0" vertical="center" wrapText="1"/>
    </xf>
    <xf borderId="43" fillId="9" fontId="19" numFmtId="0" xfId="0" applyBorder="1" applyFont="1"/>
    <xf borderId="95" fillId="0" fontId="22" numFmtId="10" xfId="0" applyAlignment="1" applyBorder="1" applyFont="1" applyNumberFormat="1">
      <alignment horizontal="center" readingOrder="0" vertical="center"/>
    </xf>
    <xf borderId="173" fillId="0" fontId="22" numFmtId="10" xfId="0" applyAlignment="1" applyBorder="1" applyFont="1" applyNumberFormat="1">
      <alignment horizontal="center" readingOrder="0" vertical="center"/>
    </xf>
    <xf borderId="34" fillId="2" fontId="22" numFmtId="10" xfId="0" applyAlignment="1" applyBorder="1" applyFont="1" applyNumberFormat="1">
      <alignment horizontal="center" readingOrder="0" vertical="center"/>
    </xf>
    <xf borderId="170" fillId="2" fontId="27" numFmtId="10" xfId="0" applyAlignment="1" applyBorder="1" applyFont="1" applyNumberFormat="1">
      <alignment horizontal="left" readingOrder="0" vertical="center"/>
    </xf>
    <xf borderId="116" fillId="2" fontId="41" numFmtId="10" xfId="0" applyAlignment="1" applyBorder="1" applyFont="1" applyNumberFormat="1">
      <alignment horizontal="center" vertical="center"/>
    </xf>
    <xf borderId="111" fillId="2" fontId="22" numFmtId="10" xfId="0" applyAlignment="1" applyBorder="1" applyFont="1" applyNumberFormat="1">
      <alignment horizontal="center"/>
    </xf>
    <xf borderId="110" fillId="2" fontId="22" numFmtId="10" xfId="0" applyAlignment="1" applyBorder="1" applyFont="1" applyNumberFormat="1">
      <alignment horizontal="center"/>
    </xf>
    <xf borderId="109" fillId="2" fontId="22" numFmtId="10" xfId="0" applyAlignment="1" applyBorder="1" applyFont="1" applyNumberFormat="1">
      <alignment horizontal="center"/>
    </xf>
    <xf borderId="111" fillId="0" fontId="22" numFmtId="10" xfId="0" applyAlignment="1" applyBorder="1" applyFont="1" applyNumberFormat="1">
      <alignment horizontal="center" vertical="center"/>
    </xf>
    <xf borderId="34" fillId="0" fontId="22" numFmtId="10" xfId="0" applyAlignment="1" applyBorder="1" applyFont="1" applyNumberFormat="1">
      <alignment horizontal="center" readingOrder="0" vertical="center"/>
    </xf>
    <xf borderId="110" fillId="0" fontId="19" numFmtId="0" xfId="0" applyBorder="1" applyFont="1"/>
    <xf borderId="33" fillId="2" fontId="22" numFmtId="165" xfId="0" applyAlignment="1" applyBorder="1" applyFont="1" applyNumberFormat="1">
      <alignment horizontal="center"/>
    </xf>
    <xf borderId="111" fillId="2" fontId="22" numFmtId="165" xfId="0" applyAlignment="1" applyBorder="1" applyFont="1" applyNumberFormat="1">
      <alignment horizontal="center"/>
    </xf>
    <xf borderId="114" fillId="0" fontId="22" numFmtId="10" xfId="0" applyAlignment="1" applyBorder="1" applyFont="1" applyNumberFormat="1">
      <alignment horizontal="center" vertical="center"/>
    </xf>
    <xf borderId="34" fillId="9" fontId="22" numFmtId="10" xfId="0" applyAlignment="1" applyBorder="1" applyFont="1" applyNumberFormat="1">
      <alignment horizontal="center" readingOrder="0" vertical="center"/>
    </xf>
    <xf borderId="33" fillId="9" fontId="22" numFmtId="10" xfId="0" applyAlignment="1" applyBorder="1" applyFont="1" applyNumberFormat="1">
      <alignment horizontal="center"/>
    </xf>
    <xf borderId="114" fillId="0" fontId="22" numFmtId="10" xfId="0" applyAlignment="1" applyBorder="1" applyFont="1" applyNumberFormat="1">
      <alignment horizontal="center"/>
    </xf>
    <xf borderId="116" fillId="2" fontId="6" numFmtId="10" xfId="0" applyAlignment="1" applyBorder="1" applyFont="1" applyNumberFormat="1">
      <alignment vertical="bottom"/>
    </xf>
    <xf borderId="118" fillId="9" fontId="22" numFmtId="10" xfId="0" applyAlignment="1" applyBorder="1" applyFont="1" applyNumberFormat="1">
      <alignment horizontal="center" readingOrder="0" vertical="center"/>
    </xf>
    <xf borderId="33" fillId="2" fontId="22" numFmtId="10" xfId="0" applyAlignment="1" applyBorder="1" applyFont="1" applyNumberFormat="1">
      <alignment horizontal="center"/>
    </xf>
    <xf borderId="112" fillId="2" fontId="22" numFmtId="10" xfId="0" applyAlignment="1" applyBorder="1" applyFont="1" applyNumberFormat="1">
      <alignment horizontal="center"/>
    </xf>
    <xf borderId="25" fillId="12" fontId="48" numFmtId="10" xfId="0" applyAlignment="1" applyBorder="1" applyFill="1" applyFont="1" applyNumberFormat="1">
      <alignment horizontal="center"/>
    </xf>
    <xf borderId="0" fillId="0" fontId="22" numFmtId="3" xfId="0" applyAlignment="1" applyFont="1" applyNumberFormat="1">
      <alignment horizontal="center" readingOrder="0" vertical="center"/>
    </xf>
    <xf borderId="44" fillId="2" fontId="22" numFmtId="3" xfId="0" applyAlignment="1" applyBorder="1" applyFont="1" applyNumberFormat="1">
      <alignment readingOrder="0" shrinkToFit="0" vertical="center" wrapText="1"/>
    </xf>
    <xf borderId="43" fillId="2" fontId="19" numFmtId="0" xfId="0" applyBorder="1" applyFont="1"/>
    <xf borderId="173" fillId="0" fontId="22" numFmtId="10" xfId="0" applyAlignment="1" applyBorder="1" applyFont="1" applyNumberFormat="1">
      <alignment horizontal="center" readingOrder="0" vertical="center"/>
    </xf>
    <xf borderId="170" fillId="9" fontId="27" numFmtId="10" xfId="0" applyAlignment="1" applyBorder="1" applyFont="1" applyNumberFormat="1">
      <alignment horizontal="left" readingOrder="0" vertical="center"/>
    </xf>
    <xf borderId="113" fillId="9" fontId="41" numFmtId="10" xfId="0" applyAlignment="1" applyBorder="1" applyFont="1" applyNumberFormat="1">
      <alignment horizontal="center" readingOrder="0" vertical="center"/>
    </xf>
    <xf borderId="116" fillId="9" fontId="41" numFmtId="10" xfId="0" applyAlignment="1" applyBorder="1" applyFont="1" applyNumberFormat="1">
      <alignment horizontal="center" vertical="center"/>
    </xf>
    <xf borderId="95" fillId="9" fontId="22" numFmtId="10" xfId="0" applyAlignment="1" applyBorder="1" applyFont="1" applyNumberFormat="1">
      <alignment horizontal="center" readingOrder="0" vertical="center"/>
    </xf>
    <xf borderId="112" fillId="0" fontId="41" numFmtId="10" xfId="0" applyAlignment="1" applyBorder="1" applyFont="1" applyNumberFormat="1">
      <alignment horizontal="center" vertical="center"/>
    </xf>
    <xf borderId="116" fillId="0" fontId="41" numFmtId="10" xfId="0" applyAlignment="1" applyBorder="1" applyFont="1" applyNumberFormat="1">
      <alignment horizontal="center" vertical="center"/>
    </xf>
    <xf borderId="25" fillId="0" fontId="41" numFmtId="10" xfId="0" applyAlignment="1" applyBorder="1" applyFont="1" applyNumberFormat="1">
      <alignment horizontal="center" vertical="center"/>
    </xf>
    <xf borderId="111" fillId="0" fontId="22" numFmtId="10" xfId="0" applyAlignment="1" applyBorder="1" applyFont="1" applyNumberFormat="1">
      <alignment horizontal="center" readingOrder="0" vertical="center"/>
    </xf>
    <xf borderId="105" fillId="0" fontId="41" numFmtId="10" xfId="0" applyAlignment="1" applyBorder="1" applyFont="1" applyNumberFormat="1">
      <alignment horizontal="center" vertical="center"/>
    </xf>
    <xf borderId="93" fillId="0" fontId="22" numFmtId="165" xfId="0" applyAlignment="1" applyBorder="1" applyFont="1" applyNumberFormat="1">
      <alignment horizontal="center" vertical="center"/>
    </xf>
    <xf borderId="95" fillId="0" fontId="22" numFmtId="165" xfId="0" applyAlignment="1" applyBorder="1" applyFont="1" applyNumberFormat="1">
      <alignment horizontal="center" vertical="center"/>
    </xf>
    <xf borderId="95" fillId="2" fontId="22" numFmtId="10" xfId="0" applyAlignment="1" applyBorder="1" applyFont="1" applyNumberFormat="1">
      <alignment horizontal="center" readingOrder="0" vertical="center"/>
    </xf>
    <xf borderId="112" fillId="2" fontId="41" numFmtId="10" xfId="0" applyAlignment="1" applyBorder="1" applyFont="1" applyNumberFormat="1">
      <alignment horizontal="center" vertical="center"/>
    </xf>
    <xf borderId="174" fillId="2" fontId="22" numFmtId="10" xfId="0" applyAlignment="1" applyBorder="1" applyFont="1" applyNumberFormat="1">
      <alignment horizontal="center" readingOrder="0" vertical="center"/>
    </xf>
    <xf borderId="93" fillId="2" fontId="22" numFmtId="10" xfId="0" applyAlignment="1" applyBorder="1" applyFont="1" applyNumberFormat="1">
      <alignment horizontal="center" readingOrder="0" vertical="center"/>
    </xf>
    <xf borderId="113" fillId="2" fontId="22" numFmtId="10" xfId="0" applyAlignment="1" applyBorder="1" applyFont="1" applyNumberFormat="1">
      <alignment horizontal="center"/>
    </xf>
    <xf borderId="116" fillId="2" fontId="22" numFmtId="10" xfId="0" applyAlignment="1" applyBorder="1" applyFont="1" applyNumberFormat="1">
      <alignment horizontal="center"/>
    </xf>
    <xf borderId="118" fillId="2" fontId="22" numFmtId="10" xfId="0" applyAlignment="1" applyBorder="1" applyFont="1" applyNumberFormat="1">
      <alignment horizontal="center" readingOrder="0" vertical="center"/>
    </xf>
    <xf borderId="41" fillId="2" fontId="19" numFmtId="0" xfId="0" applyBorder="1" applyFont="1"/>
    <xf borderId="39" fillId="0" fontId="22" numFmtId="10" xfId="0" applyAlignment="1" applyBorder="1" applyFont="1" applyNumberFormat="1">
      <alignment horizontal="center" readingOrder="0" vertical="center"/>
    </xf>
    <xf borderId="175" fillId="0" fontId="22" numFmtId="10" xfId="0" applyAlignment="1" applyBorder="1" applyFont="1" applyNumberFormat="1">
      <alignment horizontal="center" readingOrder="0" vertical="center"/>
    </xf>
    <xf borderId="25" fillId="2" fontId="30" numFmtId="10" xfId="0" applyAlignment="1" applyBorder="1" applyFont="1" applyNumberFormat="1">
      <alignment horizontal="center"/>
    </xf>
    <xf borderId="27" fillId="2" fontId="19" numFmtId="0" xfId="0" applyBorder="1" applyFont="1"/>
    <xf borderId="158" fillId="0" fontId="19" numFmtId="0" xfId="0" applyBorder="1" applyFont="1"/>
    <xf borderId="121" fillId="0" fontId="22" numFmtId="0" xfId="0" applyAlignment="1" applyBorder="1" applyFont="1">
      <alignment readingOrder="0" shrinkToFit="0" vertical="center" wrapText="1"/>
    </xf>
    <xf borderId="121" fillId="0" fontId="19" numFmtId="0" xfId="0" applyBorder="1" applyFont="1"/>
    <xf borderId="176" fillId="0" fontId="19" numFmtId="0" xfId="0" applyBorder="1" applyFont="1"/>
    <xf borderId="133" fillId="2" fontId="22" numFmtId="168" xfId="0" applyAlignment="1" applyBorder="1" applyFont="1" applyNumberFormat="1">
      <alignment horizontal="center" readingOrder="0" vertical="center"/>
    </xf>
    <xf borderId="123" fillId="2" fontId="22" numFmtId="168" xfId="0" applyAlignment="1" applyBorder="1" applyFont="1" applyNumberFormat="1">
      <alignment horizontal="center" readingOrder="0" vertical="center"/>
    </xf>
    <xf borderId="120" fillId="2" fontId="22" numFmtId="10" xfId="0" applyAlignment="1" applyBorder="1" applyFont="1" applyNumberFormat="1">
      <alignment horizontal="center" readingOrder="0" vertical="center"/>
    </xf>
    <xf borderId="177" fillId="2" fontId="19" numFmtId="0" xfId="0" applyBorder="1" applyFont="1"/>
    <xf borderId="178" fillId="2" fontId="27" numFmtId="164" xfId="0" applyAlignment="1" applyBorder="1" applyFont="1" applyNumberFormat="1">
      <alignment horizontal="left" readingOrder="0" vertical="center"/>
    </xf>
    <xf borderId="119" fillId="2" fontId="41" numFmtId="168" xfId="0" applyAlignment="1" applyBorder="1" applyFont="1" applyNumberFormat="1">
      <alignment horizontal="center" vertical="center"/>
    </xf>
    <xf borderId="134" fillId="2" fontId="41" numFmtId="168" xfId="0" applyAlignment="1" applyBorder="1" applyFont="1" applyNumberFormat="1">
      <alignment horizontal="center" vertical="center"/>
    </xf>
    <xf borderId="125" fillId="2" fontId="41" numFmtId="168" xfId="0" applyAlignment="1" applyBorder="1" applyFont="1" applyNumberFormat="1">
      <alignment horizontal="center" vertical="center"/>
    </xf>
    <xf borderId="124" fillId="2" fontId="41" numFmtId="168" xfId="0" applyAlignment="1" applyBorder="1" applyFont="1" applyNumberFormat="1">
      <alignment horizontal="center" vertical="center"/>
    </xf>
    <xf borderId="119" fillId="0" fontId="41" numFmtId="168" xfId="0" applyAlignment="1" applyBorder="1" applyFont="1" applyNumberFormat="1">
      <alignment horizontal="center" vertical="center"/>
    </xf>
    <xf borderId="134" fillId="0" fontId="41" numFmtId="168" xfId="0" applyAlignment="1" applyBorder="1" applyFont="1" applyNumberFormat="1">
      <alignment horizontal="center" vertical="center"/>
    </xf>
    <xf borderId="125" fillId="0" fontId="41" numFmtId="168" xfId="0" applyAlignment="1" applyBorder="1" applyFont="1" applyNumberFormat="1">
      <alignment horizontal="center" vertical="center"/>
    </xf>
    <xf borderId="120" fillId="2" fontId="41" numFmtId="168" xfId="0" applyAlignment="1" applyBorder="1" applyFont="1" applyNumberFormat="1">
      <alignment horizontal="center" vertical="center"/>
    </xf>
    <xf borderId="123" fillId="2" fontId="41" numFmtId="168" xfId="0" applyAlignment="1" applyBorder="1" applyFont="1" applyNumberFormat="1">
      <alignment horizontal="center" vertical="center"/>
    </xf>
    <xf borderId="123" fillId="0" fontId="22" numFmtId="10" xfId="0" applyAlignment="1" applyBorder="1" applyFont="1" applyNumberFormat="1">
      <alignment horizontal="center" readingOrder="0" vertical="center"/>
    </xf>
    <xf borderId="124" fillId="0" fontId="22" numFmtId="168" xfId="0" applyAlignment="1" applyBorder="1" applyFont="1" applyNumberFormat="1">
      <alignment horizontal="center" readingOrder="0" vertical="center"/>
    </xf>
    <xf borderId="122" fillId="2" fontId="22" numFmtId="3" xfId="0" applyAlignment="1" applyBorder="1" applyFont="1" applyNumberFormat="1">
      <alignment horizontal="center"/>
    </xf>
    <xf borderId="177" fillId="2" fontId="22" numFmtId="168" xfId="0" applyAlignment="1" applyBorder="1" applyFont="1" applyNumberFormat="1">
      <alignment horizontal="center"/>
    </xf>
    <xf borderId="125" fillId="2" fontId="22" numFmtId="3" xfId="0" applyAlignment="1" applyBorder="1" applyFont="1" applyNumberFormat="1">
      <alignment horizontal="center"/>
    </xf>
    <xf borderId="131" fillId="2" fontId="22" numFmtId="10" xfId="0" applyAlignment="1" applyBorder="1" applyFont="1" applyNumberFormat="1">
      <alignment horizontal="center" vertical="center"/>
    </xf>
    <xf borderId="134" fillId="2" fontId="6" numFmtId="168" xfId="0" applyAlignment="1" applyBorder="1" applyFont="1" applyNumberFormat="1">
      <alignment vertical="center"/>
    </xf>
    <xf borderId="125" fillId="2" fontId="22" numFmtId="168" xfId="0" applyAlignment="1" applyBorder="1" applyFont="1" applyNumberFormat="1">
      <alignment horizontal="center"/>
    </xf>
    <xf borderId="119" fillId="2" fontId="22" numFmtId="168" xfId="0" applyAlignment="1" applyBorder="1" applyFont="1" applyNumberFormat="1">
      <alignment horizontal="center"/>
    </xf>
    <xf borderId="134" fillId="2" fontId="22" numFmtId="168" xfId="0" applyAlignment="1" applyBorder="1" applyFont="1" applyNumberFormat="1">
      <alignment horizontal="center"/>
    </xf>
    <xf borderId="131" fillId="2" fontId="22" numFmtId="10" xfId="0" applyAlignment="1" applyBorder="1" applyFont="1" applyNumberFormat="1">
      <alignment horizontal="center"/>
    </xf>
    <xf borderId="134" fillId="2" fontId="6" numFmtId="168" xfId="0" applyBorder="1" applyFont="1" applyNumberFormat="1"/>
    <xf borderId="124" fillId="2" fontId="22" numFmtId="168" xfId="0" applyAlignment="1" applyBorder="1" applyFont="1" applyNumberFormat="1">
      <alignment horizontal="center"/>
    </xf>
    <xf borderId="0" fillId="0" fontId="22" numFmtId="10" xfId="0" applyAlignment="1" applyFont="1" applyNumberFormat="1">
      <alignment horizontal="center" readingOrder="0" vertical="center"/>
    </xf>
    <xf borderId="0" fillId="0" fontId="17" numFmtId="169" xfId="0" applyAlignment="1" applyFont="1" applyNumberFormat="1">
      <alignment horizontal="left" readingOrder="0" vertical="center"/>
    </xf>
    <xf borderId="0" fillId="0" fontId="17" numFmtId="169" xfId="0" applyAlignment="1" applyFont="1" applyNumberFormat="1">
      <alignment horizontal="left" readingOrder="0" shrinkToFit="0" vertical="center" wrapText="0"/>
    </xf>
    <xf borderId="0" fillId="0" fontId="17" numFmtId="169" xfId="0" applyAlignment="1" applyFont="1" applyNumberFormat="1">
      <alignment horizontal="center" vertical="center"/>
    </xf>
    <xf borderId="0" fillId="0" fontId="17" numFmtId="10" xfId="0" applyAlignment="1" applyFont="1" applyNumberFormat="1">
      <alignment horizontal="center" vertical="center"/>
    </xf>
    <xf borderId="0" fillId="0" fontId="17" numFmtId="169" xfId="0" applyAlignment="1" applyFont="1" applyNumberFormat="1">
      <alignment horizontal="center" readingOrder="0" vertical="center"/>
    </xf>
    <xf borderId="0" fillId="0" fontId="13" numFmtId="164" xfId="0" applyAlignment="1" applyFont="1" applyNumberFormat="1">
      <alignment horizontal="left" readingOrder="0" vertical="center"/>
    </xf>
    <xf borderId="0" fillId="0" fontId="17" numFmtId="3" xfId="0" applyAlignment="1" applyFont="1" applyNumberFormat="1">
      <alignment horizontal="center" vertical="center"/>
    </xf>
    <xf borderId="0" fillId="0" fontId="17" numFmtId="3" xfId="0" applyAlignment="1" applyFont="1" applyNumberFormat="1">
      <alignment horizontal="center" vertical="center"/>
    </xf>
    <xf borderId="0" fillId="0" fontId="6" numFmtId="169" xfId="0" applyAlignment="1" applyFont="1" applyNumberFormat="1">
      <alignment vertical="center"/>
    </xf>
    <xf borderId="0" fillId="0" fontId="6" numFmtId="10" xfId="0" applyAlignment="1" applyFont="1" applyNumberFormat="1">
      <alignment vertical="center"/>
    </xf>
    <xf borderId="0" fillId="0" fontId="7" numFmtId="169" xfId="0" applyAlignment="1" applyFont="1" applyNumberFormat="1">
      <alignment horizontal="center" vertical="center"/>
    </xf>
    <xf borderId="0" fillId="0" fontId="6" numFmtId="169" xfId="0" applyFont="1" applyNumberFormat="1"/>
    <xf borderId="0" fillId="0" fontId="6" numFmtId="10" xfId="0" applyFont="1" applyNumberFormat="1"/>
    <xf borderId="0" fillId="0" fontId="29" numFmtId="169" xfId="0" applyAlignment="1" applyFont="1" applyNumberFormat="1">
      <alignment vertical="center"/>
    </xf>
    <xf borderId="0" fillId="0" fontId="17" numFmtId="10" xfId="0" applyAlignment="1" applyFont="1" applyNumberFormat="1">
      <alignment horizontal="center" vertical="center"/>
    </xf>
    <xf borderId="0" fillId="0" fontId="17" numFmtId="165" xfId="0" applyAlignment="1" applyFont="1" applyNumberFormat="1">
      <alignment horizontal="center" vertical="center"/>
    </xf>
    <xf borderId="0" fillId="0" fontId="17" numFmtId="165" xfId="0" applyAlignment="1" applyFont="1" applyNumberFormat="1">
      <alignment horizontal="center" vertical="center"/>
    </xf>
    <xf borderId="0" fillId="0" fontId="17" numFmtId="4" xfId="0" applyAlignment="1" applyFont="1" applyNumberFormat="1">
      <alignment horizontal="center" vertical="center"/>
    </xf>
    <xf borderId="0" fillId="0" fontId="17" numFmtId="4" xfId="0" applyAlignment="1" applyFont="1" applyNumberFormat="1">
      <alignment horizontal="center" vertical="center"/>
    </xf>
    <xf borderId="111" fillId="2" fontId="37" numFmtId="169" xfId="0" applyAlignment="1" applyBorder="1" applyFont="1" applyNumberFormat="1">
      <alignment horizontal="center" readingOrder="0" vertical="center"/>
    </xf>
    <xf borderId="118" fillId="8" fontId="37" numFmtId="3" xfId="0" applyAlignment="1" applyBorder="1" applyFont="1" applyNumberFormat="1">
      <alignment readingOrder="0" shrinkToFit="0" vertical="center" wrapText="1"/>
    </xf>
    <xf borderId="137" fillId="9" fontId="37" numFmtId="165" xfId="0" applyAlignment="1" applyBorder="1" applyFont="1" applyNumberFormat="1">
      <alignment horizontal="center" readingOrder="0" vertical="center"/>
    </xf>
    <xf borderId="137" fillId="9" fontId="41" numFmtId="170" xfId="0" applyAlignment="1" applyBorder="1" applyFont="1" applyNumberFormat="1">
      <alignment horizontal="center" vertical="center"/>
    </xf>
    <xf borderId="98" fillId="10" fontId="17" numFmtId="0" xfId="0" applyAlignment="1" applyBorder="1" applyFont="1">
      <alignment horizontal="center" readingOrder="0" shrinkToFit="0" textRotation="90" vertical="center" wrapText="1"/>
    </xf>
    <xf borderId="99" fillId="2" fontId="22" numFmtId="0" xfId="0" applyAlignment="1" applyBorder="1" applyFont="1">
      <alignment readingOrder="0" shrinkToFit="0" vertical="center" wrapText="1"/>
    </xf>
    <xf borderId="111" fillId="2" fontId="38" numFmtId="165" xfId="0" applyAlignment="1" applyBorder="1" applyFont="1" applyNumberFormat="1">
      <alignment horizontal="center" readingOrder="0"/>
    </xf>
    <xf borderId="111" fillId="9" fontId="41" numFmtId="165" xfId="0" applyAlignment="1" applyBorder="1" applyFont="1" applyNumberFormat="1">
      <alignment horizontal="center" readingOrder="0"/>
    </xf>
    <xf borderId="105" fillId="2" fontId="22" numFmtId="4" xfId="0" applyAlignment="1" applyBorder="1" applyFont="1" applyNumberFormat="1">
      <alignment horizontal="center" readingOrder="0" vertical="center"/>
    </xf>
    <xf borderId="111" fillId="2" fontId="38" numFmtId="1" xfId="0" applyAlignment="1" applyBorder="1" applyFont="1" applyNumberFormat="1">
      <alignment horizontal="center" readingOrder="0"/>
    </xf>
    <xf borderId="33" fillId="9" fontId="22" numFmtId="3" xfId="0" applyAlignment="1" applyBorder="1" applyFont="1" applyNumberFormat="1">
      <alignment horizontal="center"/>
    </xf>
    <xf borderId="111" fillId="9" fontId="22" numFmtId="168" xfId="0" applyAlignment="1" applyBorder="1" applyFont="1" applyNumberFormat="1">
      <alignment horizontal="center" readingOrder="0" vertical="center"/>
    </xf>
    <xf borderId="112" fillId="8" fontId="38" numFmtId="4" xfId="0" applyAlignment="1" applyBorder="1" applyFont="1" applyNumberFormat="1">
      <alignment horizontal="center" readingOrder="0"/>
    </xf>
    <xf borderId="125" fillId="9" fontId="41" numFmtId="165" xfId="0" applyAlignment="1" applyBorder="1" applyFont="1" applyNumberFormat="1">
      <alignment horizontal="center" readingOrder="0"/>
    </xf>
    <xf borderId="119" fillId="9" fontId="41" numFmtId="165" xfId="0" applyAlignment="1" applyBorder="1" applyFont="1" applyNumberFormat="1">
      <alignment horizontal="center" readingOrder="0"/>
    </xf>
    <xf borderId="179" fillId="9" fontId="41" numFmtId="3" xfId="0" applyAlignment="1" applyBorder="1" applyFont="1" applyNumberFormat="1">
      <alignment horizontal="center" readingOrder="0" vertical="center"/>
    </xf>
    <xf borderId="111" fillId="8" fontId="41" numFmtId="171" xfId="0" applyAlignment="1" applyBorder="1" applyFont="1" applyNumberFormat="1">
      <alignment horizontal="center" vertical="center"/>
    </xf>
    <xf borderId="105" fillId="9" fontId="22" numFmtId="9" xfId="0" applyAlignment="1" applyBorder="1" applyFont="1" applyNumberFormat="1">
      <alignment horizontal="center" readingOrder="0" vertical="center"/>
    </xf>
    <xf borderId="117" fillId="2" fontId="22" numFmtId="165" xfId="0" applyAlignment="1" applyBorder="1" applyFont="1" applyNumberFormat="1">
      <alignment horizontal="center" readingOrder="0" vertical="center"/>
    </xf>
    <xf borderId="107" fillId="2" fontId="22" numFmtId="169" xfId="0" applyAlignment="1" applyBorder="1" applyFont="1" applyNumberFormat="1">
      <alignment horizontal="center" readingOrder="0" vertical="center"/>
    </xf>
    <xf borderId="101" fillId="2" fontId="41" numFmtId="10" xfId="0" applyAlignment="1" applyBorder="1" applyFont="1" applyNumberFormat="1">
      <alignment horizontal="center" vertical="center"/>
    </xf>
    <xf borderId="33" fillId="9" fontId="41" numFmtId="3" xfId="0" applyAlignment="1" applyBorder="1" applyFont="1" applyNumberFormat="1">
      <alignment horizontal="center" readingOrder="0"/>
    </xf>
    <xf borderId="122" fillId="2" fontId="41" numFmtId="165" xfId="0" applyAlignment="1" applyBorder="1" applyFont="1" applyNumberFormat="1">
      <alignment horizontal="center" readingOrder="0"/>
    </xf>
    <xf borderId="120" fillId="2" fontId="22" numFmtId="3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  <dxf>
      <font>
        <color rgb="FF666666"/>
      </font>
      <fill>
        <patternFill patternType="none"/>
      </fill>
      <border/>
    </dxf>
    <dxf>
      <font>
        <b/>
        <color rgb="FF274E13"/>
      </font>
      <fill>
        <patternFill patternType="solid">
          <fgColor rgb="FF93C47D"/>
          <bgColor rgb="FF93C47D"/>
        </patternFill>
      </fill>
      <border/>
    </dxf>
    <dxf>
      <font>
        <b/>
        <color rgb="FF660000"/>
      </font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32">
    <tableStyle count="2" pivot="0" name="Апрель-style">
      <tableStyleElement dxfId="1" type="firstRowStripe"/>
      <tableStyleElement dxfId="2" type="secondRowStripe"/>
    </tableStyle>
    <tableStyle count="2" pivot="0" name="Апрель-style 2">
      <tableStyleElement dxfId="1" type="firstRowStripe"/>
      <tableStyleElement dxfId="2" type="secondRowStripe"/>
    </tableStyle>
    <tableStyle count="2" pivot="0" name="Апрель-style 3">
      <tableStyleElement dxfId="2" type="firstRowStripe"/>
      <tableStyleElement dxfId="1" type="secondRowStripe"/>
    </tableStyle>
    <tableStyle count="2" pivot="0" name="Апрель-style 4">
      <tableStyleElement dxfId="2" type="firstRowStripe"/>
      <tableStyleElement dxfId="1" type="secondRowStripe"/>
    </tableStyle>
    <tableStyle count="2" pivot="0" name="Апрель-style 5">
      <tableStyleElement dxfId="1" type="firstRowStripe"/>
      <tableStyleElement dxfId="2" type="secondRowStripe"/>
    </tableStyle>
    <tableStyle count="2" pivot="0" name="Апрель-style 6">
      <tableStyleElement dxfId="1" type="firstRowStripe"/>
      <tableStyleElement dxfId="2" type="secondRowStripe"/>
    </tableStyle>
    <tableStyle count="2" pivot="0" name="Апрель-style 7">
      <tableStyleElement dxfId="2" type="firstRowStripe"/>
      <tableStyleElement dxfId="1" type="secondRowStripe"/>
    </tableStyle>
    <tableStyle count="2" pivot="0" name="Апрель-style 8">
      <tableStyleElement dxfId="2" type="firstRowStripe"/>
      <tableStyleElement dxfId="1" type="secondRowStripe"/>
    </tableStyle>
    <tableStyle count="2" pivot="0" name="Апрель-style 9">
      <tableStyleElement dxfId="2" type="firstRowStripe"/>
      <tableStyleElement dxfId="1" type="secondRowStripe"/>
    </tableStyle>
    <tableStyle count="2" pivot="0" name="Апрель-style 10">
      <tableStyleElement dxfId="1" type="firstRowStripe"/>
      <tableStyleElement dxfId="2" type="secondRowStripe"/>
    </tableStyle>
    <tableStyle count="2" pivot="0" name="Апрель-style 11">
      <tableStyleElement dxfId="1" type="firstRowStripe"/>
      <tableStyleElement dxfId="2" type="secondRowStripe"/>
    </tableStyle>
    <tableStyle count="2" pivot="0" name="Апрель-style 12">
      <tableStyleElement dxfId="1" type="firstRowStripe"/>
      <tableStyleElement dxfId="2" type="secondRowStripe"/>
    </tableStyle>
    <tableStyle count="2" pivot="0" name="Апрель-style 13">
      <tableStyleElement dxfId="1" type="firstRowStripe"/>
      <tableStyleElement dxfId="2" type="secondRowStripe"/>
    </tableStyle>
    <tableStyle count="2" pivot="0" name="Апрель-style 14">
      <tableStyleElement dxfId="1" type="firstRowStripe"/>
      <tableStyleElement dxfId="2" type="secondRowStripe"/>
    </tableStyle>
    <tableStyle count="2" pivot="0" name="Апрель-style 15">
      <tableStyleElement dxfId="1" type="firstRowStripe"/>
      <tableStyleElement dxfId="2" type="secondRowStripe"/>
    </tableStyle>
    <tableStyle count="2" pivot="0" name="Апрель-style 16">
      <tableStyleElement dxfId="1" type="firstRowStripe"/>
      <tableStyleElement dxfId="2" type="secondRowStripe"/>
    </tableStyle>
    <tableStyle count="2" pivot="0" name="Апрель-style 17">
      <tableStyleElement dxfId="1" type="firstRowStripe"/>
      <tableStyleElement dxfId="2" type="secondRowStripe"/>
    </tableStyle>
    <tableStyle count="2" pivot="0" name="Апрель-style 18">
      <tableStyleElement dxfId="1" type="firstRowStripe"/>
      <tableStyleElement dxfId="2" type="secondRowStripe"/>
    </tableStyle>
    <tableStyle count="2" pivot="0" name="Апрель-style 19">
      <tableStyleElement dxfId="1" type="firstRowStripe"/>
      <tableStyleElement dxfId="2" type="secondRowStripe"/>
    </tableStyle>
    <tableStyle count="2" pivot="0" name="Апрель-style 20">
      <tableStyleElement dxfId="1" type="firstRowStripe"/>
      <tableStyleElement dxfId="2" type="secondRowStripe"/>
    </tableStyle>
    <tableStyle count="2" pivot="0" name="Апрель-style 21">
      <tableStyleElement dxfId="2" type="firstRowStripe"/>
      <tableStyleElement dxfId="1" type="secondRowStripe"/>
    </tableStyle>
    <tableStyle count="2" pivot="0" name="Апрель-style 22">
      <tableStyleElement dxfId="2" type="firstRowStripe"/>
      <tableStyleElement dxfId="1" type="secondRowStripe"/>
    </tableStyle>
    <tableStyle count="2" pivot="0" name="Апрель-style 23">
      <tableStyleElement dxfId="1" type="firstRowStripe"/>
      <tableStyleElement dxfId="2" type="secondRowStripe"/>
    </tableStyle>
    <tableStyle count="2" pivot="0" name="Апрель-style 24">
      <tableStyleElement dxfId="1" type="firstRowStripe"/>
      <tableStyleElement dxfId="2" type="secondRowStripe"/>
    </tableStyle>
    <tableStyle count="2" pivot="0" name="Апрель-style 25">
      <tableStyleElement dxfId="1" type="firstRowStripe"/>
      <tableStyleElement dxfId="2" type="secondRowStripe"/>
    </tableStyle>
    <tableStyle count="2" pivot="0" name="Апрель-style 26">
      <tableStyleElement dxfId="1" type="firstRowStripe"/>
      <tableStyleElement dxfId="2" type="secondRowStripe"/>
    </tableStyle>
    <tableStyle count="2" pivot="0" name="Апрель-style 27">
      <tableStyleElement dxfId="1" type="firstRowStripe"/>
      <tableStyleElement dxfId="2" type="secondRowStripe"/>
    </tableStyle>
    <tableStyle count="2" pivot="0" name="Апрель-style 28">
      <tableStyleElement dxfId="1" type="firstRowStripe"/>
      <tableStyleElement dxfId="2" type="secondRowStripe"/>
    </tableStyle>
    <tableStyle count="2" pivot="0" name="Апрель-style 29">
      <tableStyleElement dxfId="1" type="firstRowStripe"/>
      <tableStyleElement dxfId="2" type="secondRowStripe"/>
    </tableStyle>
    <tableStyle count="2" pivot="0" name="Апрель-style 30">
      <tableStyleElement dxfId="1" type="firstRowStripe"/>
      <tableStyleElement dxfId="2" type="secondRowStripe"/>
    </tableStyle>
    <tableStyle count="2" pivot="0" name="Апрель-style 31">
      <tableStyleElement dxfId="1" type="firstRowStripe"/>
      <tableStyleElement dxfId="2" type="secondRowStripe"/>
    </tableStyle>
    <tableStyle count="2" pivot="0" name="Апрель-style 32">
      <tableStyleElement dxfId="1" type="firstRowStripe"/>
      <tableStyleElement dxfId="2" type="secondRowStripe"/>
    </tableStyle>
    <tableStyle count="2" pivot="0" name="Апрель-style 33">
      <tableStyleElement dxfId="1" type="firstRowStripe"/>
      <tableStyleElement dxfId="2" type="secondRowStripe"/>
    </tableStyle>
    <tableStyle count="2" pivot="0" name="Апрель-style 34">
      <tableStyleElement dxfId="1" type="firstRowStripe"/>
      <tableStyleElement dxfId="2" type="secondRowStripe"/>
    </tableStyle>
    <tableStyle count="2" pivot="0" name="Апрель-style 35">
      <tableStyleElement dxfId="1" type="firstRowStripe"/>
      <tableStyleElement dxfId="2" type="secondRowStripe"/>
    </tableStyle>
    <tableStyle count="2" pivot="0" name="Апрель-style 36">
      <tableStyleElement dxfId="1" type="firstRowStripe"/>
      <tableStyleElement dxfId="2" type="secondRowStripe"/>
    </tableStyle>
    <tableStyle count="2" pivot="0" name="Апрель-style 37">
      <tableStyleElement dxfId="1" type="firstRowStripe"/>
      <tableStyleElement dxfId="2" type="secondRowStripe"/>
    </tableStyle>
    <tableStyle count="2" pivot="0" name="Апрель-style 38">
      <tableStyleElement dxfId="1" type="firstRowStripe"/>
      <tableStyleElement dxfId="2" type="secondRowStripe"/>
    </tableStyle>
    <tableStyle count="2" pivot="0" name="Апрель-style 39">
      <tableStyleElement dxfId="2" type="firstRowStripe"/>
      <tableStyleElement dxfId="1" type="secondRowStripe"/>
    </tableStyle>
    <tableStyle count="2" pivot="0" name="Апрель-style 40">
      <tableStyleElement dxfId="1" type="firstRowStripe"/>
      <tableStyleElement dxfId="2" type="secondRowStripe"/>
    </tableStyle>
    <tableStyle count="2" pivot="0" name="Апрель-style 41">
      <tableStyleElement dxfId="1" type="firstRowStripe"/>
      <tableStyleElement dxfId="2" type="secondRowStripe"/>
    </tableStyle>
    <tableStyle count="2" pivot="0" name="Апрель-style 42">
      <tableStyleElement dxfId="1" type="firstRowStripe"/>
      <tableStyleElement dxfId="2" type="secondRowStripe"/>
    </tableStyle>
    <tableStyle count="2" pivot="0" name="Апрель-style 43">
      <tableStyleElement dxfId="1" type="firstRowStripe"/>
      <tableStyleElement dxfId="2" type="secondRowStripe"/>
    </tableStyle>
    <tableStyle count="2" pivot="0" name="Апрель-style 44">
      <tableStyleElement dxfId="1" type="firstRowStripe"/>
      <tableStyleElement dxfId="2" type="secondRowStripe"/>
    </tableStyle>
    <tableStyle count="2" pivot="0" name="Апрель-style 45">
      <tableStyleElement dxfId="1" type="firstRowStripe"/>
      <tableStyleElement dxfId="2" type="secondRowStripe"/>
    </tableStyle>
    <tableStyle count="2" pivot="0" name="Апрель-style 46">
      <tableStyleElement dxfId="1" type="firstRowStripe"/>
      <tableStyleElement dxfId="2" type="secondRowStripe"/>
    </tableStyle>
    <tableStyle count="2" pivot="0" name="Апрель-style 47">
      <tableStyleElement dxfId="1" type="firstRowStripe"/>
      <tableStyleElement dxfId="2" type="secondRowStripe"/>
    </tableStyle>
    <tableStyle count="2" pivot="0" name="Апрель-style 48">
      <tableStyleElement dxfId="1" type="firstRowStripe"/>
      <tableStyleElement dxfId="2" type="secondRowStripe"/>
    </tableStyle>
    <tableStyle count="2" pivot="0" name="Апрель-style 49">
      <tableStyleElement dxfId="1" type="firstRowStripe"/>
      <tableStyleElement dxfId="2" type="secondRowStripe"/>
    </tableStyle>
    <tableStyle count="2" pivot="0" name="Апрель-style 50">
      <tableStyleElement dxfId="1" type="firstRowStripe"/>
      <tableStyleElement dxfId="2" type="secondRowStripe"/>
    </tableStyle>
    <tableStyle count="2" pivot="0" name="Апрель-style 51">
      <tableStyleElement dxfId="1" type="firstRowStripe"/>
      <tableStyleElement dxfId="2" type="secondRowStripe"/>
    </tableStyle>
    <tableStyle count="2" pivot="0" name="Апрель-style 52">
      <tableStyleElement dxfId="1" type="firstRowStripe"/>
      <tableStyleElement dxfId="2" type="secondRowStripe"/>
    </tableStyle>
    <tableStyle count="2" pivot="0" name="Апрель-style 53">
      <tableStyleElement dxfId="1" type="firstRowStripe"/>
      <tableStyleElement dxfId="2" type="secondRowStripe"/>
    </tableStyle>
    <tableStyle count="2" pivot="0" name="Апрель-style 54">
      <tableStyleElement dxfId="1" type="firstRowStripe"/>
      <tableStyleElement dxfId="2" type="secondRowStripe"/>
    </tableStyle>
    <tableStyle count="2" pivot="0" name="Апрель-style 55">
      <tableStyleElement dxfId="1" type="firstRowStripe"/>
      <tableStyleElement dxfId="2" type="secondRowStripe"/>
    </tableStyle>
    <tableStyle count="2" pivot="0" name="Апрель-style 56">
      <tableStyleElement dxfId="1" type="firstRowStripe"/>
      <tableStyleElement dxfId="2" type="secondRowStripe"/>
    </tableStyle>
    <tableStyle count="2" pivot="0" name="Апрель-style 57">
      <tableStyleElement dxfId="1" type="firstRowStripe"/>
      <tableStyleElement dxfId="2" type="secondRowStripe"/>
    </tableStyle>
    <tableStyle count="2" pivot="0" name="Апрель-style 58">
      <tableStyleElement dxfId="1" type="firstRowStripe"/>
      <tableStyleElement dxfId="2" type="secondRowStripe"/>
    </tableStyle>
    <tableStyle count="2" pivot="0" name="Апрель-style 59">
      <tableStyleElement dxfId="1" type="firstRowStripe"/>
      <tableStyleElement dxfId="2" type="secondRowStripe"/>
    </tableStyle>
    <tableStyle count="2" pivot="0" name="Апрель-style 60">
      <tableStyleElement dxfId="1" type="firstRowStripe"/>
      <tableStyleElement dxfId="2" type="secondRowStripe"/>
    </tableStyle>
    <tableStyle count="2" pivot="0" name="Апрель-style 61">
      <tableStyleElement dxfId="1" type="firstRowStripe"/>
      <tableStyleElement dxfId="2" type="secondRowStripe"/>
    </tableStyle>
    <tableStyle count="2" pivot="0" name="Апрель-style 62">
      <tableStyleElement dxfId="1" type="firstRowStripe"/>
      <tableStyleElement dxfId="2" type="secondRowStripe"/>
    </tableStyle>
    <tableStyle count="2" pivot="0" name="Апрель-style 63">
      <tableStyleElement dxfId="1" type="firstRowStripe"/>
      <tableStyleElement dxfId="2" type="secondRowStripe"/>
    </tableStyle>
    <tableStyle count="2" pivot="0" name="Апрель-style 64">
      <tableStyleElement dxfId="1" type="firstRowStripe"/>
      <tableStyleElement dxfId="2" type="secondRowStripe"/>
    </tableStyle>
    <tableStyle count="2" pivot="0" name="Апрель-style 65">
      <tableStyleElement dxfId="1" type="firstRowStripe"/>
      <tableStyleElement dxfId="2" type="secondRowStripe"/>
    </tableStyle>
    <tableStyle count="2" pivot="0" name="Апрель-style 66">
      <tableStyleElement dxfId="1" type="firstRowStripe"/>
      <tableStyleElement dxfId="2" type="secondRowStripe"/>
    </tableStyle>
    <tableStyle count="2" pivot="0" name="Май-style">
      <tableStyleElement dxfId="1" type="firstRowStripe"/>
      <tableStyleElement dxfId="2" type="secondRowStripe"/>
    </tableStyle>
    <tableStyle count="2" pivot="0" name="Май-style 2">
      <tableStyleElement dxfId="1" type="firstRowStripe"/>
      <tableStyleElement dxfId="2" type="secondRowStripe"/>
    </tableStyle>
    <tableStyle count="2" pivot="0" name="Май-style 3">
      <tableStyleElement dxfId="2" type="firstRowStripe"/>
      <tableStyleElement dxfId="1" type="secondRowStripe"/>
    </tableStyle>
    <tableStyle count="2" pivot="0" name="Май-style 4">
      <tableStyleElement dxfId="2" type="firstRowStripe"/>
      <tableStyleElement dxfId="1" type="secondRowStripe"/>
    </tableStyle>
    <tableStyle count="2" pivot="0" name="Май-style 5">
      <tableStyleElement dxfId="1" type="firstRowStripe"/>
      <tableStyleElement dxfId="2" type="secondRowStripe"/>
    </tableStyle>
    <tableStyle count="2" pivot="0" name="Май-style 6">
      <tableStyleElement dxfId="1" type="firstRowStripe"/>
      <tableStyleElement dxfId="2" type="secondRowStripe"/>
    </tableStyle>
    <tableStyle count="2" pivot="0" name="Май-style 7">
      <tableStyleElement dxfId="2" type="firstRowStripe"/>
      <tableStyleElement dxfId="1" type="secondRowStripe"/>
    </tableStyle>
    <tableStyle count="2" pivot="0" name="Май-style 8">
      <tableStyleElement dxfId="2" type="firstRowStripe"/>
      <tableStyleElement dxfId="1" type="secondRowStripe"/>
    </tableStyle>
    <tableStyle count="2" pivot="0" name="Май-style 9">
      <tableStyleElement dxfId="2" type="firstRowStripe"/>
      <tableStyleElement dxfId="1" type="secondRowStripe"/>
    </tableStyle>
    <tableStyle count="2" pivot="0" name="Май-style 10">
      <tableStyleElement dxfId="1" type="firstRowStripe"/>
      <tableStyleElement dxfId="2" type="secondRowStripe"/>
    </tableStyle>
    <tableStyle count="2" pivot="0" name="Май-style 11">
      <tableStyleElement dxfId="1" type="firstRowStripe"/>
      <tableStyleElement dxfId="2" type="secondRowStripe"/>
    </tableStyle>
    <tableStyle count="2" pivot="0" name="Май-style 12">
      <tableStyleElement dxfId="1" type="firstRowStripe"/>
      <tableStyleElement dxfId="2" type="secondRowStripe"/>
    </tableStyle>
    <tableStyle count="2" pivot="0" name="Май-style 13">
      <tableStyleElement dxfId="1" type="firstRowStripe"/>
      <tableStyleElement dxfId="2" type="secondRowStripe"/>
    </tableStyle>
    <tableStyle count="2" pivot="0" name="Май-style 14">
      <tableStyleElement dxfId="1" type="firstRowStripe"/>
      <tableStyleElement dxfId="2" type="secondRowStripe"/>
    </tableStyle>
    <tableStyle count="2" pivot="0" name="Май-style 15">
      <tableStyleElement dxfId="1" type="firstRowStripe"/>
      <tableStyleElement dxfId="2" type="secondRowStripe"/>
    </tableStyle>
    <tableStyle count="2" pivot="0" name="Май-style 16">
      <tableStyleElement dxfId="1" type="firstRowStripe"/>
      <tableStyleElement dxfId="2" type="secondRowStripe"/>
    </tableStyle>
    <tableStyle count="2" pivot="0" name="Май-style 17">
      <tableStyleElement dxfId="1" type="firstRowStripe"/>
      <tableStyleElement dxfId="2" type="secondRowStripe"/>
    </tableStyle>
    <tableStyle count="2" pivot="0" name="Май-style 18">
      <tableStyleElement dxfId="1" type="firstRowStripe"/>
      <tableStyleElement dxfId="2" type="secondRowStripe"/>
    </tableStyle>
    <tableStyle count="2" pivot="0" name="Май-style 19">
      <tableStyleElement dxfId="1" type="firstRowStripe"/>
      <tableStyleElement dxfId="2" type="secondRowStripe"/>
    </tableStyle>
    <tableStyle count="2" pivot="0" name="Май-style 20">
      <tableStyleElement dxfId="1" type="firstRowStripe"/>
      <tableStyleElement dxfId="2" type="secondRowStripe"/>
    </tableStyle>
    <tableStyle count="2" pivot="0" name="Май-style 21">
      <tableStyleElement dxfId="2" type="firstRowStripe"/>
      <tableStyleElement dxfId="1" type="secondRowStripe"/>
    </tableStyle>
    <tableStyle count="2" pivot="0" name="Май-style 22">
      <tableStyleElement dxfId="2" type="firstRowStripe"/>
      <tableStyleElement dxfId="1" type="secondRowStripe"/>
    </tableStyle>
    <tableStyle count="2" pivot="0" name="Май-style 23">
      <tableStyleElement dxfId="1" type="firstRowStripe"/>
      <tableStyleElement dxfId="2" type="secondRowStripe"/>
    </tableStyle>
    <tableStyle count="2" pivot="0" name="Май-style 24">
      <tableStyleElement dxfId="1" type="firstRowStripe"/>
      <tableStyleElement dxfId="2" type="secondRowStripe"/>
    </tableStyle>
    <tableStyle count="2" pivot="0" name="Май-style 25">
      <tableStyleElement dxfId="1" type="firstRowStripe"/>
      <tableStyleElement dxfId="2" type="secondRowStripe"/>
    </tableStyle>
    <tableStyle count="2" pivot="0" name="Май-style 26">
      <tableStyleElement dxfId="1" type="firstRowStripe"/>
      <tableStyleElement dxfId="2" type="secondRowStripe"/>
    </tableStyle>
    <tableStyle count="2" pivot="0" name="Май-style 27">
      <tableStyleElement dxfId="1" type="firstRowStripe"/>
      <tableStyleElement dxfId="2" type="secondRowStripe"/>
    </tableStyle>
    <tableStyle count="2" pivot="0" name="Май-style 28">
      <tableStyleElement dxfId="1" type="firstRowStripe"/>
      <tableStyleElement dxfId="2" type="secondRowStripe"/>
    </tableStyle>
    <tableStyle count="2" pivot="0" name="Май-style 29">
      <tableStyleElement dxfId="1" type="firstRowStripe"/>
      <tableStyleElement dxfId="2" type="secondRowStripe"/>
    </tableStyle>
    <tableStyle count="2" pivot="0" name="Май-style 30">
      <tableStyleElement dxfId="1" type="firstRowStripe"/>
      <tableStyleElement dxfId="2" type="secondRowStripe"/>
    </tableStyle>
    <tableStyle count="2" pivot="0" name="Май-style 31">
      <tableStyleElement dxfId="1" type="firstRowStripe"/>
      <tableStyleElement dxfId="2" type="secondRowStripe"/>
    </tableStyle>
    <tableStyle count="2" pivot="0" name="Май-style 32">
      <tableStyleElement dxfId="1" type="firstRowStripe"/>
      <tableStyleElement dxfId="2" type="secondRowStripe"/>
    </tableStyle>
    <tableStyle count="2" pivot="0" name="Май-style 33">
      <tableStyleElement dxfId="1" type="firstRowStripe"/>
      <tableStyleElement dxfId="2" type="secondRowStripe"/>
    </tableStyle>
    <tableStyle count="2" pivot="0" name="Май-style 34">
      <tableStyleElement dxfId="1" type="firstRowStripe"/>
      <tableStyleElement dxfId="2" type="secondRowStripe"/>
    </tableStyle>
    <tableStyle count="2" pivot="0" name="Май-style 35">
      <tableStyleElement dxfId="1" type="firstRowStripe"/>
      <tableStyleElement dxfId="2" type="secondRowStripe"/>
    </tableStyle>
    <tableStyle count="2" pivot="0" name="Май-style 36">
      <tableStyleElement dxfId="1" type="firstRowStripe"/>
      <tableStyleElement dxfId="2" type="secondRowStripe"/>
    </tableStyle>
    <tableStyle count="2" pivot="0" name="Май-style 37">
      <tableStyleElement dxfId="1" type="firstRowStripe"/>
      <tableStyleElement dxfId="2" type="secondRowStripe"/>
    </tableStyle>
    <tableStyle count="2" pivot="0" name="Май-style 38">
      <tableStyleElement dxfId="1" type="firstRowStripe"/>
      <tableStyleElement dxfId="2" type="secondRowStripe"/>
    </tableStyle>
    <tableStyle count="2" pivot="0" name="Май-style 39">
      <tableStyleElement dxfId="2" type="firstRowStripe"/>
      <tableStyleElement dxfId="1" type="secondRowStripe"/>
    </tableStyle>
    <tableStyle count="2" pivot="0" name="Май-style 40">
      <tableStyleElement dxfId="1" type="firstRowStripe"/>
      <tableStyleElement dxfId="2" type="secondRowStripe"/>
    </tableStyle>
    <tableStyle count="2" pivot="0" name="Май-style 41">
      <tableStyleElement dxfId="1" type="firstRowStripe"/>
      <tableStyleElement dxfId="2" type="secondRowStripe"/>
    </tableStyle>
    <tableStyle count="2" pivot="0" name="Май-style 42">
      <tableStyleElement dxfId="1" type="firstRowStripe"/>
      <tableStyleElement dxfId="2" type="secondRowStripe"/>
    </tableStyle>
    <tableStyle count="2" pivot="0" name="Май-style 43">
      <tableStyleElement dxfId="1" type="firstRowStripe"/>
      <tableStyleElement dxfId="2" type="secondRowStripe"/>
    </tableStyle>
    <tableStyle count="2" pivot="0" name="Май-style 44">
      <tableStyleElement dxfId="1" type="firstRowStripe"/>
      <tableStyleElement dxfId="2" type="secondRowStripe"/>
    </tableStyle>
    <tableStyle count="2" pivot="0" name="Май-style 45">
      <tableStyleElement dxfId="1" type="firstRowStripe"/>
      <tableStyleElement dxfId="2" type="secondRowStripe"/>
    </tableStyle>
    <tableStyle count="2" pivot="0" name="Май-style 46">
      <tableStyleElement dxfId="1" type="firstRowStripe"/>
      <tableStyleElement dxfId="2" type="secondRowStripe"/>
    </tableStyle>
    <tableStyle count="2" pivot="0" name="Май-style 47">
      <tableStyleElement dxfId="1" type="firstRowStripe"/>
      <tableStyleElement dxfId="2" type="secondRowStripe"/>
    </tableStyle>
    <tableStyle count="2" pivot="0" name="Май-style 48">
      <tableStyleElement dxfId="1" type="firstRowStripe"/>
      <tableStyleElement dxfId="2" type="secondRowStripe"/>
    </tableStyle>
    <tableStyle count="2" pivot="0" name="Май-style 49">
      <tableStyleElement dxfId="1" type="firstRowStripe"/>
      <tableStyleElement dxfId="2" type="secondRowStripe"/>
    </tableStyle>
    <tableStyle count="2" pivot="0" name="Май-style 50">
      <tableStyleElement dxfId="1" type="firstRowStripe"/>
      <tableStyleElement dxfId="2" type="secondRowStripe"/>
    </tableStyle>
    <tableStyle count="2" pivot="0" name="Май-style 51">
      <tableStyleElement dxfId="1" type="firstRowStripe"/>
      <tableStyleElement dxfId="2" type="secondRowStripe"/>
    </tableStyle>
    <tableStyle count="2" pivot="0" name="Май-style 52">
      <tableStyleElement dxfId="1" type="firstRowStripe"/>
      <tableStyleElement dxfId="2" type="secondRowStripe"/>
    </tableStyle>
    <tableStyle count="2" pivot="0" name="Май-style 53">
      <tableStyleElement dxfId="1" type="firstRowStripe"/>
      <tableStyleElement dxfId="2" type="secondRowStripe"/>
    </tableStyle>
    <tableStyle count="2" pivot="0" name="Май-style 54">
      <tableStyleElement dxfId="1" type="firstRowStripe"/>
      <tableStyleElement dxfId="2" type="secondRowStripe"/>
    </tableStyle>
    <tableStyle count="2" pivot="0" name="Май-style 55">
      <tableStyleElement dxfId="1" type="firstRowStripe"/>
      <tableStyleElement dxfId="2" type="secondRowStripe"/>
    </tableStyle>
    <tableStyle count="2" pivot="0" name="Май-style 56">
      <tableStyleElement dxfId="1" type="firstRowStripe"/>
      <tableStyleElement dxfId="2" type="secondRowStripe"/>
    </tableStyle>
    <tableStyle count="2" pivot="0" name="Май-style 57">
      <tableStyleElement dxfId="1" type="firstRowStripe"/>
      <tableStyleElement dxfId="2" type="secondRowStripe"/>
    </tableStyle>
    <tableStyle count="2" pivot="0" name="Май-style 58">
      <tableStyleElement dxfId="1" type="firstRowStripe"/>
      <tableStyleElement dxfId="2" type="secondRowStripe"/>
    </tableStyle>
    <tableStyle count="2" pivot="0" name="Май-style 59">
      <tableStyleElement dxfId="1" type="firstRowStripe"/>
      <tableStyleElement dxfId="2" type="secondRowStripe"/>
    </tableStyle>
    <tableStyle count="2" pivot="0" name="Май-style 60">
      <tableStyleElement dxfId="1" type="firstRowStripe"/>
      <tableStyleElement dxfId="2" type="secondRowStripe"/>
    </tableStyle>
    <tableStyle count="2" pivot="0" name="Май-style 61">
      <tableStyleElement dxfId="1" type="firstRowStripe"/>
      <tableStyleElement dxfId="2" type="secondRowStripe"/>
    </tableStyle>
    <tableStyle count="2" pivot="0" name="Май-style 62">
      <tableStyleElement dxfId="1" type="firstRowStripe"/>
      <tableStyleElement dxfId="2" type="secondRowStripe"/>
    </tableStyle>
    <tableStyle count="2" pivot="0" name="Май-style 63">
      <tableStyleElement dxfId="1" type="firstRowStripe"/>
      <tableStyleElement dxfId="2" type="secondRowStripe"/>
    </tableStyle>
    <tableStyle count="2" pivot="0" name="Май-style 64">
      <tableStyleElement dxfId="1" type="firstRowStripe"/>
      <tableStyleElement dxfId="2" type="secondRowStripe"/>
    </tableStyle>
    <tableStyle count="2" pivot="0" name="Май-style 65">
      <tableStyleElement dxfId="1" type="firstRowStripe"/>
      <tableStyleElement dxfId="2" type="secondRowStripe"/>
    </tableStyle>
    <tableStyle count="2" pivot="0" name="Май-style 66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M145:N145" displayName="Table_1" name="Table_1" id="1">
  <tableColumns count="2">
    <tableColumn name="Column1" id="1"/>
    <tableColumn name="Column2" id="2"/>
  </tableColumns>
  <tableStyleInfo name="Апрель-style" showColumnStripes="0" showFirstColumn="1" showLastColumn="1" showRowStripes="1"/>
</table>
</file>

<file path=xl/tables/table2.xml><?xml version="1.0" encoding="utf-8"?>
<table xmlns="http://schemas.openxmlformats.org/spreadsheetml/2006/main" headerRowCount="0" ref="Q145:X145" displayName="Table_2" name="Table_2" id="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Апрель-style 2" showColumnStripes="0" showFirstColumn="1" showLastColumn="1" showRowStripes="1"/>
</table>
</file>

<file path=xl/tables/table3.xml><?xml version="1.0" encoding="utf-8"?>
<table xmlns="http://schemas.openxmlformats.org/spreadsheetml/2006/main" headerRowCount="0" ref="AA145:AP145" displayName="Table_3" name="Table_3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Апрель-style 3" showColumnStripes="0" showFirstColumn="1" showLastColumn="1" showRowStripes="1"/>
</table>
</file>

<file path=xl/tables/table4.xml><?xml version="1.0" encoding="utf-8"?>
<table xmlns="http://schemas.openxmlformats.org/spreadsheetml/2006/main" headerRowCount="0" ref="AS145:BH145" displayName="Table_4" name="Table_4" id="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Апрель-style 4" showColumnStripes="0" showFirstColumn="1" showLastColumn="1" showRowStripes="1"/>
</table>
</file>

<file path=xl/tables/table5.xml><?xml version="1.0" encoding="utf-8"?>
<table xmlns="http://schemas.openxmlformats.org/spreadsheetml/2006/main" headerRowCount="0" ref="BL145:CR145" displayName="Table_5" name="Table_5" id="5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Апрель-style 5" showColumnStripes="0" showFirstColumn="1" showLastColumn="1" showRowStripes="1"/>
</table>
</file>

<file path=xl/tables/table6.xml><?xml version="1.0" encoding="utf-8"?>
<table xmlns="http://schemas.openxmlformats.org/spreadsheetml/2006/main" headerRowCount="0" ref="CS145:CZ145" displayName="Table_6" name="Table_6" id="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Апрель-style 6" showColumnStripes="0" showFirstColumn="1" showLastColumn="1" showRowStripes="1"/>
</table>
</file>

<file path=xl/tables/table7.xml><?xml version="1.0" encoding="utf-8"?>
<table xmlns="http://schemas.openxmlformats.org/spreadsheetml/2006/main" headerRowCount="0" ref="DM145:DN145" displayName="Table_7" name="Table_7" id="7">
  <tableColumns count="2">
    <tableColumn name="Column1" id="1"/>
    <tableColumn name="Column2" id="2"/>
  </tableColumns>
  <tableStyleInfo name="Апрель-style 7" showColumnStripes="0" showFirstColumn="1" showLastColumn="1" showRowStripes="1"/>
</table>
</file>

<file path=xl/tables/table8.xml><?xml version="1.0" encoding="utf-8"?>
<table xmlns="http://schemas.openxmlformats.org/spreadsheetml/2006/main" headerRowCount="0" ref="H146:N149" displayName="Table_8" name="Table_8" id="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Апрель-style 8" showColumnStripes="0" showFirstColumn="1" showLastColumn="1" showRowStripes="1"/>
</table>
</file>

<file path=xl/tables/table9.xml><?xml version="1.0" encoding="utf-8"?>
<table xmlns="http://schemas.openxmlformats.org/spreadsheetml/2006/main" headerRowCount="0" ref="AA146:AP149" displayName="Table_9" name="Table_9" id="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Апрель-style 9" showColumnStripes="0" showFirstColumn="1" showLastColumn="1" showRowStripes="1"/>
</table>
</file>

<file path=xl/tables/table10.xml><?xml version="1.0" encoding="utf-8"?>
<table xmlns="http://schemas.openxmlformats.org/spreadsheetml/2006/main" headerRowCount="0" ref="Q147:S153" displayName="Table_10" name="Table_10" id="10">
  <tableColumns count="3">
    <tableColumn name="Column1" id="1"/>
    <tableColumn name="Column2" id="2"/>
    <tableColumn name="Column3" id="3"/>
  </tableColumns>
  <tableStyleInfo name="Апрель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U147:V148" displayName="Table_11" name="Table_11" id="11">
  <tableColumns count="2">
    <tableColumn name="Column1" id="1"/>
    <tableColumn name="Column2" id="2"/>
  </tableColumns>
  <tableStyleInfo name="Апрель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W147:X148" displayName="Table_12" name="Table_12" id="12">
  <tableColumns count="2">
    <tableColumn name="Column1" id="1"/>
    <tableColumn name="Column2" id="2"/>
  </tableColumns>
  <tableStyleInfo name="Апрель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BY147:BZ153" displayName="Table_13" name="Table_13" id="13">
  <tableColumns count="2">
    <tableColumn name="Column1" id="1"/>
    <tableColumn name="Column2" id="2"/>
  </tableColumns>
  <tableStyleInfo name="Апрель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Y148:Z148" displayName="Table_14" name="Table_14" id="14">
  <tableColumns count="2">
    <tableColumn name="Column1" id="1"/>
    <tableColumn name="Column2" id="2"/>
  </tableColumns>
  <tableStyleInfo name="Апрель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AQ148:AR148" displayName="Table_15" name="Table_15" id="15">
  <tableColumns count="2">
    <tableColumn name="Column1" id="1"/>
    <tableColumn name="Column2" id="2"/>
  </tableColumns>
  <tableStyleInfo name="Апрель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BI148:BJ148" displayName="Table_16" name="Table_16" id="16">
  <tableColumns count="2">
    <tableColumn name="Column1" id="1"/>
    <tableColumn name="Column2" id="2"/>
  </tableColumns>
  <tableStyleInfo name="Апрель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CA148:CB148" displayName="Table_17" name="Table_17" id="17">
  <tableColumns count="2">
    <tableColumn name="Column1" id="1"/>
    <tableColumn name="Column2" id="2"/>
  </tableColumns>
  <tableStyleInfo name="Апрель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CS148:CT148" displayName="Table_18" name="Table_18" id="18">
  <tableColumns count="2">
    <tableColumn name="Column1" id="1"/>
    <tableColumn name="Column2" id="2"/>
  </tableColumns>
  <tableStyleInfo name="Апрель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CW148:CY149" displayName="Table_19" name="Table_19" id="19">
  <tableColumns count="3">
    <tableColumn name="Column1" id="1"/>
    <tableColumn name="Column2" id="2"/>
    <tableColumn name="Column3" id="3"/>
  </tableColumns>
  <tableStyleInfo name="Апрель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DK148:DL148" displayName="Table_20" name="Table_20" id="20">
  <tableColumns count="2">
    <tableColumn name="Column1" id="1"/>
    <tableColumn name="Column2" id="2"/>
  </tableColumns>
  <tableStyleInfo name="Апрель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U149:V151" displayName="Table_21" name="Table_21" id="21">
  <tableColumns count="2">
    <tableColumn name="Column1" id="1"/>
    <tableColumn name="Column2" id="2"/>
  </tableColumns>
  <tableStyleInfo name="Апрель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W149:X151" displayName="Table_22" name="Table_22" id="22">
  <tableColumns count="2">
    <tableColumn name="Column1" id="1"/>
    <tableColumn name="Column2" id="2"/>
  </tableColumns>
  <tableStyleInfo name="Апрель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AO151:AP153" displayName="Table_23" name="Table_23" id="23">
  <tableColumns count="2">
    <tableColumn name="Column1" id="1"/>
    <tableColumn name="Column2" id="2"/>
  </tableColumns>
  <tableStyleInfo name="Апрель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U152:U153" displayName="Table_24" name="Table_24" id="24">
  <tableColumns count="1">
    <tableColumn name="Column1" id="1"/>
  </tableColumns>
  <tableStyleInfo name="Апрель-style 24" showColumnStripes="0" showFirstColumn="1" showLastColumn="1" showRowStripes="1"/>
</table>
</file>

<file path=xl/tables/table25.xml><?xml version="1.0" encoding="utf-8"?>
<table xmlns="http://schemas.openxmlformats.org/spreadsheetml/2006/main" headerRowCount="0" ref="W152:W153" displayName="Table_25" name="Table_25" id="25">
  <tableColumns count="1">
    <tableColumn name="Column1" id="1"/>
  </tableColumns>
  <tableStyleInfo name="Апрель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Y152" displayName="Table_26" name="Table_26" id="26">
  <tableColumns count="1">
    <tableColumn name="Column1" id="1"/>
  </tableColumns>
  <tableStyleInfo name="Апрель-style 26" showColumnStripes="0" showFirstColumn="1" showLastColumn="1" showRowStripes="1"/>
</table>
</file>

<file path=xl/tables/table27.xml><?xml version="1.0" encoding="utf-8"?>
<table xmlns="http://schemas.openxmlformats.org/spreadsheetml/2006/main" headerRowCount="0" ref="AC152:AD153" displayName="Table_27" name="Table_27" id="27">
  <tableColumns count="2">
    <tableColumn name="Column1" id="1"/>
    <tableColumn name="Column2" id="2"/>
  </tableColumns>
  <tableStyleInfo name="Апрель-style 27" showColumnStripes="0" showFirstColumn="1" showLastColumn="1" showRowStripes="1"/>
</table>
</file>

<file path=xl/tables/table28.xml><?xml version="1.0" encoding="utf-8"?>
<table xmlns="http://schemas.openxmlformats.org/spreadsheetml/2006/main" headerRowCount="0" ref="AE152:AF153" displayName="Table_28" name="Table_28" id="28">
  <tableColumns count="2">
    <tableColumn name="Column1" id="1"/>
    <tableColumn name="Column2" id="2"/>
  </tableColumns>
  <tableStyleInfo name="Апрель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AG152:AH153" displayName="Table_29" name="Table_29" id="29">
  <tableColumns count="2">
    <tableColumn name="Column1" id="1"/>
    <tableColumn name="Column2" id="2"/>
  </tableColumns>
  <tableStyleInfo name="Апрель-style 29" showColumnStripes="0" showFirstColumn="1" showLastColumn="1" showRowStripes="1"/>
</table>
</file>

<file path=xl/tables/table30.xml><?xml version="1.0" encoding="utf-8"?>
<table xmlns="http://schemas.openxmlformats.org/spreadsheetml/2006/main" headerRowCount="0" ref="AI152:AJ153" displayName="Table_30" name="Table_30" id="30">
  <tableColumns count="2">
    <tableColumn name="Column1" id="1"/>
    <tableColumn name="Column2" id="2"/>
  </tableColumns>
  <tableStyleInfo name="Апрель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AK152:AL153" displayName="Table_31" name="Table_31" id="31">
  <tableColumns count="2">
    <tableColumn name="Column1" id="1"/>
    <tableColumn name="Column2" id="2"/>
  </tableColumns>
  <tableStyleInfo name="Апрель-style 31" showColumnStripes="0" showFirstColumn="1" showLastColumn="1" showRowStripes="1"/>
</table>
</file>

<file path=xl/tables/table32.xml><?xml version="1.0" encoding="utf-8"?>
<table xmlns="http://schemas.openxmlformats.org/spreadsheetml/2006/main" headerRowCount="0" ref="AM152:AN153" displayName="Table_32" name="Table_32" id="32">
  <tableColumns count="2">
    <tableColumn name="Column1" id="1"/>
    <tableColumn name="Column2" id="2"/>
  </tableColumns>
  <tableStyleInfo name="Апрель-style 32" showColumnStripes="0" showFirstColumn="1" showLastColumn="1" showRowStripes="1"/>
</table>
</file>

<file path=xl/tables/table33.xml><?xml version="1.0" encoding="utf-8"?>
<table xmlns="http://schemas.openxmlformats.org/spreadsheetml/2006/main" headerRowCount="0" ref="CW152:CX154" displayName="Table_33" name="Table_33" id="33">
  <tableColumns count="2">
    <tableColumn name="Column1" id="1"/>
    <tableColumn name="Column2" id="2"/>
  </tableColumns>
  <tableStyleInfo name="Апрель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CY152:CZ154" displayName="Table_34" name="Table_34" id="34">
  <tableColumns count="2">
    <tableColumn name="Column1" id="1"/>
    <tableColumn name="Column2" id="2"/>
  </tableColumns>
  <tableStyleInfo name="Апрель-style 34" showColumnStripes="0" showFirstColumn="1" showLastColumn="1" showRowStripes="1"/>
</table>
</file>

<file path=xl/tables/table35.xml><?xml version="1.0" encoding="utf-8"?>
<table xmlns="http://schemas.openxmlformats.org/spreadsheetml/2006/main" headerRowCount="0" ref="DA152:DB154" displayName="Table_35" name="Table_35" id="35">
  <tableColumns count="2">
    <tableColumn name="Column1" id="1"/>
    <tableColumn name="Column2" id="2"/>
  </tableColumns>
  <tableStyleInfo name="Апрель-style 35" showColumnStripes="0" showFirstColumn="1" showLastColumn="1" showRowStripes="1"/>
</table>
</file>

<file path=xl/tables/table36.xml><?xml version="1.0" encoding="utf-8"?>
<table xmlns="http://schemas.openxmlformats.org/spreadsheetml/2006/main" headerRowCount="0" ref="DC152:DD154" displayName="Table_36" name="Table_36" id="36">
  <tableColumns count="2">
    <tableColumn name="Column1" id="1"/>
    <tableColumn name="Column2" id="2"/>
  </tableColumns>
  <tableStyleInfo name="Апрель-style 36" showColumnStripes="0" showFirstColumn="1" showLastColumn="1" showRowStripes="1"/>
</table>
</file>

<file path=xl/tables/table37.xml><?xml version="1.0" encoding="utf-8"?>
<table xmlns="http://schemas.openxmlformats.org/spreadsheetml/2006/main" headerRowCount="0" ref="DE152:DF154" displayName="Table_37" name="Table_37" id="37">
  <tableColumns count="2">
    <tableColumn name="Column1" id="1"/>
    <tableColumn name="Column2" id="2"/>
  </tableColumns>
  <tableStyleInfo name="Апрель-style 37" showColumnStripes="0" showFirstColumn="1" showLastColumn="1" showRowStripes="1"/>
</table>
</file>

<file path=xl/tables/table38.xml><?xml version="1.0" encoding="utf-8"?>
<table xmlns="http://schemas.openxmlformats.org/spreadsheetml/2006/main" headerRowCount="0" ref="DG152:DH154" displayName="Table_38" name="Table_38" id="38">
  <tableColumns count="2">
    <tableColumn name="Column1" id="1"/>
    <tableColumn name="Column2" id="2"/>
  </tableColumns>
  <tableStyleInfo name="Апрель-style 38" showColumnStripes="0" showFirstColumn="1" showLastColumn="1" showRowStripes="1"/>
</table>
</file>

<file path=xl/tables/table39.xml><?xml version="1.0" encoding="utf-8"?>
<table xmlns="http://schemas.openxmlformats.org/spreadsheetml/2006/main" headerRowCount="0" ref="DI152:DJ154" displayName="Table_39" name="Table_39" id="39">
  <tableColumns count="2">
    <tableColumn name="Column1" id="1"/>
    <tableColumn name="Column2" id="2"/>
  </tableColumns>
  <tableStyleInfo name="Апрель-style 39" showColumnStripes="0" showFirstColumn="1" showLastColumn="1" showRowStripes="1"/>
</table>
</file>

<file path=xl/tables/table40.xml><?xml version="1.0" encoding="utf-8"?>
<table xmlns="http://schemas.openxmlformats.org/spreadsheetml/2006/main" headerRowCount="0" ref="Y153:Z153" displayName="Table_40" name="Table_40" id="40">
  <tableColumns count="2">
    <tableColumn name="Column1" id="1"/>
    <tableColumn name="Column2" id="2"/>
  </tableColumns>
  <tableStyleInfo name="Апрель-style 40" showColumnStripes="0" showFirstColumn="1" showLastColumn="1" showRowStripes="1"/>
</table>
</file>

<file path=xl/tables/table41.xml><?xml version="1.0" encoding="utf-8"?>
<table xmlns="http://schemas.openxmlformats.org/spreadsheetml/2006/main" headerRowCount="0" ref="AQ153:AR153" displayName="Table_41" name="Table_41" id="41">
  <tableColumns count="2">
    <tableColumn name="Column1" id="1"/>
    <tableColumn name="Column2" id="2"/>
  </tableColumns>
  <tableStyleInfo name="Апрель-style 41" showColumnStripes="0" showFirstColumn="1" showLastColumn="1" showRowStripes="1"/>
</table>
</file>

<file path=xl/tables/table42.xml><?xml version="1.0" encoding="utf-8"?>
<table xmlns="http://schemas.openxmlformats.org/spreadsheetml/2006/main" headerRowCount="0" ref="BI153:BJ153" displayName="Table_42" name="Table_42" id="42">
  <tableColumns count="2">
    <tableColumn name="Column1" id="1"/>
    <tableColumn name="Column2" id="2"/>
  </tableColumns>
  <tableStyleInfo name="Апрель-style 42" showColumnStripes="0" showFirstColumn="1" showLastColumn="1" showRowStripes="1"/>
</table>
</file>

<file path=xl/tables/table43.xml><?xml version="1.0" encoding="utf-8"?>
<table xmlns="http://schemas.openxmlformats.org/spreadsheetml/2006/main" headerRowCount="0" ref="CA153:CB153" displayName="Table_43" name="Table_43" id="43">
  <tableColumns count="2">
    <tableColumn name="Column1" id="1"/>
    <tableColumn name="Column2" id="2"/>
  </tableColumns>
  <tableStyleInfo name="Апрель-style 43" showColumnStripes="0" showFirstColumn="1" showLastColumn="1" showRowStripes="1"/>
</table>
</file>

<file path=xl/tables/table44.xml><?xml version="1.0" encoding="utf-8"?>
<table xmlns="http://schemas.openxmlformats.org/spreadsheetml/2006/main" headerRowCount="0" ref="CS153:CT153" displayName="Table_44" name="Table_44" id="44">
  <tableColumns count="2">
    <tableColumn name="Column1" id="1"/>
    <tableColumn name="Column2" id="2"/>
  </tableColumns>
  <tableStyleInfo name="Апрель-style 44" showColumnStripes="0" showFirstColumn="1" showLastColumn="1" showRowStripes="1"/>
</table>
</file>

<file path=xl/tables/table45.xml><?xml version="1.0" encoding="utf-8"?>
<table xmlns="http://schemas.openxmlformats.org/spreadsheetml/2006/main" headerRowCount="0" ref="DK153:DL153" displayName="Table_45" name="Table_45" id="45">
  <tableColumns count="2">
    <tableColumn name="Column1" id="1"/>
    <tableColumn name="Column2" id="2"/>
  </tableColumns>
  <tableStyleInfo name="Апрель-style 45" showColumnStripes="0" showFirstColumn="1" showLastColumn="1" showRowStripes="1"/>
</table>
</file>

<file path=xl/tables/table46.xml><?xml version="1.0" encoding="utf-8"?>
<table xmlns="http://schemas.openxmlformats.org/spreadsheetml/2006/main" headerRowCount="0" ref="Q154:S154" displayName="Table_46" name="Table_46" id="46">
  <tableColumns count="3">
    <tableColumn name="Column1" id="1"/>
    <tableColumn name="Column2" id="2"/>
    <tableColumn name="Column3" id="3"/>
  </tableColumns>
  <tableStyleInfo name="Апрель-style 46" showColumnStripes="0" showFirstColumn="1" showLastColumn="1" showRowStripes="1"/>
</table>
</file>

<file path=xl/tables/table47.xml><?xml version="1.0" encoding="utf-8"?>
<table xmlns="http://schemas.openxmlformats.org/spreadsheetml/2006/main" headerRowCount="0" ref="U154" displayName="Table_47" name="Table_47" id="47">
  <tableColumns count="1">
    <tableColumn name="Column1" id="1"/>
  </tableColumns>
  <tableStyleInfo name="Апрель-style 47" showColumnStripes="0" showFirstColumn="1" showLastColumn="1" showRowStripes="1"/>
</table>
</file>

<file path=xl/tables/table48.xml><?xml version="1.0" encoding="utf-8"?>
<table xmlns="http://schemas.openxmlformats.org/spreadsheetml/2006/main" headerRowCount="0" ref="W154" displayName="Table_48" name="Table_48" id="48">
  <tableColumns count="1">
    <tableColumn name="Column1" id="1"/>
  </tableColumns>
  <tableStyleInfo name="Апрель-style 48" showColumnStripes="0" showFirstColumn="1" showLastColumn="1" showRowStripes="1"/>
</table>
</file>

<file path=xl/tables/table49.xml><?xml version="1.0" encoding="utf-8"?>
<table xmlns="http://schemas.openxmlformats.org/spreadsheetml/2006/main" headerRowCount="0" ref="Y154:Z154" displayName="Table_49" name="Table_49" id="49">
  <tableColumns count="2">
    <tableColumn name="Column1" id="1"/>
    <tableColumn name="Column2" id="2"/>
  </tableColumns>
  <tableStyleInfo name="Апрель-style 49" showColumnStripes="0" showFirstColumn="1" showLastColumn="1" showRowStripes="1"/>
</table>
</file>

<file path=xl/tables/table50.xml><?xml version="1.0" encoding="utf-8"?>
<table xmlns="http://schemas.openxmlformats.org/spreadsheetml/2006/main" headerRowCount="0" ref="AA154:AP154" displayName="Table_50" name="Table_50" id="50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Апрель-style 50" showColumnStripes="0" showFirstColumn="1" showLastColumn="1" showRowStripes="1"/>
</table>
</file>

<file path=xl/tables/table51.xml><?xml version="1.0" encoding="utf-8"?>
<table xmlns="http://schemas.openxmlformats.org/spreadsheetml/2006/main" headerRowCount="0" ref="AQ154:AR154" displayName="Table_51" name="Table_51" id="51">
  <tableColumns count="2">
    <tableColumn name="Column1" id="1"/>
    <tableColumn name="Column2" id="2"/>
  </tableColumns>
  <tableStyleInfo name="Апрель-style 51" showColumnStripes="0" showFirstColumn="1" showLastColumn="1" showRowStripes="1"/>
</table>
</file>

<file path=xl/tables/table52.xml><?xml version="1.0" encoding="utf-8"?>
<table xmlns="http://schemas.openxmlformats.org/spreadsheetml/2006/main" headerRowCount="0" ref="AS154:BH154" displayName="Table_52" name="Table_52" id="5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Апрель-style 52" showColumnStripes="0" showFirstColumn="1" showLastColumn="1" showRowStripes="1"/>
</table>
</file>

<file path=xl/tables/table53.xml><?xml version="1.0" encoding="utf-8"?>
<table xmlns="http://schemas.openxmlformats.org/spreadsheetml/2006/main" headerRowCount="0" ref="BI154:BJ154" displayName="Table_53" name="Table_53" id="53">
  <tableColumns count="2">
    <tableColumn name="Column1" id="1"/>
    <tableColumn name="Column2" id="2"/>
  </tableColumns>
  <tableStyleInfo name="Апрель-style 53" showColumnStripes="0" showFirstColumn="1" showLastColumn="1" showRowStripes="1"/>
</table>
</file>

<file path=xl/tables/table54.xml><?xml version="1.0" encoding="utf-8"?>
<table xmlns="http://schemas.openxmlformats.org/spreadsheetml/2006/main" headerRowCount="0" ref="BK154:BN154" displayName="Table_54" name="Table_54" id="54">
  <tableColumns count="4">
    <tableColumn name="Column1" id="1"/>
    <tableColumn name="Column2" id="2"/>
    <tableColumn name="Column3" id="3"/>
    <tableColumn name="Column4" id="4"/>
  </tableColumns>
  <tableStyleInfo name="Апрель-style 54" showColumnStripes="0" showFirstColumn="1" showLastColumn="1" showRowStripes="1"/>
</table>
</file>

<file path=xl/tables/table55.xml><?xml version="1.0" encoding="utf-8"?>
<table xmlns="http://schemas.openxmlformats.org/spreadsheetml/2006/main" headerRowCount="0" ref="BO154:BP154" displayName="Table_55" name="Table_55" id="55">
  <tableColumns count="2">
    <tableColumn name="Column1" id="1"/>
    <tableColumn name="Column2" id="2"/>
  </tableColumns>
  <tableStyleInfo name="Апрель-style 55" showColumnStripes="0" showFirstColumn="1" showLastColumn="1" showRowStripes="1"/>
</table>
</file>

<file path=xl/tables/table56.xml><?xml version="1.0" encoding="utf-8"?>
<table xmlns="http://schemas.openxmlformats.org/spreadsheetml/2006/main" headerRowCount="0" ref="BQ154:BR154" displayName="Table_56" name="Table_56" id="56">
  <tableColumns count="2">
    <tableColumn name="Column1" id="1"/>
    <tableColumn name="Column2" id="2"/>
  </tableColumns>
  <tableStyleInfo name="Апрель-style 56" showColumnStripes="0" showFirstColumn="1" showLastColumn="1" showRowStripes="1"/>
</table>
</file>

<file path=xl/tables/table57.xml><?xml version="1.0" encoding="utf-8"?>
<table xmlns="http://schemas.openxmlformats.org/spreadsheetml/2006/main" headerRowCount="0" ref="BS154:BT154" displayName="Table_57" name="Table_57" id="57">
  <tableColumns count="2">
    <tableColumn name="Column1" id="1"/>
    <tableColumn name="Column2" id="2"/>
  </tableColumns>
  <tableStyleInfo name="Апрель-style 57" showColumnStripes="0" showFirstColumn="1" showLastColumn="1" showRowStripes="1"/>
</table>
</file>

<file path=xl/tables/table58.xml><?xml version="1.0" encoding="utf-8"?>
<table xmlns="http://schemas.openxmlformats.org/spreadsheetml/2006/main" headerRowCount="0" ref="BU154:BV154" displayName="Table_58" name="Table_58" id="58">
  <tableColumns count="2">
    <tableColumn name="Column1" id="1"/>
    <tableColumn name="Column2" id="2"/>
  </tableColumns>
  <tableStyleInfo name="Апрель-style 58" showColumnStripes="0" showFirstColumn="1" showLastColumn="1" showRowStripes="1"/>
</table>
</file>

<file path=xl/tables/table59.xml><?xml version="1.0" encoding="utf-8"?>
<table xmlns="http://schemas.openxmlformats.org/spreadsheetml/2006/main" headerRowCount="0" ref="BW154:BX154" displayName="Table_59" name="Table_59" id="59">
  <tableColumns count="2">
    <tableColumn name="Column1" id="1"/>
    <tableColumn name="Column2" id="2"/>
  </tableColumns>
  <tableStyleInfo name="Апрель-style 59" showColumnStripes="0" showFirstColumn="1" showLastColumn="1" showRowStripes="1"/>
</table>
</file>

<file path=xl/tables/table60.xml><?xml version="1.0" encoding="utf-8"?>
<table xmlns="http://schemas.openxmlformats.org/spreadsheetml/2006/main" headerRowCount="0" ref="BY154:BZ154" displayName="Table_60" name="Table_60" id="60">
  <tableColumns count="2">
    <tableColumn name="Column1" id="1"/>
    <tableColumn name="Column2" id="2"/>
  </tableColumns>
  <tableStyleInfo name="Апрель-style 60" showColumnStripes="0" showFirstColumn="1" showLastColumn="1" showRowStripes="1"/>
</table>
</file>

<file path=xl/tables/table61.xml><?xml version="1.0" encoding="utf-8"?>
<table xmlns="http://schemas.openxmlformats.org/spreadsheetml/2006/main" headerRowCount="0" ref="CA154:CB154" displayName="Table_61" name="Table_61" id="61">
  <tableColumns count="2">
    <tableColumn name="Column1" id="1"/>
    <tableColumn name="Column2" id="2"/>
  </tableColumns>
  <tableStyleInfo name="Апрель-style 61" showColumnStripes="0" showFirstColumn="1" showLastColumn="1" showRowStripes="1"/>
</table>
</file>

<file path=xl/tables/table62.xml><?xml version="1.0" encoding="utf-8"?>
<table xmlns="http://schemas.openxmlformats.org/spreadsheetml/2006/main" headerRowCount="0" ref="CC154:CR154" displayName="Table_62" name="Table_62" id="62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Апрель-style 62" showColumnStripes="0" showFirstColumn="1" showLastColumn="1" showRowStripes="1"/>
</table>
</file>

<file path=xl/tables/table63.xml><?xml version="1.0" encoding="utf-8"?>
<table xmlns="http://schemas.openxmlformats.org/spreadsheetml/2006/main" headerRowCount="0" ref="CS154:CT154" displayName="Table_63" name="Table_63" id="63">
  <tableColumns count="2">
    <tableColumn name="Column1" id="1"/>
    <tableColumn name="Column2" id="2"/>
  </tableColumns>
  <tableStyleInfo name="Апрель-style 63" showColumnStripes="0" showFirstColumn="1" showLastColumn="1" showRowStripes="1"/>
</table>
</file>

<file path=xl/tables/table64.xml><?xml version="1.0" encoding="utf-8"?>
<table xmlns="http://schemas.openxmlformats.org/spreadsheetml/2006/main" headerRowCount="0" ref="CU154:CV154" displayName="Table_64" name="Table_64" id="64">
  <tableColumns count="2">
    <tableColumn name="Column1" id="1"/>
    <tableColumn name="Column2" id="2"/>
  </tableColumns>
  <tableStyleInfo name="Апрель-style 64" showColumnStripes="0" showFirstColumn="1" showLastColumn="1" showRowStripes="1"/>
</table>
</file>

<file path=xl/tables/table65.xml><?xml version="1.0" encoding="utf-8"?>
<table xmlns="http://schemas.openxmlformats.org/spreadsheetml/2006/main" headerRowCount="0" ref="DK154:DL154" displayName="Table_65" name="Table_65" id="65">
  <tableColumns count="2">
    <tableColumn name="Column1" id="1"/>
    <tableColumn name="Column2" id="2"/>
  </tableColumns>
  <tableStyleInfo name="Апрель-style 65" showColumnStripes="0" showFirstColumn="1" showLastColumn="1" showRowStripes="1"/>
</table>
</file>

<file path=xl/tables/table66.xml><?xml version="1.0" encoding="utf-8"?>
<table xmlns="http://schemas.openxmlformats.org/spreadsheetml/2006/main" headerRowCount="0" ref="DM154:DN154" displayName="Table_66" name="Table_66" id="66">
  <tableColumns count="2">
    <tableColumn name="Column1" id="1"/>
    <tableColumn name="Column2" id="2"/>
  </tableColumns>
  <tableStyleInfo name="Апрель-style 66" showColumnStripes="0" showFirstColumn="1" showLastColumn="1" showRowStripes="1"/>
</table>
</file>

<file path=xl/tables/table67.xml><?xml version="1.0" encoding="utf-8"?>
<table xmlns="http://schemas.openxmlformats.org/spreadsheetml/2006/main" headerRowCount="0" ref="M145:N145" displayName="Table_67" name="Table_67" id="67">
  <tableColumns count="2">
    <tableColumn name="Column1" id="1"/>
    <tableColumn name="Column2" id="2"/>
  </tableColumns>
  <tableStyleInfo name="Май-style" showColumnStripes="0" showFirstColumn="1" showLastColumn="1" showRowStripes="1"/>
</table>
</file>

<file path=xl/tables/table68.xml><?xml version="1.0" encoding="utf-8"?>
<table xmlns="http://schemas.openxmlformats.org/spreadsheetml/2006/main" headerRowCount="0" ref="O145:T145" displayName="Table_68" name="Table_68" id="6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Май-style 2" showColumnStripes="0" showFirstColumn="1" showLastColumn="1" showRowStripes="1"/>
</table>
</file>

<file path=xl/tables/table69.xml><?xml version="1.0" encoding="utf-8"?>
<table xmlns="http://schemas.openxmlformats.org/spreadsheetml/2006/main" headerRowCount="0" ref="W145:AL145" displayName="Table_69" name="Table_69" id="69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Май-style 3" showColumnStripes="0" showFirstColumn="1" showLastColumn="1" showRowStripes="1"/>
</table>
</file>

<file path=xl/tables/table70.xml><?xml version="1.0" encoding="utf-8"?>
<table xmlns="http://schemas.openxmlformats.org/spreadsheetml/2006/main" headerRowCount="0" ref="AO145:BD145" displayName="Table_70" name="Table_70" id="70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Май-style 4" showColumnStripes="0" showFirstColumn="1" showLastColumn="1" showRowStripes="1"/>
</table>
</file>

<file path=xl/tables/table71.xml><?xml version="1.0" encoding="utf-8"?>
<table xmlns="http://schemas.openxmlformats.org/spreadsheetml/2006/main" headerRowCount="0" ref="BH145:CN145" displayName="Table_71" name="Table_71" id="71">
  <tableColumns count="3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</tableColumns>
  <tableStyleInfo name="Май-style 5" showColumnStripes="0" showFirstColumn="1" showLastColumn="1" showRowStripes="1"/>
</table>
</file>

<file path=xl/tables/table72.xml><?xml version="1.0" encoding="utf-8"?>
<table xmlns="http://schemas.openxmlformats.org/spreadsheetml/2006/main" headerRowCount="0" ref="CO145:CV145" displayName="Table_72" name="Table_72" id="72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Май-style 6" showColumnStripes="0" showFirstColumn="1" showLastColumn="1" showRowStripes="1"/>
</table>
</file>

<file path=xl/tables/table73.xml><?xml version="1.0" encoding="utf-8"?>
<table xmlns="http://schemas.openxmlformats.org/spreadsheetml/2006/main" headerRowCount="0" ref="DI145:DJ145" displayName="Table_73" name="Table_73" id="73">
  <tableColumns count="2">
    <tableColumn name="Column1" id="1"/>
    <tableColumn name="Column2" id="2"/>
  </tableColumns>
  <tableStyleInfo name="Май-style 7" showColumnStripes="0" showFirstColumn="1" showLastColumn="1" showRowStripes="1"/>
</table>
</file>

<file path=xl/tables/table74.xml><?xml version="1.0" encoding="utf-8"?>
<table xmlns="http://schemas.openxmlformats.org/spreadsheetml/2006/main" headerRowCount="0" ref="H146:N149" displayName="Table_74" name="Table_74" id="7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Май-style 8" showColumnStripes="0" showFirstColumn="1" showLastColumn="1" showRowStripes="1"/>
</table>
</file>

<file path=xl/tables/table75.xml><?xml version="1.0" encoding="utf-8"?>
<table xmlns="http://schemas.openxmlformats.org/spreadsheetml/2006/main" headerRowCount="0" ref="W146:AL149" displayName="Table_75" name="Table_75" id="7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Май-style 9" showColumnStripes="0" showFirstColumn="1" showLastColumn="1" showRowStripes="1"/>
</table>
</file>

<file path=xl/tables/table76.xml><?xml version="1.0" encoding="utf-8"?>
<table xmlns="http://schemas.openxmlformats.org/spreadsheetml/2006/main" headerRowCount="0" ref="O147:O153" displayName="Table_76" name="Table_76" id="76">
  <tableColumns count="1">
    <tableColumn name="Column1" id="1"/>
  </tableColumns>
  <tableStyleInfo name="Май-style 10" showColumnStripes="0" showFirstColumn="1" showLastColumn="1" showRowStripes="1"/>
</table>
</file>

<file path=xl/tables/table77.xml><?xml version="1.0" encoding="utf-8"?>
<table xmlns="http://schemas.openxmlformats.org/spreadsheetml/2006/main" headerRowCount="0" ref="Q147:R148" displayName="Table_77" name="Table_77" id="77">
  <tableColumns count="2">
    <tableColumn name="Column1" id="1"/>
    <tableColumn name="Column2" id="2"/>
  </tableColumns>
  <tableStyleInfo name="Май-style 11" showColumnStripes="0" showFirstColumn="1" showLastColumn="1" showRowStripes="1"/>
</table>
</file>

<file path=xl/tables/table78.xml><?xml version="1.0" encoding="utf-8"?>
<table xmlns="http://schemas.openxmlformats.org/spreadsheetml/2006/main" headerRowCount="0" ref="S147:T148" displayName="Table_78" name="Table_78" id="78">
  <tableColumns count="2">
    <tableColumn name="Column1" id="1"/>
    <tableColumn name="Column2" id="2"/>
  </tableColumns>
  <tableStyleInfo name="Май-style 12" showColumnStripes="0" showFirstColumn="1" showLastColumn="1" showRowStripes="1"/>
</table>
</file>

<file path=xl/tables/table79.xml><?xml version="1.0" encoding="utf-8"?>
<table xmlns="http://schemas.openxmlformats.org/spreadsheetml/2006/main" headerRowCount="0" ref="BU147:BV153" displayName="Table_79" name="Table_79" id="79">
  <tableColumns count="2">
    <tableColumn name="Column1" id="1"/>
    <tableColumn name="Column2" id="2"/>
  </tableColumns>
  <tableStyleInfo name="Май-style 13" showColumnStripes="0" showFirstColumn="1" showLastColumn="1" showRowStripes="1"/>
</table>
</file>

<file path=xl/tables/table80.xml><?xml version="1.0" encoding="utf-8"?>
<table xmlns="http://schemas.openxmlformats.org/spreadsheetml/2006/main" headerRowCount="0" ref="U148:V148" displayName="Table_80" name="Table_80" id="80">
  <tableColumns count="2">
    <tableColumn name="Column1" id="1"/>
    <tableColumn name="Column2" id="2"/>
  </tableColumns>
  <tableStyleInfo name="Май-style 14" showColumnStripes="0" showFirstColumn="1" showLastColumn="1" showRowStripes="1"/>
</table>
</file>

<file path=xl/tables/table81.xml><?xml version="1.0" encoding="utf-8"?>
<table xmlns="http://schemas.openxmlformats.org/spreadsheetml/2006/main" headerRowCount="0" ref="AM148:AN148" displayName="Table_81" name="Table_81" id="81">
  <tableColumns count="2">
    <tableColumn name="Column1" id="1"/>
    <tableColumn name="Column2" id="2"/>
  </tableColumns>
  <tableStyleInfo name="Май-style 15" showColumnStripes="0" showFirstColumn="1" showLastColumn="1" showRowStripes="1"/>
</table>
</file>

<file path=xl/tables/table82.xml><?xml version="1.0" encoding="utf-8"?>
<table xmlns="http://schemas.openxmlformats.org/spreadsheetml/2006/main" headerRowCount="0" ref="BE148:BF148" displayName="Table_82" name="Table_82" id="82">
  <tableColumns count="2">
    <tableColumn name="Column1" id="1"/>
    <tableColumn name="Column2" id="2"/>
  </tableColumns>
  <tableStyleInfo name="Май-style 16" showColumnStripes="0" showFirstColumn="1" showLastColumn="1" showRowStripes="1"/>
</table>
</file>

<file path=xl/tables/table83.xml><?xml version="1.0" encoding="utf-8"?>
<table xmlns="http://schemas.openxmlformats.org/spreadsheetml/2006/main" headerRowCount="0" ref="BW148:BX148" displayName="Table_83" name="Table_83" id="83">
  <tableColumns count="2">
    <tableColumn name="Column1" id="1"/>
    <tableColumn name="Column2" id="2"/>
  </tableColumns>
  <tableStyleInfo name="Май-style 17" showColumnStripes="0" showFirstColumn="1" showLastColumn="1" showRowStripes="1"/>
</table>
</file>

<file path=xl/tables/table84.xml><?xml version="1.0" encoding="utf-8"?>
<table xmlns="http://schemas.openxmlformats.org/spreadsheetml/2006/main" headerRowCount="0" ref="CO148:CP148" displayName="Table_84" name="Table_84" id="84">
  <tableColumns count="2">
    <tableColumn name="Column1" id="1"/>
    <tableColumn name="Column2" id="2"/>
  </tableColumns>
  <tableStyleInfo name="Май-style 18" showColumnStripes="0" showFirstColumn="1" showLastColumn="1" showRowStripes="1"/>
</table>
</file>

<file path=xl/tables/table85.xml><?xml version="1.0" encoding="utf-8"?>
<table xmlns="http://schemas.openxmlformats.org/spreadsheetml/2006/main" headerRowCount="0" ref="CS148:CU149" displayName="Table_85" name="Table_85" id="85">
  <tableColumns count="3">
    <tableColumn name="Column1" id="1"/>
    <tableColumn name="Column2" id="2"/>
    <tableColumn name="Column3" id="3"/>
  </tableColumns>
  <tableStyleInfo name="Май-style 19" showColumnStripes="0" showFirstColumn="1" showLastColumn="1" showRowStripes="1"/>
</table>
</file>

<file path=xl/tables/table86.xml><?xml version="1.0" encoding="utf-8"?>
<table xmlns="http://schemas.openxmlformats.org/spreadsheetml/2006/main" headerRowCount="0" ref="DG148:DH148" displayName="Table_86" name="Table_86" id="86">
  <tableColumns count="2">
    <tableColumn name="Column1" id="1"/>
    <tableColumn name="Column2" id="2"/>
  </tableColumns>
  <tableStyleInfo name="Май-style 20" showColumnStripes="0" showFirstColumn="1" showLastColumn="1" showRowStripes="1"/>
</table>
</file>

<file path=xl/tables/table87.xml><?xml version="1.0" encoding="utf-8"?>
<table xmlns="http://schemas.openxmlformats.org/spreadsheetml/2006/main" headerRowCount="0" ref="Q149:R151" displayName="Table_87" name="Table_87" id="87">
  <tableColumns count="2">
    <tableColumn name="Column1" id="1"/>
    <tableColumn name="Column2" id="2"/>
  </tableColumns>
  <tableStyleInfo name="Май-style 21" showColumnStripes="0" showFirstColumn="1" showLastColumn="1" showRowStripes="1"/>
</table>
</file>

<file path=xl/tables/table88.xml><?xml version="1.0" encoding="utf-8"?>
<table xmlns="http://schemas.openxmlformats.org/spreadsheetml/2006/main" headerRowCount="0" ref="S149:T151" displayName="Table_88" name="Table_88" id="88">
  <tableColumns count="2">
    <tableColumn name="Column1" id="1"/>
    <tableColumn name="Column2" id="2"/>
  </tableColumns>
  <tableStyleInfo name="Май-style 22" showColumnStripes="0" showFirstColumn="1" showLastColumn="1" showRowStripes="1"/>
</table>
</file>

<file path=xl/tables/table89.xml><?xml version="1.0" encoding="utf-8"?>
<table xmlns="http://schemas.openxmlformats.org/spreadsheetml/2006/main" headerRowCount="0" ref="AK151:AL153" displayName="Table_89" name="Table_89" id="89">
  <tableColumns count="2">
    <tableColumn name="Column1" id="1"/>
    <tableColumn name="Column2" id="2"/>
  </tableColumns>
  <tableStyleInfo name="Май-style 23" showColumnStripes="0" showFirstColumn="1" showLastColumn="1" showRowStripes="1"/>
</table>
</file>

<file path=xl/tables/table90.xml><?xml version="1.0" encoding="utf-8"?>
<table xmlns="http://schemas.openxmlformats.org/spreadsheetml/2006/main" headerRowCount="0" ref="Q152:Q153" displayName="Table_90" name="Table_90" id="90">
  <tableColumns count="1">
    <tableColumn name="Column1" id="1"/>
  </tableColumns>
  <tableStyleInfo name="Май-style 24" showColumnStripes="0" showFirstColumn="1" showLastColumn="1" showRowStripes="1"/>
</table>
</file>

<file path=xl/tables/table91.xml><?xml version="1.0" encoding="utf-8"?>
<table xmlns="http://schemas.openxmlformats.org/spreadsheetml/2006/main" headerRowCount="0" ref="S152:S153" displayName="Table_91" name="Table_91" id="91">
  <tableColumns count="1">
    <tableColumn name="Column1" id="1"/>
  </tableColumns>
  <tableStyleInfo name="Май-style 25" showColumnStripes="0" showFirstColumn="1" showLastColumn="1" showRowStripes="1"/>
</table>
</file>

<file path=xl/tables/table92.xml><?xml version="1.0" encoding="utf-8"?>
<table xmlns="http://schemas.openxmlformats.org/spreadsheetml/2006/main" headerRowCount="0" ref="U152" displayName="Table_92" name="Table_92" id="92">
  <tableColumns count="1">
    <tableColumn name="Column1" id="1"/>
  </tableColumns>
  <tableStyleInfo name="Май-style 26" showColumnStripes="0" showFirstColumn="1" showLastColumn="1" showRowStripes="1"/>
</table>
</file>

<file path=xl/tables/table93.xml><?xml version="1.0" encoding="utf-8"?>
<table xmlns="http://schemas.openxmlformats.org/spreadsheetml/2006/main" headerRowCount="0" ref="Y152:Z153" displayName="Table_93" name="Table_93" id="93">
  <tableColumns count="2">
    <tableColumn name="Column1" id="1"/>
    <tableColumn name="Column2" id="2"/>
  </tableColumns>
  <tableStyleInfo name="Май-style 27" showColumnStripes="0" showFirstColumn="1" showLastColumn="1" showRowStripes="1"/>
</table>
</file>

<file path=xl/tables/table94.xml><?xml version="1.0" encoding="utf-8"?>
<table xmlns="http://schemas.openxmlformats.org/spreadsheetml/2006/main" headerRowCount="0" ref="AA152:AB153" displayName="Table_94" name="Table_94" id="94">
  <tableColumns count="2">
    <tableColumn name="Column1" id="1"/>
    <tableColumn name="Column2" id="2"/>
  </tableColumns>
  <tableStyleInfo name="Май-style 28" showColumnStripes="0" showFirstColumn="1" showLastColumn="1" showRowStripes="1"/>
</table>
</file>

<file path=xl/tables/table95.xml><?xml version="1.0" encoding="utf-8"?>
<table xmlns="http://schemas.openxmlformats.org/spreadsheetml/2006/main" headerRowCount="0" ref="AC152:AD153" displayName="Table_95" name="Table_95" id="95">
  <tableColumns count="2">
    <tableColumn name="Column1" id="1"/>
    <tableColumn name="Column2" id="2"/>
  </tableColumns>
  <tableStyleInfo name="Май-style 29" showColumnStripes="0" showFirstColumn="1" showLastColumn="1" showRowStripes="1"/>
</table>
</file>

<file path=xl/tables/table96.xml><?xml version="1.0" encoding="utf-8"?>
<table xmlns="http://schemas.openxmlformats.org/spreadsheetml/2006/main" headerRowCount="0" ref="AE152:AF153" displayName="Table_96" name="Table_96" id="96">
  <tableColumns count="2">
    <tableColumn name="Column1" id="1"/>
    <tableColumn name="Column2" id="2"/>
  </tableColumns>
  <tableStyleInfo name="Май-style 30" showColumnStripes="0" showFirstColumn="1" showLastColumn="1" showRowStripes="1"/>
</table>
</file>

<file path=xl/tables/table97.xml><?xml version="1.0" encoding="utf-8"?>
<table xmlns="http://schemas.openxmlformats.org/spreadsheetml/2006/main" headerRowCount="0" ref="AG152:AH153" displayName="Table_97" name="Table_97" id="97">
  <tableColumns count="2">
    <tableColumn name="Column1" id="1"/>
    <tableColumn name="Column2" id="2"/>
  </tableColumns>
  <tableStyleInfo name="Май-style 31" showColumnStripes="0" showFirstColumn="1" showLastColumn="1" showRowStripes="1"/>
</table>
</file>

<file path=xl/tables/table98.xml><?xml version="1.0" encoding="utf-8"?>
<table xmlns="http://schemas.openxmlformats.org/spreadsheetml/2006/main" headerRowCount="0" ref="AI152:AJ153" displayName="Table_98" name="Table_98" id="98">
  <tableColumns count="2">
    <tableColumn name="Column1" id="1"/>
    <tableColumn name="Column2" id="2"/>
  </tableColumns>
  <tableStyleInfo name="Май-style 32" showColumnStripes="0" showFirstColumn="1" showLastColumn="1" showRowStripes="1"/>
</table>
</file>

<file path=xl/tables/table99.xml><?xml version="1.0" encoding="utf-8"?>
<table xmlns="http://schemas.openxmlformats.org/spreadsheetml/2006/main" headerRowCount="0" ref="CS152:CT154" displayName="Table_99" name="Table_99" id="99">
  <tableColumns count="2">
    <tableColumn name="Column1" id="1"/>
    <tableColumn name="Column2" id="2"/>
  </tableColumns>
  <tableStyleInfo name="Май-style 33" showColumnStripes="0" showFirstColumn="1" showLastColumn="1" showRowStripes="1"/>
</table>
</file>

<file path=xl/tables/table100.xml><?xml version="1.0" encoding="utf-8"?>
<table xmlns="http://schemas.openxmlformats.org/spreadsheetml/2006/main" headerRowCount="0" ref="CU152:CV154" displayName="Table_100" name="Table_100" id="100">
  <tableColumns count="2">
    <tableColumn name="Column1" id="1"/>
    <tableColumn name="Column2" id="2"/>
  </tableColumns>
  <tableStyleInfo name="Май-style 34" showColumnStripes="0" showFirstColumn="1" showLastColumn="1" showRowStripes="1"/>
</table>
</file>

<file path=xl/tables/table101.xml><?xml version="1.0" encoding="utf-8"?>
<table xmlns="http://schemas.openxmlformats.org/spreadsheetml/2006/main" headerRowCount="0" ref="CW152:CX154" displayName="Table_101" name="Table_101" id="101">
  <tableColumns count="2">
    <tableColumn name="Column1" id="1"/>
    <tableColumn name="Column2" id="2"/>
  </tableColumns>
  <tableStyleInfo name="Май-style 35" showColumnStripes="0" showFirstColumn="1" showLastColumn="1" showRowStripes="1"/>
</table>
</file>

<file path=xl/tables/table102.xml><?xml version="1.0" encoding="utf-8"?>
<table xmlns="http://schemas.openxmlformats.org/spreadsheetml/2006/main" headerRowCount="0" ref="CY152:CZ154" displayName="Table_102" name="Table_102" id="102">
  <tableColumns count="2">
    <tableColumn name="Column1" id="1"/>
    <tableColumn name="Column2" id="2"/>
  </tableColumns>
  <tableStyleInfo name="Май-style 36" showColumnStripes="0" showFirstColumn="1" showLastColumn="1" showRowStripes="1"/>
</table>
</file>

<file path=xl/tables/table103.xml><?xml version="1.0" encoding="utf-8"?>
<table xmlns="http://schemas.openxmlformats.org/spreadsheetml/2006/main" headerRowCount="0" ref="DA152:DB154" displayName="Table_103" name="Table_103" id="103">
  <tableColumns count="2">
    <tableColumn name="Column1" id="1"/>
    <tableColumn name="Column2" id="2"/>
  </tableColumns>
  <tableStyleInfo name="Май-style 37" showColumnStripes="0" showFirstColumn="1" showLastColumn="1" showRowStripes="1"/>
</table>
</file>

<file path=xl/tables/table104.xml><?xml version="1.0" encoding="utf-8"?>
<table xmlns="http://schemas.openxmlformats.org/spreadsheetml/2006/main" headerRowCount="0" ref="DC152:DD154" displayName="Table_104" name="Table_104" id="104">
  <tableColumns count="2">
    <tableColumn name="Column1" id="1"/>
    <tableColumn name="Column2" id="2"/>
  </tableColumns>
  <tableStyleInfo name="Май-style 38" showColumnStripes="0" showFirstColumn="1" showLastColumn="1" showRowStripes="1"/>
</table>
</file>

<file path=xl/tables/table105.xml><?xml version="1.0" encoding="utf-8"?>
<table xmlns="http://schemas.openxmlformats.org/spreadsheetml/2006/main" headerRowCount="0" ref="DE152:DF154" displayName="Table_105" name="Table_105" id="105">
  <tableColumns count="2">
    <tableColumn name="Column1" id="1"/>
    <tableColumn name="Column2" id="2"/>
  </tableColumns>
  <tableStyleInfo name="Май-style 39" showColumnStripes="0" showFirstColumn="1" showLastColumn="1" showRowStripes="1"/>
</table>
</file>

<file path=xl/tables/table106.xml><?xml version="1.0" encoding="utf-8"?>
<table xmlns="http://schemas.openxmlformats.org/spreadsheetml/2006/main" headerRowCount="0" ref="U153:V153" displayName="Table_106" name="Table_106" id="106">
  <tableColumns count="2">
    <tableColumn name="Column1" id="1"/>
    <tableColumn name="Column2" id="2"/>
  </tableColumns>
  <tableStyleInfo name="Май-style 40" showColumnStripes="0" showFirstColumn="1" showLastColumn="1" showRowStripes="1"/>
</table>
</file>

<file path=xl/tables/table107.xml><?xml version="1.0" encoding="utf-8"?>
<table xmlns="http://schemas.openxmlformats.org/spreadsheetml/2006/main" headerRowCount="0" ref="AM153:AN153" displayName="Table_107" name="Table_107" id="107">
  <tableColumns count="2">
    <tableColumn name="Column1" id="1"/>
    <tableColumn name="Column2" id="2"/>
  </tableColumns>
  <tableStyleInfo name="Май-style 41" showColumnStripes="0" showFirstColumn="1" showLastColumn="1" showRowStripes="1"/>
</table>
</file>

<file path=xl/tables/table108.xml><?xml version="1.0" encoding="utf-8"?>
<table xmlns="http://schemas.openxmlformats.org/spreadsheetml/2006/main" headerRowCount="0" ref="BE153:BF153" displayName="Table_108" name="Table_108" id="108">
  <tableColumns count="2">
    <tableColumn name="Column1" id="1"/>
    <tableColumn name="Column2" id="2"/>
  </tableColumns>
  <tableStyleInfo name="Май-style 42" showColumnStripes="0" showFirstColumn="1" showLastColumn="1" showRowStripes="1"/>
</table>
</file>

<file path=xl/tables/table109.xml><?xml version="1.0" encoding="utf-8"?>
<table xmlns="http://schemas.openxmlformats.org/spreadsheetml/2006/main" headerRowCount="0" ref="BW153:BX153" displayName="Table_109" name="Table_109" id="109">
  <tableColumns count="2">
    <tableColumn name="Column1" id="1"/>
    <tableColumn name="Column2" id="2"/>
  </tableColumns>
  <tableStyleInfo name="Май-style 43" showColumnStripes="0" showFirstColumn="1" showLastColumn="1" showRowStripes="1"/>
</table>
</file>

<file path=xl/tables/table110.xml><?xml version="1.0" encoding="utf-8"?>
<table xmlns="http://schemas.openxmlformats.org/spreadsheetml/2006/main" headerRowCount="0" ref="CO153:CP153" displayName="Table_110" name="Table_110" id="110">
  <tableColumns count="2">
    <tableColumn name="Column1" id="1"/>
    <tableColumn name="Column2" id="2"/>
  </tableColumns>
  <tableStyleInfo name="Май-style 44" showColumnStripes="0" showFirstColumn="1" showLastColumn="1" showRowStripes="1"/>
</table>
</file>

<file path=xl/tables/table111.xml><?xml version="1.0" encoding="utf-8"?>
<table xmlns="http://schemas.openxmlformats.org/spreadsheetml/2006/main" headerRowCount="0" ref="DG153:DH153" displayName="Table_111" name="Table_111" id="111">
  <tableColumns count="2">
    <tableColumn name="Column1" id="1"/>
    <tableColumn name="Column2" id="2"/>
  </tableColumns>
  <tableStyleInfo name="Май-style 45" showColumnStripes="0" showFirstColumn="1" showLastColumn="1" showRowStripes="1"/>
</table>
</file>

<file path=xl/tables/table112.xml><?xml version="1.0" encoding="utf-8"?>
<table xmlns="http://schemas.openxmlformats.org/spreadsheetml/2006/main" headerRowCount="0" ref="O154" displayName="Table_112" name="Table_112" id="112">
  <tableColumns count="1">
    <tableColumn name="Column1" id="1"/>
  </tableColumns>
  <tableStyleInfo name="Май-style 46" showColumnStripes="0" showFirstColumn="1" showLastColumn="1" showRowStripes="1"/>
</table>
</file>

<file path=xl/tables/table113.xml><?xml version="1.0" encoding="utf-8"?>
<table xmlns="http://schemas.openxmlformats.org/spreadsheetml/2006/main" headerRowCount="0" ref="Q154" displayName="Table_113" name="Table_113" id="113">
  <tableColumns count="1">
    <tableColumn name="Column1" id="1"/>
  </tableColumns>
  <tableStyleInfo name="Май-style 47" showColumnStripes="0" showFirstColumn="1" showLastColumn="1" showRowStripes="1"/>
</table>
</file>

<file path=xl/tables/table114.xml><?xml version="1.0" encoding="utf-8"?>
<table xmlns="http://schemas.openxmlformats.org/spreadsheetml/2006/main" headerRowCount="0" ref="S154" displayName="Table_114" name="Table_114" id="114">
  <tableColumns count="1">
    <tableColumn name="Column1" id="1"/>
  </tableColumns>
  <tableStyleInfo name="Май-style 48" showColumnStripes="0" showFirstColumn="1" showLastColumn="1" showRowStripes="1"/>
</table>
</file>

<file path=xl/tables/table115.xml><?xml version="1.0" encoding="utf-8"?>
<table xmlns="http://schemas.openxmlformats.org/spreadsheetml/2006/main" headerRowCount="0" ref="U154:V154" displayName="Table_115" name="Table_115" id="115">
  <tableColumns count="2">
    <tableColumn name="Column1" id="1"/>
    <tableColumn name="Column2" id="2"/>
  </tableColumns>
  <tableStyleInfo name="Май-style 49" showColumnStripes="0" showFirstColumn="1" showLastColumn="1" showRowStripes="1"/>
</table>
</file>

<file path=xl/tables/table116.xml><?xml version="1.0" encoding="utf-8"?>
<table xmlns="http://schemas.openxmlformats.org/spreadsheetml/2006/main" headerRowCount="0" ref="W154:AL154" displayName="Table_116" name="Table_116" id="116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Май-style 50" showColumnStripes="0" showFirstColumn="1" showLastColumn="1" showRowStripes="1"/>
</table>
</file>

<file path=xl/tables/table117.xml><?xml version="1.0" encoding="utf-8"?>
<table xmlns="http://schemas.openxmlformats.org/spreadsheetml/2006/main" headerRowCount="0" ref="AM154:AN154" displayName="Table_117" name="Table_117" id="117">
  <tableColumns count="2">
    <tableColumn name="Column1" id="1"/>
    <tableColumn name="Column2" id="2"/>
  </tableColumns>
  <tableStyleInfo name="Май-style 51" showColumnStripes="0" showFirstColumn="1" showLastColumn="1" showRowStripes="1"/>
</table>
</file>

<file path=xl/tables/table118.xml><?xml version="1.0" encoding="utf-8"?>
<table xmlns="http://schemas.openxmlformats.org/spreadsheetml/2006/main" headerRowCount="0" ref="AO154:BD154" displayName="Table_118" name="Table_118" id="11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Май-style 52" showColumnStripes="0" showFirstColumn="1" showLastColumn="1" showRowStripes="1"/>
</table>
</file>

<file path=xl/tables/table119.xml><?xml version="1.0" encoding="utf-8"?>
<table xmlns="http://schemas.openxmlformats.org/spreadsheetml/2006/main" headerRowCount="0" ref="BE154:BF154" displayName="Table_119" name="Table_119" id="119">
  <tableColumns count="2">
    <tableColumn name="Column1" id="1"/>
    <tableColumn name="Column2" id="2"/>
  </tableColumns>
  <tableStyleInfo name="Май-style 53" showColumnStripes="0" showFirstColumn="1" showLastColumn="1" showRowStripes="1"/>
</table>
</file>

<file path=xl/tables/table120.xml><?xml version="1.0" encoding="utf-8"?>
<table xmlns="http://schemas.openxmlformats.org/spreadsheetml/2006/main" headerRowCount="0" ref="BG154:BJ154" displayName="Table_120" name="Table_120" id="120">
  <tableColumns count="4">
    <tableColumn name="Column1" id="1"/>
    <tableColumn name="Column2" id="2"/>
    <tableColumn name="Column3" id="3"/>
    <tableColumn name="Column4" id="4"/>
  </tableColumns>
  <tableStyleInfo name="Май-style 54" showColumnStripes="0" showFirstColumn="1" showLastColumn="1" showRowStripes="1"/>
</table>
</file>

<file path=xl/tables/table121.xml><?xml version="1.0" encoding="utf-8"?>
<table xmlns="http://schemas.openxmlformats.org/spreadsheetml/2006/main" headerRowCount="0" ref="BK154:BL154" displayName="Table_121" name="Table_121" id="121">
  <tableColumns count="2">
    <tableColumn name="Column1" id="1"/>
    <tableColumn name="Column2" id="2"/>
  </tableColumns>
  <tableStyleInfo name="Май-style 55" showColumnStripes="0" showFirstColumn="1" showLastColumn="1" showRowStripes="1"/>
</table>
</file>

<file path=xl/tables/table122.xml><?xml version="1.0" encoding="utf-8"?>
<table xmlns="http://schemas.openxmlformats.org/spreadsheetml/2006/main" headerRowCount="0" ref="BM154:BN154" displayName="Table_122" name="Table_122" id="122">
  <tableColumns count="2">
    <tableColumn name="Column1" id="1"/>
    <tableColumn name="Column2" id="2"/>
  </tableColumns>
  <tableStyleInfo name="Май-style 56" showColumnStripes="0" showFirstColumn="1" showLastColumn="1" showRowStripes="1"/>
</table>
</file>

<file path=xl/tables/table123.xml><?xml version="1.0" encoding="utf-8"?>
<table xmlns="http://schemas.openxmlformats.org/spreadsheetml/2006/main" headerRowCount="0" ref="BO154:BP154" displayName="Table_123" name="Table_123" id="123">
  <tableColumns count="2">
    <tableColumn name="Column1" id="1"/>
    <tableColumn name="Column2" id="2"/>
  </tableColumns>
  <tableStyleInfo name="Май-style 57" showColumnStripes="0" showFirstColumn="1" showLastColumn="1" showRowStripes="1"/>
</table>
</file>

<file path=xl/tables/table124.xml><?xml version="1.0" encoding="utf-8"?>
<table xmlns="http://schemas.openxmlformats.org/spreadsheetml/2006/main" headerRowCount="0" ref="BQ154:BR154" displayName="Table_124" name="Table_124" id="124">
  <tableColumns count="2">
    <tableColumn name="Column1" id="1"/>
    <tableColumn name="Column2" id="2"/>
  </tableColumns>
  <tableStyleInfo name="Май-style 58" showColumnStripes="0" showFirstColumn="1" showLastColumn="1" showRowStripes="1"/>
</table>
</file>

<file path=xl/tables/table125.xml><?xml version="1.0" encoding="utf-8"?>
<table xmlns="http://schemas.openxmlformats.org/spreadsheetml/2006/main" headerRowCount="0" ref="BS154:BT154" displayName="Table_125" name="Table_125" id="125">
  <tableColumns count="2">
    <tableColumn name="Column1" id="1"/>
    <tableColumn name="Column2" id="2"/>
  </tableColumns>
  <tableStyleInfo name="Май-style 59" showColumnStripes="0" showFirstColumn="1" showLastColumn="1" showRowStripes="1"/>
</table>
</file>

<file path=xl/tables/table126.xml><?xml version="1.0" encoding="utf-8"?>
<table xmlns="http://schemas.openxmlformats.org/spreadsheetml/2006/main" headerRowCount="0" ref="BU154:BV154" displayName="Table_126" name="Table_126" id="126">
  <tableColumns count="2">
    <tableColumn name="Column1" id="1"/>
    <tableColumn name="Column2" id="2"/>
  </tableColumns>
  <tableStyleInfo name="Май-style 60" showColumnStripes="0" showFirstColumn="1" showLastColumn="1" showRowStripes="1"/>
</table>
</file>

<file path=xl/tables/table127.xml><?xml version="1.0" encoding="utf-8"?>
<table xmlns="http://schemas.openxmlformats.org/spreadsheetml/2006/main" headerRowCount="0" ref="BW154:BX154" displayName="Table_127" name="Table_127" id="127">
  <tableColumns count="2">
    <tableColumn name="Column1" id="1"/>
    <tableColumn name="Column2" id="2"/>
  </tableColumns>
  <tableStyleInfo name="Май-style 61" showColumnStripes="0" showFirstColumn="1" showLastColumn="1" showRowStripes="1"/>
</table>
</file>

<file path=xl/tables/table128.xml><?xml version="1.0" encoding="utf-8"?>
<table xmlns="http://schemas.openxmlformats.org/spreadsheetml/2006/main" headerRowCount="0" ref="BY154:CN154" displayName="Table_128" name="Table_128" id="128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Май-style 62" showColumnStripes="0" showFirstColumn="1" showLastColumn="1" showRowStripes="1"/>
</table>
</file>

<file path=xl/tables/table129.xml><?xml version="1.0" encoding="utf-8"?>
<table xmlns="http://schemas.openxmlformats.org/spreadsheetml/2006/main" headerRowCount="0" ref="CO154:CP154" displayName="Table_129" name="Table_129" id="129">
  <tableColumns count="2">
    <tableColumn name="Column1" id="1"/>
    <tableColumn name="Column2" id="2"/>
  </tableColumns>
  <tableStyleInfo name="Май-style 63" showColumnStripes="0" showFirstColumn="1" showLastColumn="1" showRowStripes="1"/>
</table>
</file>

<file path=xl/tables/table130.xml><?xml version="1.0" encoding="utf-8"?>
<table xmlns="http://schemas.openxmlformats.org/spreadsheetml/2006/main" headerRowCount="0" ref="CQ154:CR154" displayName="Table_130" name="Table_130" id="130">
  <tableColumns count="2">
    <tableColumn name="Column1" id="1"/>
    <tableColumn name="Column2" id="2"/>
  </tableColumns>
  <tableStyleInfo name="Май-style 64" showColumnStripes="0" showFirstColumn="1" showLastColumn="1" showRowStripes="1"/>
</table>
</file>

<file path=xl/tables/table131.xml><?xml version="1.0" encoding="utf-8"?>
<table xmlns="http://schemas.openxmlformats.org/spreadsheetml/2006/main" headerRowCount="0" ref="DG154:DH154" displayName="Table_131" name="Table_131" id="131">
  <tableColumns count="2">
    <tableColumn name="Column1" id="1"/>
    <tableColumn name="Column2" id="2"/>
  </tableColumns>
  <tableStyleInfo name="Май-style 65" showColumnStripes="0" showFirstColumn="1" showLastColumn="1" showRowStripes="1"/>
</table>
</file>

<file path=xl/tables/table132.xml><?xml version="1.0" encoding="utf-8"?>
<table xmlns="http://schemas.openxmlformats.org/spreadsheetml/2006/main" headerRowCount="0" ref="DI154:DJ154" displayName="Table_132" name="Table_132" id="132">
  <tableColumns count="2">
    <tableColumn name="Column1" id="1"/>
    <tableColumn name="Column2" id="2"/>
  </tableColumns>
  <tableStyleInfo name="Май-style 6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84" Type="http://schemas.openxmlformats.org/officeDocument/2006/relationships/table" Target="../tables/table15.xml"/><Relationship Id="rId83" Type="http://schemas.openxmlformats.org/officeDocument/2006/relationships/table" Target="../tables/table14.xml"/><Relationship Id="rId86" Type="http://schemas.openxmlformats.org/officeDocument/2006/relationships/table" Target="../tables/table17.xml"/><Relationship Id="rId85" Type="http://schemas.openxmlformats.org/officeDocument/2006/relationships/table" Target="../tables/table16.xml"/><Relationship Id="rId88" Type="http://schemas.openxmlformats.org/officeDocument/2006/relationships/table" Target="../tables/table19.xml"/><Relationship Id="rId87" Type="http://schemas.openxmlformats.org/officeDocument/2006/relationships/table" Target="../tables/table18.xml"/><Relationship Id="rId89" Type="http://schemas.openxmlformats.org/officeDocument/2006/relationships/table" Target="../tables/table20.xml"/><Relationship Id="rId80" Type="http://schemas.openxmlformats.org/officeDocument/2006/relationships/table" Target="../tables/table11.xml"/><Relationship Id="rId82" Type="http://schemas.openxmlformats.org/officeDocument/2006/relationships/table" Target="../tables/table13.xml"/><Relationship Id="rId81" Type="http://schemas.openxmlformats.org/officeDocument/2006/relationships/table" Target="../tables/table12.xml"/><Relationship Id="rId1" Type="http://schemas.openxmlformats.org/officeDocument/2006/relationships/comments" Target="../comments1.xml"/><Relationship Id="rId107" Type="http://schemas.openxmlformats.org/officeDocument/2006/relationships/table" Target="../tables/table38.xml"/><Relationship Id="rId2" Type="http://schemas.openxmlformats.org/officeDocument/2006/relationships/drawing" Target="../drawings/drawing1.xml"/><Relationship Id="rId106" Type="http://schemas.openxmlformats.org/officeDocument/2006/relationships/table" Target="../tables/table37.xml"/><Relationship Id="rId3" Type="http://schemas.openxmlformats.org/officeDocument/2006/relationships/vmlDrawing" Target="../drawings/vmlDrawing1.vml"/><Relationship Id="rId105" Type="http://schemas.openxmlformats.org/officeDocument/2006/relationships/table" Target="../tables/table36.xml"/><Relationship Id="rId104" Type="http://schemas.openxmlformats.org/officeDocument/2006/relationships/table" Target="../tables/table35.xml"/><Relationship Id="rId109" Type="http://schemas.openxmlformats.org/officeDocument/2006/relationships/table" Target="../tables/table40.xml"/><Relationship Id="rId108" Type="http://schemas.openxmlformats.org/officeDocument/2006/relationships/table" Target="../tables/table39.xml"/><Relationship Id="rId103" Type="http://schemas.openxmlformats.org/officeDocument/2006/relationships/table" Target="../tables/table34.xml"/><Relationship Id="rId102" Type="http://schemas.openxmlformats.org/officeDocument/2006/relationships/table" Target="../tables/table33.xml"/><Relationship Id="rId101" Type="http://schemas.openxmlformats.org/officeDocument/2006/relationships/table" Target="../tables/table32.xml"/><Relationship Id="rId100" Type="http://schemas.openxmlformats.org/officeDocument/2006/relationships/table" Target="../tables/table31.xml"/><Relationship Id="rId73" Type="http://schemas.openxmlformats.org/officeDocument/2006/relationships/table" Target="../tables/table4.xml"/><Relationship Id="rId72" Type="http://schemas.openxmlformats.org/officeDocument/2006/relationships/table" Target="../tables/table3.xml"/><Relationship Id="rId75" Type="http://schemas.openxmlformats.org/officeDocument/2006/relationships/table" Target="../tables/table6.xml"/><Relationship Id="rId74" Type="http://schemas.openxmlformats.org/officeDocument/2006/relationships/table" Target="../tables/table5.xml"/><Relationship Id="rId77" Type="http://schemas.openxmlformats.org/officeDocument/2006/relationships/table" Target="../tables/table8.xml"/><Relationship Id="rId76" Type="http://schemas.openxmlformats.org/officeDocument/2006/relationships/table" Target="../tables/table7.xml"/><Relationship Id="rId79" Type="http://schemas.openxmlformats.org/officeDocument/2006/relationships/table" Target="../tables/table10.xml"/><Relationship Id="rId78" Type="http://schemas.openxmlformats.org/officeDocument/2006/relationships/table" Target="../tables/table9.xml"/><Relationship Id="rId71" Type="http://schemas.openxmlformats.org/officeDocument/2006/relationships/table" Target="../tables/table2.xml"/><Relationship Id="rId70" Type="http://schemas.openxmlformats.org/officeDocument/2006/relationships/table" Target="../tables/table1.xml"/><Relationship Id="rId132" Type="http://schemas.openxmlformats.org/officeDocument/2006/relationships/table" Target="../tables/table63.xml"/><Relationship Id="rId131" Type="http://schemas.openxmlformats.org/officeDocument/2006/relationships/table" Target="../tables/table62.xml"/><Relationship Id="rId130" Type="http://schemas.openxmlformats.org/officeDocument/2006/relationships/table" Target="../tables/table61.xml"/><Relationship Id="rId135" Type="http://schemas.openxmlformats.org/officeDocument/2006/relationships/table" Target="../tables/table66.xml"/><Relationship Id="rId134" Type="http://schemas.openxmlformats.org/officeDocument/2006/relationships/table" Target="../tables/table65.xml"/><Relationship Id="rId133" Type="http://schemas.openxmlformats.org/officeDocument/2006/relationships/table" Target="../tables/table64.xml"/><Relationship Id="rId129" Type="http://schemas.openxmlformats.org/officeDocument/2006/relationships/table" Target="../tables/table60.xml"/><Relationship Id="rId128" Type="http://schemas.openxmlformats.org/officeDocument/2006/relationships/table" Target="../tables/table59.xml"/><Relationship Id="rId127" Type="http://schemas.openxmlformats.org/officeDocument/2006/relationships/table" Target="../tables/table58.xml"/><Relationship Id="rId126" Type="http://schemas.openxmlformats.org/officeDocument/2006/relationships/table" Target="../tables/table57.xml"/><Relationship Id="rId121" Type="http://schemas.openxmlformats.org/officeDocument/2006/relationships/table" Target="../tables/table52.xml"/><Relationship Id="rId120" Type="http://schemas.openxmlformats.org/officeDocument/2006/relationships/table" Target="../tables/table51.xml"/><Relationship Id="rId125" Type="http://schemas.openxmlformats.org/officeDocument/2006/relationships/table" Target="../tables/table56.xml"/><Relationship Id="rId124" Type="http://schemas.openxmlformats.org/officeDocument/2006/relationships/table" Target="../tables/table55.xml"/><Relationship Id="rId123" Type="http://schemas.openxmlformats.org/officeDocument/2006/relationships/table" Target="../tables/table54.xml"/><Relationship Id="rId122" Type="http://schemas.openxmlformats.org/officeDocument/2006/relationships/table" Target="../tables/table53.xml"/><Relationship Id="rId95" Type="http://schemas.openxmlformats.org/officeDocument/2006/relationships/table" Target="../tables/table26.xml"/><Relationship Id="rId94" Type="http://schemas.openxmlformats.org/officeDocument/2006/relationships/table" Target="../tables/table25.xml"/><Relationship Id="rId97" Type="http://schemas.openxmlformats.org/officeDocument/2006/relationships/table" Target="../tables/table28.xml"/><Relationship Id="rId96" Type="http://schemas.openxmlformats.org/officeDocument/2006/relationships/table" Target="../tables/table27.xml"/><Relationship Id="rId99" Type="http://schemas.openxmlformats.org/officeDocument/2006/relationships/table" Target="../tables/table30.xml"/><Relationship Id="rId98" Type="http://schemas.openxmlformats.org/officeDocument/2006/relationships/table" Target="../tables/table29.xml"/><Relationship Id="rId91" Type="http://schemas.openxmlformats.org/officeDocument/2006/relationships/table" Target="../tables/table22.xml"/><Relationship Id="rId90" Type="http://schemas.openxmlformats.org/officeDocument/2006/relationships/table" Target="../tables/table21.xml"/><Relationship Id="rId93" Type="http://schemas.openxmlformats.org/officeDocument/2006/relationships/table" Target="../tables/table24.xml"/><Relationship Id="rId92" Type="http://schemas.openxmlformats.org/officeDocument/2006/relationships/table" Target="../tables/table23.xml"/><Relationship Id="rId118" Type="http://schemas.openxmlformats.org/officeDocument/2006/relationships/table" Target="../tables/table49.xml"/><Relationship Id="rId117" Type="http://schemas.openxmlformats.org/officeDocument/2006/relationships/table" Target="../tables/table48.xml"/><Relationship Id="rId116" Type="http://schemas.openxmlformats.org/officeDocument/2006/relationships/table" Target="../tables/table47.xml"/><Relationship Id="rId115" Type="http://schemas.openxmlformats.org/officeDocument/2006/relationships/table" Target="../tables/table46.xml"/><Relationship Id="rId119" Type="http://schemas.openxmlformats.org/officeDocument/2006/relationships/table" Target="../tables/table50.xml"/><Relationship Id="rId110" Type="http://schemas.openxmlformats.org/officeDocument/2006/relationships/table" Target="../tables/table41.xml"/><Relationship Id="rId114" Type="http://schemas.openxmlformats.org/officeDocument/2006/relationships/table" Target="../tables/table45.xml"/><Relationship Id="rId113" Type="http://schemas.openxmlformats.org/officeDocument/2006/relationships/table" Target="../tables/table44.xml"/><Relationship Id="rId112" Type="http://schemas.openxmlformats.org/officeDocument/2006/relationships/table" Target="../tables/table43.xml"/><Relationship Id="rId111" Type="http://schemas.openxmlformats.org/officeDocument/2006/relationships/table" Target="../tables/table42.xml"/></Relationships>
</file>

<file path=xl/worksheets/_rels/sheet2.xml.rels><?xml version="1.0" encoding="UTF-8" standalone="yes"?><Relationships xmlns="http://schemas.openxmlformats.org/package/2006/relationships"><Relationship Id="rId84" Type="http://schemas.openxmlformats.org/officeDocument/2006/relationships/table" Target="../tables/table81.xml"/><Relationship Id="rId83" Type="http://schemas.openxmlformats.org/officeDocument/2006/relationships/table" Target="../tables/table80.xml"/><Relationship Id="rId86" Type="http://schemas.openxmlformats.org/officeDocument/2006/relationships/table" Target="../tables/table83.xml"/><Relationship Id="rId85" Type="http://schemas.openxmlformats.org/officeDocument/2006/relationships/table" Target="../tables/table82.xml"/><Relationship Id="rId88" Type="http://schemas.openxmlformats.org/officeDocument/2006/relationships/table" Target="../tables/table85.xml"/><Relationship Id="rId87" Type="http://schemas.openxmlformats.org/officeDocument/2006/relationships/table" Target="../tables/table84.xml"/><Relationship Id="rId89" Type="http://schemas.openxmlformats.org/officeDocument/2006/relationships/table" Target="../tables/table86.xml"/><Relationship Id="rId80" Type="http://schemas.openxmlformats.org/officeDocument/2006/relationships/table" Target="../tables/table77.xml"/><Relationship Id="rId82" Type="http://schemas.openxmlformats.org/officeDocument/2006/relationships/table" Target="../tables/table79.xml"/><Relationship Id="rId81" Type="http://schemas.openxmlformats.org/officeDocument/2006/relationships/table" Target="../tables/table78.xml"/><Relationship Id="rId1" Type="http://schemas.openxmlformats.org/officeDocument/2006/relationships/comments" Target="../comments2.xml"/><Relationship Id="rId107" Type="http://schemas.openxmlformats.org/officeDocument/2006/relationships/table" Target="../tables/table104.xml"/><Relationship Id="rId2" Type="http://schemas.openxmlformats.org/officeDocument/2006/relationships/drawing" Target="../drawings/drawing2.xml"/><Relationship Id="rId106" Type="http://schemas.openxmlformats.org/officeDocument/2006/relationships/table" Target="../tables/table103.xml"/><Relationship Id="rId3" Type="http://schemas.openxmlformats.org/officeDocument/2006/relationships/vmlDrawing" Target="../drawings/vmlDrawing2.vml"/><Relationship Id="rId105" Type="http://schemas.openxmlformats.org/officeDocument/2006/relationships/table" Target="../tables/table102.xml"/><Relationship Id="rId104" Type="http://schemas.openxmlformats.org/officeDocument/2006/relationships/table" Target="../tables/table101.xml"/><Relationship Id="rId109" Type="http://schemas.openxmlformats.org/officeDocument/2006/relationships/table" Target="../tables/table106.xml"/><Relationship Id="rId108" Type="http://schemas.openxmlformats.org/officeDocument/2006/relationships/table" Target="../tables/table105.xml"/><Relationship Id="rId103" Type="http://schemas.openxmlformats.org/officeDocument/2006/relationships/table" Target="../tables/table100.xml"/><Relationship Id="rId102" Type="http://schemas.openxmlformats.org/officeDocument/2006/relationships/table" Target="../tables/table99.xml"/><Relationship Id="rId101" Type="http://schemas.openxmlformats.org/officeDocument/2006/relationships/table" Target="../tables/table98.xml"/><Relationship Id="rId100" Type="http://schemas.openxmlformats.org/officeDocument/2006/relationships/table" Target="../tables/table97.xml"/><Relationship Id="rId73" Type="http://schemas.openxmlformats.org/officeDocument/2006/relationships/table" Target="../tables/table70.xml"/><Relationship Id="rId72" Type="http://schemas.openxmlformats.org/officeDocument/2006/relationships/table" Target="../tables/table69.xml"/><Relationship Id="rId75" Type="http://schemas.openxmlformats.org/officeDocument/2006/relationships/table" Target="../tables/table72.xml"/><Relationship Id="rId74" Type="http://schemas.openxmlformats.org/officeDocument/2006/relationships/table" Target="../tables/table71.xml"/><Relationship Id="rId77" Type="http://schemas.openxmlformats.org/officeDocument/2006/relationships/table" Target="../tables/table74.xml"/><Relationship Id="rId76" Type="http://schemas.openxmlformats.org/officeDocument/2006/relationships/table" Target="../tables/table73.xml"/><Relationship Id="rId79" Type="http://schemas.openxmlformats.org/officeDocument/2006/relationships/table" Target="../tables/table76.xml"/><Relationship Id="rId78" Type="http://schemas.openxmlformats.org/officeDocument/2006/relationships/table" Target="../tables/table75.xml"/><Relationship Id="rId71" Type="http://schemas.openxmlformats.org/officeDocument/2006/relationships/table" Target="../tables/table68.xml"/><Relationship Id="rId70" Type="http://schemas.openxmlformats.org/officeDocument/2006/relationships/table" Target="../tables/table67.xml"/><Relationship Id="rId132" Type="http://schemas.openxmlformats.org/officeDocument/2006/relationships/table" Target="../tables/table129.xml"/><Relationship Id="rId131" Type="http://schemas.openxmlformats.org/officeDocument/2006/relationships/table" Target="../tables/table128.xml"/><Relationship Id="rId130" Type="http://schemas.openxmlformats.org/officeDocument/2006/relationships/table" Target="../tables/table127.xml"/><Relationship Id="rId135" Type="http://schemas.openxmlformats.org/officeDocument/2006/relationships/table" Target="../tables/table132.xml"/><Relationship Id="rId134" Type="http://schemas.openxmlformats.org/officeDocument/2006/relationships/table" Target="../tables/table131.xml"/><Relationship Id="rId133" Type="http://schemas.openxmlformats.org/officeDocument/2006/relationships/table" Target="../tables/table130.xml"/><Relationship Id="rId129" Type="http://schemas.openxmlformats.org/officeDocument/2006/relationships/table" Target="../tables/table126.xml"/><Relationship Id="rId128" Type="http://schemas.openxmlformats.org/officeDocument/2006/relationships/table" Target="../tables/table125.xml"/><Relationship Id="rId127" Type="http://schemas.openxmlformats.org/officeDocument/2006/relationships/table" Target="../tables/table124.xml"/><Relationship Id="rId126" Type="http://schemas.openxmlformats.org/officeDocument/2006/relationships/table" Target="../tables/table123.xml"/><Relationship Id="rId121" Type="http://schemas.openxmlformats.org/officeDocument/2006/relationships/table" Target="../tables/table118.xml"/><Relationship Id="rId120" Type="http://schemas.openxmlformats.org/officeDocument/2006/relationships/table" Target="../tables/table117.xml"/><Relationship Id="rId125" Type="http://schemas.openxmlformats.org/officeDocument/2006/relationships/table" Target="../tables/table122.xml"/><Relationship Id="rId124" Type="http://schemas.openxmlformats.org/officeDocument/2006/relationships/table" Target="../tables/table121.xml"/><Relationship Id="rId123" Type="http://schemas.openxmlformats.org/officeDocument/2006/relationships/table" Target="../tables/table120.xml"/><Relationship Id="rId122" Type="http://schemas.openxmlformats.org/officeDocument/2006/relationships/table" Target="../tables/table119.xml"/><Relationship Id="rId95" Type="http://schemas.openxmlformats.org/officeDocument/2006/relationships/table" Target="../tables/table92.xml"/><Relationship Id="rId94" Type="http://schemas.openxmlformats.org/officeDocument/2006/relationships/table" Target="../tables/table91.xml"/><Relationship Id="rId97" Type="http://schemas.openxmlformats.org/officeDocument/2006/relationships/table" Target="../tables/table94.xml"/><Relationship Id="rId96" Type="http://schemas.openxmlformats.org/officeDocument/2006/relationships/table" Target="../tables/table93.xml"/><Relationship Id="rId99" Type="http://schemas.openxmlformats.org/officeDocument/2006/relationships/table" Target="../tables/table96.xml"/><Relationship Id="rId98" Type="http://schemas.openxmlformats.org/officeDocument/2006/relationships/table" Target="../tables/table95.xml"/><Relationship Id="rId91" Type="http://schemas.openxmlformats.org/officeDocument/2006/relationships/table" Target="../tables/table88.xml"/><Relationship Id="rId90" Type="http://schemas.openxmlformats.org/officeDocument/2006/relationships/table" Target="../tables/table87.xml"/><Relationship Id="rId93" Type="http://schemas.openxmlformats.org/officeDocument/2006/relationships/table" Target="../tables/table90.xml"/><Relationship Id="rId92" Type="http://schemas.openxmlformats.org/officeDocument/2006/relationships/table" Target="../tables/table89.xml"/><Relationship Id="rId118" Type="http://schemas.openxmlformats.org/officeDocument/2006/relationships/table" Target="../tables/table115.xml"/><Relationship Id="rId117" Type="http://schemas.openxmlformats.org/officeDocument/2006/relationships/table" Target="../tables/table114.xml"/><Relationship Id="rId116" Type="http://schemas.openxmlformats.org/officeDocument/2006/relationships/table" Target="../tables/table113.xml"/><Relationship Id="rId115" Type="http://schemas.openxmlformats.org/officeDocument/2006/relationships/table" Target="../tables/table112.xml"/><Relationship Id="rId119" Type="http://schemas.openxmlformats.org/officeDocument/2006/relationships/table" Target="../tables/table116.xml"/><Relationship Id="rId110" Type="http://schemas.openxmlformats.org/officeDocument/2006/relationships/table" Target="../tables/table107.xml"/><Relationship Id="rId114" Type="http://schemas.openxmlformats.org/officeDocument/2006/relationships/table" Target="../tables/table111.xml"/><Relationship Id="rId113" Type="http://schemas.openxmlformats.org/officeDocument/2006/relationships/table" Target="../tables/table110.xml"/><Relationship Id="rId112" Type="http://schemas.openxmlformats.org/officeDocument/2006/relationships/table" Target="../tables/table109.xml"/><Relationship Id="rId111" Type="http://schemas.openxmlformats.org/officeDocument/2006/relationships/table" Target="../tables/table10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0.0" ySplit="11.0" topLeftCell="K12" activePane="bottomRight" state="frozen"/>
      <selection activeCell="K1" sqref="K1" pane="topRight"/>
      <selection activeCell="A12" sqref="A12" pane="bottomLeft"/>
      <selection activeCell="K12" sqref="K12" pane="bottomRight"/>
    </sheetView>
  </sheetViews>
  <sheetFormatPr customHeight="1" defaultColWidth="12.63" defaultRowHeight="15.75" outlineLevelCol="2"/>
  <cols>
    <col customWidth="1" min="1" max="1" width="8.38"/>
    <col customWidth="1" min="2" max="2" width="16.63"/>
    <col customWidth="1" min="3" max="3" width="4.88"/>
    <col customWidth="1" min="4" max="4" width="7.0"/>
    <col customWidth="1" min="5" max="5" width="9.5"/>
    <col customWidth="1" min="6" max="6" width="14.63" outlineLevel="1"/>
    <col customWidth="1" min="7" max="7" width="16.5" outlineLevel="1"/>
    <col customWidth="1" min="8" max="8" width="11.75" outlineLevel="1"/>
    <col customWidth="1" min="9" max="9" width="8.88" outlineLevel="1"/>
    <col customWidth="1" min="10" max="10" width="7.25"/>
    <col customWidth="1" hidden="1" min="11" max="11" width="14.13" outlineLevel="1"/>
    <col customWidth="1" hidden="1" min="12" max="12" width="14.25" outlineLevel="1"/>
    <col customWidth="1" hidden="1" min="13" max="13" width="12.63" outlineLevel="1"/>
    <col customWidth="1" hidden="1" min="14" max="14" width="13.63" outlineLevel="1"/>
    <col customWidth="1" min="15" max="15" width="14.13" outlineLevel="1"/>
    <col customWidth="1" min="16" max="16" width="14.25" outlineLevel="1"/>
    <col customWidth="1" min="17" max="17" width="12.63" outlineLevel="1"/>
    <col customWidth="1" min="18" max="18" width="13.63" outlineLevel="1"/>
    <col customWidth="1" min="19" max="22" width="12.63" outlineLevel="1"/>
    <col customWidth="1" min="23" max="23" width="13.5"/>
    <col customWidth="1" min="24" max="24" width="13.75"/>
    <col customWidth="1" min="25" max="25" width="14.75"/>
    <col customWidth="1" min="26" max="26" width="14.88"/>
    <col customWidth="1" min="27" max="28" width="8.88"/>
    <col customWidth="1" min="29" max="29" width="13.75" outlineLevel="1"/>
    <col customWidth="1" min="30" max="30" width="14.0" outlineLevel="1"/>
    <col customWidth="1" min="31" max="31" width="13.75" outlineLevel="1"/>
    <col customWidth="1" min="32" max="32" width="14.0" outlineLevel="1"/>
    <col customWidth="1" min="33" max="33" width="14.13" outlineLevel="1"/>
    <col customWidth="1" min="34" max="34" width="14.5" outlineLevel="1"/>
    <col customWidth="1" min="35" max="35" width="12.63" outlineLevel="1"/>
    <col customWidth="1" min="36" max="36" width="13.63" outlineLevel="1"/>
    <col customWidth="1" min="37" max="40" width="12.63" outlineLevel="1"/>
    <col customWidth="1" min="41" max="41" width="13.5" outlineLevel="1"/>
    <col customWidth="1" min="42" max="42" width="13.75" outlineLevel="1"/>
    <col customWidth="1" min="43" max="43" width="14.75"/>
    <col customWidth="1" min="44" max="44" width="14.88"/>
    <col customWidth="1" min="45" max="45" width="10.0"/>
    <col customWidth="1" min="46" max="46" width="8.88"/>
    <col customWidth="1" min="47" max="47" width="13.75" outlineLevel="1"/>
    <col customWidth="1" min="48" max="48" width="14.0" outlineLevel="1"/>
    <col customWidth="1" min="49" max="49" width="13.75" outlineLevel="1"/>
    <col customWidth="1" min="50" max="50" width="14.0" outlineLevel="1"/>
    <col customWidth="1" min="51" max="51" width="14.13" outlineLevel="1"/>
    <col customWidth="1" min="52" max="52" width="14.5" outlineLevel="1"/>
    <col customWidth="1" min="53" max="53" width="12.63" outlineLevel="1"/>
    <col customWidth="1" min="54" max="54" width="13.63" outlineLevel="1"/>
    <col customWidth="1" min="55" max="55" width="12.63" outlineLevel="1"/>
    <col customWidth="1" min="56" max="56" width="13.75" outlineLevel="1"/>
    <col customWidth="1" min="57" max="57" width="12.63" outlineLevel="1"/>
    <col customWidth="1" min="58" max="59" width="13.5" outlineLevel="1"/>
    <col customWidth="1" min="60" max="60" width="13.75" outlineLevel="1"/>
    <col customWidth="1" min="61" max="61" width="14.75"/>
    <col customWidth="1" min="62" max="62" width="14.88"/>
    <col customWidth="1" min="63" max="64" width="8.88"/>
    <col customWidth="1" min="65" max="65" width="13.5" outlineLevel="1"/>
    <col customWidth="1" min="66" max="78" width="12.63" outlineLevel="1"/>
    <col customWidth="1" min="79" max="79" width="14.75"/>
    <col customWidth="1" min="80" max="80" width="14.88"/>
    <col customWidth="1" min="81" max="82" width="8.88"/>
    <col customWidth="1" min="83" max="96" width="12.63" outlineLevel="1"/>
    <col customWidth="1" min="97" max="97" width="14.13"/>
    <col customWidth="1" min="98" max="98" width="12.63"/>
    <col customWidth="1" min="99" max="100" width="8.88"/>
    <col customWidth="1" min="101" max="103" width="12.63" outlineLevel="1"/>
    <col collapsed="1" customWidth="1" min="104" max="104" width="12.63" outlineLevel="1"/>
    <col customWidth="1" hidden="1" min="105" max="114" width="12.63" outlineLevel="2"/>
    <col customWidth="1" min="115" max="116" width="12.63"/>
    <col customWidth="1" min="117" max="120" width="8.88"/>
  </cols>
  <sheetData>
    <row r="1" ht="3.75" customHeight="1">
      <c r="A1" s="1"/>
      <c r="B1" s="2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6"/>
      <c r="AR1" s="6"/>
      <c r="AS1" s="6"/>
      <c r="AT1" s="6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6"/>
      <c r="BJ1" s="6"/>
      <c r="BK1" s="6"/>
      <c r="BL1" s="6"/>
      <c r="BM1" s="6"/>
      <c r="BN1" s="6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6"/>
      <c r="CB1" s="6"/>
      <c r="CC1" s="6"/>
      <c r="CD1" s="6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8"/>
      <c r="CT1" s="8"/>
      <c r="CU1" s="8"/>
      <c r="CV1" s="8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8"/>
      <c r="DL1" s="8"/>
      <c r="DM1" s="8"/>
      <c r="DN1" s="8"/>
      <c r="DO1" s="6"/>
      <c r="DP1" s="6"/>
    </row>
    <row r="2" ht="15.75" customHeight="1">
      <c r="A2" s="1"/>
      <c r="C2" s="9"/>
      <c r="D2" s="3" t="s">
        <v>0</v>
      </c>
      <c r="J2" s="4"/>
      <c r="K2" s="9"/>
      <c r="L2" s="9"/>
      <c r="M2" s="9"/>
      <c r="N2" s="9"/>
      <c r="O2" s="9"/>
      <c r="P2" s="9"/>
      <c r="Q2" s="9"/>
      <c r="R2" s="9"/>
      <c r="S2" s="9"/>
      <c r="T2" s="10"/>
      <c r="U2" s="9"/>
      <c r="V2" s="9"/>
      <c r="W2" s="9"/>
      <c r="X2" s="9"/>
      <c r="Y2" s="9"/>
      <c r="Z2" s="9"/>
      <c r="AA2" s="9"/>
      <c r="AB2" s="9"/>
      <c r="AC2" s="9"/>
      <c r="AD2" s="11"/>
      <c r="AE2" s="9"/>
      <c r="AF2" s="12"/>
      <c r="AG2" s="9"/>
      <c r="AH2" s="9"/>
      <c r="AI2" s="9"/>
      <c r="AJ2" s="12"/>
      <c r="AK2" s="9"/>
      <c r="AL2" s="10"/>
      <c r="AM2" s="9"/>
      <c r="AN2" s="9"/>
      <c r="AO2" s="9"/>
      <c r="AP2" s="9"/>
      <c r="AQ2" s="6"/>
      <c r="AR2" s="6"/>
      <c r="AS2" s="6"/>
      <c r="AT2" s="6"/>
      <c r="AU2" s="9"/>
      <c r="AV2" s="9"/>
      <c r="AW2" s="9"/>
      <c r="AX2" s="9"/>
      <c r="AY2" s="9"/>
      <c r="AZ2" s="9"/>
      <c r="BA2" s="9"/>
      <c r="BB2" s="9"/>
      <c r="BC2" s="9"/>
      <c r="BD2" s="10"/>
      <c r="BE2" s="9"/>
      <c r="BF2" s="9"/>
      <c r="BG2" s="9"/>
      <c r="BH2" s="9"/>
      <c r="BI2" s="6"/>
      <c r="BJ2" s="6"/>
      <c r="BK2" s="6"/>
      <c r="BL2" s="6"/>
      <c r="BM2" s="6"/>
      <c r="BN2" s="6"/>
      <c r="BO2" s="7"/>
      <c r="BP2" s="7"/>
      <c r="BQ2" s="7"/>
      <c r="BR2" s="7"/>
      <c r="BS2" s="7"/>
      <c r="BT2" s="7"/>
      <c r="BU2" s="7"/>
      <c r="BV2" s="13"/>
      <c r="BW2" s="7"/>
      <c r="BX2" s="7"/>
      <c r="BY2" s="14" t="s">
        <v>1</v>
      </c>
      <c r="BZ2" s="7"/>
      <c r="CA2" s="6"/>
      <c r="CB2" s="6"/>
      <c r="CC2" s="6"/>
      <c r="CD2" s="6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8"/>
      <c r="CT2" s="8"/>
      <c r="CU2" s="8"/>
      <c r="CV2" s="8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8"/>
      <c r="DL2" s="8"/>
      <c r="DM2" s="8"/>
      <c r="DN2" s="8"/>
      <c r="DO2" s="6"/>
      <c r="DP2" s="6"/>
    </row>
    <row r="3" ht="1.5" customHeight="1">
      <c r="A3" s="15"/>
      <c r="B3" s="16"/>
      <c r="C3" s="16"/>
      <c r="D3" s="16"/>
      <c r="E3" s="16"/>
      <c r="F3" s="17"/>
      <c r="G3" s="16"/>
      <c r="H3" s="16"/>
      <c r="I3" s="18"/>
      <c r="J3" s="19"/>
      <c r="K3" s="20" t="str">
        <f>#REF!</f>
        <v>#REF!</v>
      </c>
      <c r="L3" s="21">
        <f t="shared" ref="L3:N3" si="1">K10</f>
        <v>46111</v>
      </c>
      <c r="M3" s="20" t="str">
        <f t="shared" si="1"/>
        <v/>
      </c>
      <c r="N3" s="21">
        <f t="shared" si="1"/>
        <v>46112</v>
      </c>
      <c r="O3" s="20" t="str">
        <f>#REF!</f>
        <v>#REF!</v>
      </c>
      <c r="P3" s="21">
        <f t="shared" ref="P3:X3" si="2">O10</f>
        <v>46113</v>
      </c>
      <c r="Q3" s="20" t="str">
        <f t="shared" si="2"/>
        <v/>
      </c>
      <c r="R3" s="21">
        <f t="shared" si="2"/>
        <v>46114</v>
      </c>
      <c r="S3" s="20" t="str">
        <f t="shared" si="2"/>
        <v/>
      </c>
      <c r="T3" s="21">
        <f t="shared" si="2"/>
        <v>46115</v>
      </c>
      <c r="U3" s="20" t="str">
        <f t="shared" si="2"/>
        <v/>
      </c>
      <c r="V3" s="21">
        <f t="shared" si="2"/>
        <v>46116</v>
      </c>
      <c r="W3" s="20" t="str">
        <f t="shared" si="2"/>
        <v/>
      </c>
      <c r="X3" s="21">
        <f t="shared" si="2"/>
        <v>46117</v>
      </c>
      <c r="Y3" s="20"/>
      <c r="Z3" s="20"/>
      <c r="AA3" s="20"/>
      <c r="AB3" s="20"/>
      <c r="AC3" s="20" t="str">
        <f>#REF!</f>
        <v>#REF!</v>
      </c>
      <c r="AD3" s="21">
        <f t="shared" ref="AD3:AP3" si="3">AC10</f>
        <v>46118</v>
      </c>
      <c r="AE3" s="20" t="str">
        <f t="shared" si="3"/>
        <v/>
      </c>
      <c r="AF3" s="22">
        <f t="shared" si="3"/>
        <v>46119</v>
      </c>
      <c r="AG3" s="20" t="str">
        <f t="shared" si="3"/>
        <v/>
      </c>
      <c r="AH3" s="21">
        <f t="shared" si="3"/>
        <v>46120</v>
      </c>
      <c r="AI3" s="20" t="str">
        <f t="shared" si="3"/>
        <v/>
      </c>
      <c r="AJ3" s="22">
        <f t="shared" si="3"/>
        <v>46121</v>
      </c>
      <c r="AK3" s="20" t="str">
        <f t="shared" si="3"/>
        <v/>
      </c>
      <c r="AL3" s="21">
        <f t="shared" si="3"/>
        <v>46122</v>
      </c>
      <c r="AM3" s="20" t="str">
        <f t="shared" si="3"/>
        <v/>
      </c>
      <c r="AN3" s="21">
        <f t="shared" si="3"/>
        <v>46123</v>
      </c>
      <c r="AO3" s="20" t="str">
        <f t="shared" si="3"/>
        <v/>
      </c>
      <c r="AP3" s="21">
        <f t="shared" si="3"/>
        <v>46124</v>
      </c>
      <c r="AQ3" s="23"/>
      <c r="AR3" s="23"/>
      <c r="AS3" s="23"/>
      <c r="AT3" s="23"/>
      <c r="AU3" s="20" t="str">
        <f>AP10</f>
        <v/>
      </c>
      <c r="AV3" s="21">
        <f t="shared" ref="AV3:BH3" si="4">AU10</f>
        <v>46125</v>
      </c>
      <c r="AW3" s="20" t="str">
        <f t="shared" si="4"/>
        <v/>
      </c>
      <c r="AX3" s="21">
        <f t="shared" si="4"/>
        <v>46126</v>
      </c>
      <c r="AY3" s="20" t="str">
        <f t="shared" si="4"/>
        <v/>
      </c>
      <c r="AZ3" s="21">
        <f t="shared" si="4"/>
        <v>46127</v>
      </c>
      <c r="BA3" s="20" t="str">
        <f t="shared" si="4"/>
        <v/>
      </c>
      <c r="BB3" s="21">
        <f t="shared" si="4"/>
        <v>46128</v>
      </c>
      <c r="BC3" s="20" t="str">
        <f t="shared" si="4"/>
        <v/>
      </c>
      <c r="BD3" s="21">
        <f t="shared" si="4"/>
        <v>46129</v>
      </c>
      <c r="BE3" s="20" t="str">
        <f t="shared" si="4"/>
        <v/>
      </c>
      <c r="BF3" s="21">
        <f t="shared" si="4"/>
        <v>46130</v>
      </c>
      <c r="BG3" s="20" t="str">
        <f t="shared" si="4"/>
        <v/>
      </c>
      <c r="BH3" s="21">
        <f t="shared" si="4"/>
        <v>46131</v>
      </c>
      <c r="BI3" s="23"/>
      <c r="BJ3" s="23"/>
      <c r="BK3" s="23"/>
      <c r="BL3" s="23"/>
      <c r="BM3" s="23" t="str">
        <f>BH10</f>
        <v/>
      </c>
      <c r="BN3" s="24">
        <f t="shared" ref="BN3:BZ3" si="5">BM10</f>
        <v>46132</v>
      </c>
      <c r="BO3" s="25" t="str">
        <f t="shared" si="5"/>
        <v/>
      </c>
      <c r="BP3" s="26">
        <f t="shared" si="5"/>
        <v>46133</v>
      </c>
      <c r="BQ3" s="25" t="str">
        <f t="shared" si="5"/>
        <v/>
      </c>
      <c r="BR3" s="26">
        <f t="shared" si="5"/>
        <v>46134</v>
      </c>
      <c r="BS3" s="25" t="str">
        <f t="shared" si="5"/>
        <v/>
      </c>
      <c r="BT3" s="26">
        <f t="shared" si="5"/>
        <v>46135</v>
      </c>
      <c r="BU3" s="25" t="str">
        <f t="shared" si="5"/>
        <v/>
      </c>
      <c r="BV3" s="26">
        <f t="shared" si="5"/>
        <v>46136</v>
      </c>
      <c r="BW3" s="25" t="str">
        <f t="shared" si="5"/>
        <v/>
      </c>
      <c r="BX3" s="26">
        <f t="shared" si="5"/>
        <v>46137</v>
      </c>
      <c r="BY3" s="25" t="str">
        <f t="shared" si="5"/>
        <v/>
      </c>
      <c r="BZ3" s="26">
        <f t="shared" si="5"/>
        <v>46138</v>
      </c>
      <c r="CA3" s="23"/>
      <c r="CB3" s="23"/>
      <c r="CC3" s="23"/>
      <c r="CD3" s="23"/>
      <c r="CE3" s="20" t="str">
        <f>BZ10</f>
        <v/>
      </c>
      <c r="CF3" s="21">
        <f t="shared" ref="CF3:CR3" si="6">CE10</f>
        <v>46139</v>
      </c>
      <c r="CG3" s="20" t="str">
        <f t="shared" si="6"/>
        <v/>
      </c>
      <c r="CH3" s="21">
        <f t="shared" si="6"/>
        <v>46140</v>
      </c>
      <c r="CI3" s="20" t="str">
        <f t="shared" si="6"/>
        <v/>
      </c>
      <c r="CJ3" s="21">
        <f t="shared" si="6"/>
        <v>46141</v>
      </c>
      <c r="CK3" s="20" t="str">
        <f t="shared" si="6"/>
        <v/>
      </c>
      <c r="CL3" s="21">
        <f t="shared" si="6"/>
        <v>46142</v>
      </c>
      <c r="CM3" s="20" t="str">
        <f t="shared" si="6"/>
        <v/>
      </c>
      <c r="CN3" s="21">
        <f t="shared" si="6"/>
        <v>46143</v>
      </c>
      <c r="CO3" s="20" t="str">
        <f t="shared" si="6"/>
        <v/>
      </c>
      <c r="CP3" s="21">
        <f t="shared" si="6"/>
        <v>46144</v>
      </c>
      <c r="CQ3" s="20" t="str">
        <f t="shared" si="6"/>
        <v/>
      </c>
      <c r="CR3" s="21">
        <f t="shared" si="6"/>
        <v>46145</v>
      </c>
      <c r="CS3" s="27"/>
      <c r="CT3" s="27"/>
      <c r="CU3" s="27"/>
      <c r="CV3" s="27"/>
      <c r="CW3" s="20" t="str">
        <f>CR10</f>
        <v/>
      </c>
      <c r="CX3" s="21">
        <f t="shared" ref="CX3:DJ3" si="7">CW10</f>
        <v>46146</v>
      </c>
      <c r="CY3" s="20" t="str">
        <f t="shared" si="7"/>
        <v/>
      </c>
      <c r="CZ3" s="21">
        <f t="shared" si="7"/>
        <v>46147</v>
      </c>
      <c r="DA3" s="20" t="str">
        <f t="shared" si="7"/>
        <v/>
      </c>
      <c r="DB3" s="21">
        <f t="shared" si="7"/>
        <v>46148</v>
      </c>
      <c r="DC3" s="20" t="str">
        <f t="shared" si="7"/>
        <v/>
      </c>
      <c r="DD3" s="21">
        <f t="shared" si="7"/>
        <v>46149</v>
      </c>
      <c r="DE3" s="20" t="str">
        <f t="shared" si="7"/>
        <v/>
      </c>
      <c r="DF3" s="21">
        <f t="shared" si="7"/>
        <v>46150</v>
      </c>
      <c r="DG3" s="20" t="str">
        <f t="shared" si="7"/>
        <v/>
      </c>
      <c r="DH3" s="21">
        <f t="shared" si="7"/>
        <v>46151</v>
      </c>
      <c r="DI3" s="20" t="str">
        <f t="shared" si="7"/>
        <v/>
      </c>
      <c r="DJ3" s="21">
        <f t="shared" si="7"/>
        <v>46152</v>
      </c>
      <c r="DK3" s="27"/>
      <c r="DL3" s="27"/>
      <c r="DM3" s="27"/>
      <c r="DN3" s="27"/>
      <c r="DO3" s="28"/>
      <c r="DP3" s="28"/>
    </row>
    <row r="4">
      <c r="A4" s="29"/>
      <c r="B4" s="30" t="s">
        <v>2</v>
      </c>
      <c r="F4" s="9"/>
      <c r="G4" s="30"/>
      <c r="I4" s="31"/>
      <c r="J4" s="19"/>
      <c r="K4" s="32" t="s">
        <v>3</v>
      </c>
      <c r="L4" s="33" t="s">
        <v>4</v>
      </c>
      <c r="M4" s="32" t="s">
        <v>3</v>
      </c>
      <c r="N4" s="33" t="s">
        <v>4</v>
      </c>
      <c r="O4" s="32" t="s">
        <v>3</v>
      </c>
      <c r="P4" s="33" t="s">
        <v>4</v>
      </c>
      <c r="Q4" s="32" t="s">
        <v>3</v>
      </c>
      <c r="R4" s="33" t="s">
        <v>4</v>
      </c>
      <c r="S4" s="32" t="s">
        <v>3</v>
      </c>
      <c r="T4" s="33" t="s">
        <v>4</v>
      </c>
      <c r="U4" s="32" t="s">
        <v>3</v>
      </c>
      <c r="V4" s="33" t="s">
        <v>4</v>
      </c>
      <c r="W4" s="32" t="s">
        <v>3</v>
      </c>
      <c r="X4" s="33" t="s">
        <v>4</v>
      </c>
      <c r="Y4" s="34" t="s">
        <v>3</v>
      </c>
      <c r="Z4" s="35"/>
      <c r="AA4" s="36" t="s">
        <v>4</v>
      </c>
      <c r="AB4" s="37"/>
      <c r="AC4" s="38" t="s">
        <v>3</v>
      </c>
      <c r="AD4" s="33" t="s">
        <v>4</v>
      </c>
      <c r="AE4" s="38" t="s">
        <v>3</v>
      </c>
      <c r="AF4" s="39" t="s">
        <v>4</v>
      </c>
      <c r="AG4" s="32" t="s">
        <v>3</v>
      </c>
      <c r="AH4" s="33" t="s">
        <v>4</v>
      </c>
      <c r="AI4" s="32" t="s">
        <v>3</v>
      </c>
      <c r="AJ4" s="39" t="s">
        <v>4</v>
      </c>
      <c r="AK4" s="32" t="s">
        <v>3</v>
      </c>
      <c r="AL4" s="33" t="s">
        <v>4</v>
      </c>
      <c r="AM4" s="32" t="s">
        <v>3</v>
      </c>
      <c r="AN4" s="33" t="s">
        <v>4</v>
      </c>
      <c r="AO4" s="32" t="s">
        <v>3</v>
      </c>
      <c r="AP4" s="33" t="s">
        <v>4</v>
      </c>
      <c r="AQ4" s="34" t="s">
        <v>3</v>
      </c>
      <c r="AR4" s="35"/>
      <c r="AS4" s="36" t="s">
        <v>4</v>
      </c>
      <c r="AT4" s="37"/>
      <c r="AU4" s="38" t="s">
        <v>3</v>
      </c>
      <c r="AV4" s="33" t="s">
        <v>4</v>
      </c>
      <c r="AW4" s="38" t="s">
        <v>3</v>
      </c>
      <c r="AX4" s="33" t="s">
        <v>4</v>
      </c>
      <c r="AY4" s="32" t="s">
        <v>3</v>
      </c>
      <c r="AZ4" s="33" t="s">
        <v>4</v>
      </c>
      <c r="BA4" s="32" t="s">
        <v>3</v>
      </c>
      <c r="BB4" s="33" t="s">
        <v>4</v>
      </c>
      <c r="BC4" s="32" t="s">
        <v>3</v>
      </c>
      <c r="BD4" s="33" t="s">
        <v>4</v>
      </c>
      <c r="BE4" s="32" t="s">
        <v>3</v>
      </c>
      <c r="BF4" s="33" t="s">
        <v>4</v>
      </c>
      <c r="BG4" s="32" t="s">
        <v>3</v>
      </c>
      <c r="BH4" s="33" t="s">
        <v>4</v>
      </c>
      <c r="BI4" s="40" t="s">
        <v>3</v>
      </c>
      <c r="BJ4" s="41"/>
      <c r="BK4" s="42" t="s">
        <v>4</v>
      </c>
      <c r="BL4" s="43"/>
      <c r="BM4" s="44" t="s">
        <v>3</v>
      </c>
      <c r="BN4" s="42" t="s">
        <v>4</v>
      </c>
      <c r="BO4" s="44" t="s">
        <v>3</v>
      </c>
      <c r="BP4" s="42" t="s">
        <v>4</v>
      </c>
      <c r="BQ4" s="44" t="s">
        <v>3</v>
      </c>
      <c r="BR4" s="42" t="s">
        <v>4</v>
      </c>
      <c r="BS4" s="45" t="s">
        <v>3</v>
      </c>
      <c r="BT4" s="46" t="s">
        <v>4</v>
      </c>
      <c r="BU4" s="45" t="s">
        <v>3</v>
      </c>
      <c r="BV4" s="46" t="s">
        <v>4</v>
      </c>
      <c r="BW4" s="45" t="s">
        <v>3</v>
      </c>
      <c r="BX4" s="46" t="s">
        <v>4</v>
      </c>
      <c r="BY4" s="45" t="s">
        <v>3</v>
      </c>
      <c r="BZ4" s="47" t="s">
        <v>4</v>
      </c>
      <c r="CA4" s="40" t="s">
        <v>3</v>
      </c>
      <c r="CB4" s="41"/>
      <c r="CC4" s="42" t="s">
        <v>4</v>
      </c>
      <c r="CD4" s="43"/>
      <c r="CE4" s="38" t="s">
        <v>3</v>
      </c>
      <c r="CF4" s="33" t="s">
        <v>4</v>
      </c>
      <c r="CG4" s="32" t="s">
        <v>3</v>
      </c>
      <c r="CH4" s="33" t="s">
        <v>4</v>
      </c>
      <c r="CI4" s="32" t="s">
        <v>3</v>
      </c>
      <c r="CJ4" s="33" t="s">
        <v>4</v>
      </c>
      <c r="CK4" s="32" t="s">
        <v>3</v>
      </c>
      <c r="CL4" s="33" t="s">
        <v>4</v>
      </c>
      <c r="CM4" s="32" t="s">
        <v>3</v>
      </c>
      <c r="CN4" s="33" t="s">
        <v>4</v>
      </c>
      <c r="CO4" s="32" t="s">
        <v>3</v>
      </c>
      <c r="CP4" s="33" t="s">
        <v>4</v>
      </c>
      <c r="CQ4" s="32" t="s">
        <v>3</v>
      </c>
      <c r="CR4" s="33" t="s">
        <v>4</v>
      </c>
      <c r="CS4" s="48" t="s">
        <v>3</v>
      </c>
      <c r="CT4" s="49"/>
      <c r="CU4" s="50" t="s">
        <v>4</v>
      </c>
      <c r="CV4" s="43"/>
      <c r="CW4" s="38" t="s">
        <v>3</v>
      </c>
      <c r="CX4" s="33" t="s">
        <v>4</v>
      </c>
      <c r="CY4" s="32" t="s">
        <v>3</v>
      </c>
      <c r="CZ4" s="33" t="s">
        <v>4</v>
      </c>
      <c r="DA4" s="32" t="s">
        <v>3</v>
      </c>
      <c r="DB4" s="33" t="s">
        <v>4</v>
      </c>
      <c r="DC4" s="32" t="s">
        <v>3</v>
      </c>
      <c r="DD4" s="33" t="s">
        <v>4</v>
      </c>
      <c r="DE4" s="32" t="s">
        <v>3</v>
      </c>
      <c r="DF4" s="33" t="s">
        <v>4</v>
      </c>
      <c r="DG4" s="32" t="s">
        <v>3</v>
      </c>
      <c r="DH4" s="33" t="s">
        <v>4</v>
      </c>
      <c r="DI4" s="32" t="s">
        <v>3</v>
      </c>
      <c r="DJ4" s="33" t="s">
        <v>4</v>
      </c>
      <c r="DK4" s="48" t="s">
        <v>3</v>
      </c>
      <c r="DL4" s="49"/>
      <c r="DM4" s="50" t="s">
        <v>4</v>
      </c>
      <c r="DN4" s="43"/>
      <c r="DO4" s="42"/>
      <c r="DP4" s="42"/>
    </row>
    <row r="5" ht="3.75" customHeight="1">
      <c r="A5" s="29"/>
      <c r="B5" s="31"/>
      <c r="C5" s="51"/>
      <c r="D5" s="52"/>
      <c r="E5" s="9"/>
      <c r="F5" s="9"/>
      <c r="G5" s="53"/>
      <c r="H5" s="53"/>
      <c r="I5" s="9"/>
      <c r="J5" s="54"/>
      <c r="K5" s="55"/>
      <c r="L5" s="56"/>
      <c r="M5" s="55"/>
      <c r="N5" s="56"/>
      <c r="O5" s="55"/>
      <c r="P5" s="56"/>
      <c r="Q5" s="55"/>
      <c r="R5" s="56"/>
      <c r="S5" s="55"/>
      <c r="T5" s="56"/>
      <c r="U5" s="55"/>
      <c r="V5" s="56"/>
      <c r="W5" s="55"/>
      <c r="X5" s="56"/>
      <c r="Y5" s="57"/>
      <c r="Z5" s="41"/>
      <c r="AA5" s="58"/>
      <c r="AB5" s="43"/>
      <c r="AC5" s="41"/>
      <c r="AD5" s="56"/>
      <c r="AE5" s="41"/>
      <c r="AF5" s="56"/>
      <c r="AG5" s="55"/>
      <c r="AH5" s="56"/>
      <c r="AI5" s="55"/>
      <c r="AJ5" s="56"/>
      <c r="AK5" s="55"/>
      <c r="AL5" s="56"/>
      <c r="AM5" s="55"/>
      <c r="AN5" s="56"/>
      <c r="AO5" s="55"/>
      <c r="AP5" s="56"/>
      <c r="AQ5" s="57"/>
      <c r="AR5" s="41"/>
      <c r="AS5" s="58"/>
      <c r="AT5" s="43"/>
      <c r="AU5" s="41"/>
      <c r="AV5" s="56"/>
      <c r="AW5" s="41"/>
      <c r="AX5" s="56"/>
      <c r="AY5" s="55"/>
      <c r="AZ5" s="56"/>
      <c r="BA5" s="55"/>
      <c r="BB5" s="56"/>
      <c r="BC5" s="55"/>
      <c r="BD5" s="56"/>
      <c r="BE5" s="55"/>
      <c r="BF5" s="56"/>
      <c r="BG5" s="55"/>
      <c r="BH5" s="56"/>
      <c r="BI5" s="57"/>
      <c r="BJ5" s="41"/>
      <c r="BL5" s="43"/>
      <c r="BM5" s="59"/>
      <c r="BO5" s="59"/>
      <c r="BQ5" s="59"/>
      <c r="BS5" s="41"/>
      <c r="BT5" s="49"/>
      <c r="BU5" s="41"/>
      <c r="BV5" s="49"/>
      <c r="BW5" s="41"/>
      <c r="BX5" s="49"/>
      <c r="BY5" s="41"/>
      <c r="CA5" s="57"/>
      <c r="CB5" s="41"/>
      <c r="CD5" s="43"/>
      <c r="CE5" s="41"/>
      <c r="CF5" s="56"/>
      <c r="CG5" s="55"/>
      <c r="CH5" s="56"/>
      <c r="CI5" s="55"/>
      <c r="CJ5" s="56"/>
      <c r="CK5" s="55"/>
      <c r="CL5" s="56"/>
      <c r="CM5" s="55"/>
      <c r="CN5" s="56"/>
      <c r="CO5" s="55"/>
      <c r="CP5" s="56"/>
      <c r="CQ5" s="55"/>
      <c r="CR5" s="56"/>
      <c r="CS5" s="57"/>
      <c r="CT5" s="49"/>
      <c r="CV5" s="43"/>
      <c r="CW5" s="41"/>
      <c r="CX5" s="56"/>
      <c r="CY5" s="55"/>
      <c r="CZ5" s="56"/>
      <c r="DA5" s="55"/>
      <c r="DB5" s="56"/>
      <c r="DC5" s="55"/>
      <c r="DD5" s="56"/>
      <c r="DE5" s="55"/>
      <c r="DF5" s="56"/>
      <c r="DG5" s="55"/>
      <c r="DH5" s="56"/>
      <c r="DI5" s="55"/>
      <c r="DJ5" s="56"/>
      <c r="DK5" s="57"/>
      <c r="DL5" s="49"/>
      <c r="DN5" s="43"/>
      <c r="DO5" s="42"/>
      <c r="DP5" s="42"/>
    </row>
    <row r="6">
      <c r="A6" s="60" t="s">
        <v>5</v>
      </c>
      <c r="B6" s="31" t="s">
        <v>6</v>
      </c>
      <c r="C6" s="51"/>
      <c r="D6" s="61">
        <v>0.4</v>
      </c>
      <c r="E6" s="9"/>
      <c r="F6" s="9"/>
      <c r="G6" s="62">
        <v>46113.0</v>
      </c>
      <c r="H6" s="63"/>
      <c r="I6" s="9"/>
      <c r="J6" s="54"/>
      <c r="K6" s="64"/>
      <c r="L6" s="65"/>
      <c r="M6" s="64"/>
      <c r="N6" s="65"/>
      <c r="O6" s="64"/>
      <c r="P6" s="65"/>
      <c r="Q6" s="64"/>
      <c r="R6" s="65"/>
      <c r="S6" s="64"/>
      <c r="T6" s="65"/>
      <c r="U6" s="64"/>
      <c r="V6" s="65"/>
      <c r="W6" s="64"/>
      <c r="X6" s="65"/>
      <c r="Y6" s="66"/>
      <c r="Z6" s="67"/>
      <c r="AA6" s="68"/>
      <c r="AB6" s="69"/>
      <c r="AC6" s="67"/>
      <c r="AD6" s="65"/>
      <c r="AE6" s="67"/>
      <c r="AF6" s="65"/>
      <c r="AG6" s="64"/>
      <c r="AH6" s="65"/>
      <c r="AI6" s="64"/>
      <c r="AJ6" s="65"/>
      <c r="AK6" s="64"/>
      <c r="AL6" s="65"/>
      <c r="AM6" s="64"/>
      <c r="AN6" s="65"/>
      <c r="AO6" s="64"/>
      <c r="AP6" s="65"/>
      <c r="AQ6" s="66"/>
      <c r="AR6" s="67"/>
      <c r="AS6" s="68"/>
      <c r="AT6" s="69"/>
      <c r="AU6" s="67"/>
      <c r="AV6" s="65"/>
      <c r="AW6" s="67"/>
      <c r="AX6" s="65"/>
      <c r="AY6" s="64"/>
      <c r="AZ6" s="65"/>
      <c r="BA6" s="64"/>
      <c r="BB6" s="65"/>
      <c r="BC6" s="64"/>
      <c r="BD6" s="65"/>
      <c r="BE6" s="64"/>
      <c r="BF6" s="65"/>
      <c r="BG6" s="64"/>
      <c r="BH6" s="65"/>
      <c r="BI6" s="66"/>
      <c r="BJ6" s="67"/>
      <c r="BK6" s="70"/>
      <c r="BL6" s="69"/>
      <c r="BM6" s="71"/>
      <c r="BN6" s="70"/>
      <c r="BO6" s="71"/>
      <c r="BP6" s="70"/>
      <c r="BQ6" s="71"/>
      <c r="BR6" s="70"/>
      <c r="BS6" s="67"/>
      <c r="BT6" s="72"/>
      <c r="BU6" s="67"/>
      <c r="BV6" s="72"/>
      <c r="BW6" s="67"/>
      <c r="BX6" s="72"/>
      <c r="BY6" s="67"/>
      <c r="BZ6" s="70"/>
      <c r="CA6" s="66"/>
      <c r="CB6" s="67"/>
      <c r="CC6" s="70"/>
      <c r="CD6" s="69"/>
      <c r="CE6" s="67"/>
      <c r="CF6" s="65"/>
      <c r="CG6" s="64"/>
      <c r="CH6" s="65"/>
      <c r="CI6" s="64"/>
      <c r="CJ6" s="65"/>
      <c r="CK6" s="64"/>
      <c r="CL6" s="65"/>
      <c r="CM6" s="64"/>
      <c r="CN6" s="65"/>
      <c r="CO6" s="64"/>
      <c r="CP6" s="65"/>
      <c r="CQ6" s="64"/>
      <c r="CR6" s="65"/>
      <c r="CS6" s="66"/>
      <c r="CT6" s="72"/>
      <c r="CU6" s="70"/>
      <c r="CV6" s="69"/>
      <c r="CW6" s="67"/>
      <c r="CX6" s="65"/>
      <c r="CY6" s="64"/>
      <c r="CZ6" s="65"/>
      <c r="DA6" s="64"/>
      <c r="DB6" s="65"/>
      <c r="DC6" s="64"/>
      <c r="DD6" s="65"/>
      <c r="DE6" s="64"/>
      <c r="DF6" s="65"/>
      <c r="DG6" s="64"/>
      <c r="DH6" s="65"/>
      <c r="DI6" s="64"/>
      <c r="DJ6" s="65"/>
      <c r="DK6" s="66"/>
      <c r="DL6" s="72"/>
      <c r="DM6" s="70"/>
      <c r="DN6" s="69"/>
      <c r="DO6" s="42"/>
      <c r="DP6" s="42"/>
    </row>
    <row r="7">
      <c r="A7" s="60" t="s">
        <v>7</v>
      </c>
      <c r="B7" s="73" t="s">
        <v>8</v>
      </c>
      <c r="C7" s="74"/>
      <c r="D7" s="75">
        <v>0.7</v>
      </c>
      <c r="E7" s="9"/>
      <c r="F7" s="9"/>
      <c r="G7" s="76"/>
      <c r="H7" s="77"/>
      <c r="I7" s="78"/>
      <c r="J7" s="79"/>
      <c r="K7" s="80" t="str">
        <f>IFERROR(L151/K151,"")</f>
        <v/>
      </c>
      <c r="L7" s="81" t="str">
        <f>IF(K12&lt;&gt;0,IF((L12-K12)&gt;0,"Не в плане","В плане"),)</f>
        <v/>
      </c>
      <c r="M7" s="80" t="str">
        <f>IFERROR(N151/M151,"")</f>
        <v/>
      </c>
      <c r="N7" s="81" t="str">
        <f>IF(M12&lt;&gt;0,IF((N12-M12)&gt;0,"Не в плане","В плане"),)</f>
        <v/>
      </c>
      <c r="O7" s="80" t="str">
        <f>IFERROR(P151/O151,"")</f>
        <v/>
      </c>
      <c r="P7" s="81" t="str">
        <f>IF(O12&lt;&gt;0,IF((P12-O12)&gt;0,"Не в плане","В плане"),)</f>
        <v>В плане</v>
      </c>
      <c r="Q7" s="80" t="str">
        <f>IFERROR(R151/Q151,"")</f>
        <v/>
      </c>
      <c r="R7" s="81" t="str">
        <f>IF(Q12&lt;&gt;0,IF((R12-Q12)&gt;0,"Не в плане","В плане"),)</f>
        <v>В плане</v>
      </c>
      <c r="S7" s="80" t="str">
        <f>IFERROR(T151/S151,"")</f>
        <v/>
      </c>
      <c r="T7" s="81" t="str">
        <f>IF(S12&lt;&gt;0,IF((T12-S12)&gt;0,"Не в плане","В плане"),)</f>
        <v>В плане</v>
      </c>
      <c r="U7" s="80" t="str">
        <f>IFERROR(V151/U151,"")</f>
        <v/>
      </c>
      <c r="V7" s="81" t="str">
        <f>IF(U12&lt;&gt;0,IF((V12-U12)&gt;0,"Не в плане","В плане"),)</f>
        <v>В плане</v>
      </c>
      <c r="W7" s="80" t="str">
        <f>IFERROR(X151/W151,"")</f>
        <v/>
      </c>
      <c r="X7" s="81" t="str">
        <f>IF(W12&lt;&gt;0,IF((X12-W12)&gt;0,"Не в плане","В плане"),)</f>
        <v>В плане</v>
      </c>
      <c r="Y7" s="82" t="str">
        <f>IFERROR(Z150/Y150,"")</f>
        <v/>
      </c>
      <c r="Z7" s="83"/>
      <c r="AA7" s="84">
        <f>AA12</f>
        <v>0.3288275686</v>
      </c>
      <c r="AB7" s="85"/>
      <c r="AC7" s="80">
        <f>IFERROR(AD150/AC150,"")</f>
        <v>0</v>
      </c>
      <c r="AD7" s="81" t="str">
        <f>IF(AC12&lt;&gt;0,IF((AD12-AC12)&gt;0,"Не в плане","В плане"),)</f>
        <v>В плане</v>
      </c>
      <c r="AE7" s="80">
        <f>IFERROR(AF150/AE150,"")</f>
        <v>0</v>
      </c>
      <c r="AF7" s="81" t="str">
        <f>IF(AE12&lt;&gt;0,IF((AF12-AE12)&gt;0,"Не в плане","В плане"),)</f>
        <v>В плане</v>
      </c>
      <c r="AG7" s="80">
        <f>IFERROR(AH151/AG151,"")</f>
        <v>0</v>
      </c>
      <c r="AH7" s="81" t="str">
        <f>IF(AG12&lt;&gt;0,IF((AH12-AG12)&gt;0,"Не в плане","В плане"),)</f>
        <v>В плане</v>
      </c>
      <c r="AI7" s="80">
        <f>IFERROR(AJ151/AI151,"")</f>
        <v>0</v>
      </c>
      <c r="AJ7" s="81" t="str">
        <f>IF(AI12&lt;&gt;0,IF((AJ12-AI12)&gt;0,"Не в плане","В плане"),)</f>
        <v>В плане</v>
      </c>
      <c r="AK7" s="80">
        <f>IFERROR(AL151/AK151,"")</f>
        <v>0</v>
      </c>
      <c r="AL7" s="81" t="str">
        <f>IF(AK12&lt;&gt;0,IF((AL12-AK12)&gt;0,"Не в плане","В плане"),)</f>
        <v>В плане</v>
      </c>
      <c r="AM7" s="80">
        <f>IFERROR(AN151/AM151,"")</f>
        <v>0</v>
      </c>
      <c r="AN7" s="81" t="str">
        <f>IF(AM12&lt;&gt;0,IF((AN12-AM12)&gt;0,"Не в плане","В плане"),)</f>
        <v>В плане</v>
      </c>
      <c r="AO7" s="80">
        <f>IFERROR(AP151/AO151,"")</f>
        <v>0</v>
      </c>
      <c r="AP7" s="81" t="str">
        <f>IF(AO12&lt;&gt;0,IF((AP12-AO12)&gt;0,"Не в плане","В плане"),)</f>
        <v>В плане</v>
      </c>
      <c r="AQ7" s="82">
        <f>IFERROR(AR150/AQ150,"")</f>
        <v>0</v>
      </c>
      <c r="AR7" s="86"/>
      <c r="AS7" s="84">
        <f>AS12</f>
        <v>1.143669468</v>
      </c>
      <c r="AT7" s="85"/>
      <c r="AU7" s="87" t="str">
        <f>IFERROR(AV150/AU150,"")</f>
        <v/>
      </c>
      <c r="AV7" s="81" t="str">
        <f>IF(AU12&lt;&gt;0,IF((AV12-AU12)&gt;0,"Не в плане","В плане"),)</f>
        <v>В плане</v>
      </c>
      <c r="AW7" s="80" t="str">
        <f>IFERROR(AX150/AW150,"")</f>
        <v/>
      </c>
      <c r="AX7" s="81" t="str">
        <f>IF(AW12&lt;&gt;0,IF((AX12-AW12)&gt;0,"Не в плане","В плане"),)</f>
        <v>В плане</v>
      </c>
      <c r="AY7" s="80" t="str">
        <f>IFERROR(AZ151/AY151,"")</f>
        <v/>
      </c>
      <c r="AZ7" s="81" t="str">
        <f>IF(AY12&lt;&gt;0,IF((AZ12-AY12)&gt;0,"Не в плане","В плане"),)</f>
        <v>В плане</v>
      </c>
      <c r="BA7" s="80" t="str">
        <f>IFERROR(BB151/BA151,"")</f>
        <v/>
      </c>
      <c r="BB7" s="81" t="str">
        <f>IF(BA12&lt;&gt;0,IF((BB12-BA12)&gt;0,"Не в плане","В плане"),)</f>
        <v>В плане</v>
      </c>
      <c r="BC7" s="80" t="str">
        <f>IFERROR(BD151/BC151,"")</f>
        <v/>
      </c>
      <c r="BD7" s="81" t="str">
        <f>IF(BC12&lt;&gt;0,IF((BD12-BC12)&gt;0,"Не в плане","В плане"),)</f>
        <v>В плане</v>
      </c>
      <c r="BE7" s="80" t="str">
        <f>IFERROR(BF151/BE151,"")</f>
        <v/>
      </c>
      <c r="BF7" s="81" t="str">
        <f>IF(BE12&lt;&gt;0,IF((BF12-BE12)&gt;0,"Не в плане","В плане"),)</f>
        <v>В плане</v>
      </c>
      <c r="BG7" s="80" t="str">
        <f>IFERROR(BH151/BG151,"")</f>
        <v/>
      </c>
      <c r="BH7" s="88" t="str">
        <f>IF(BG12&lt;&gt;0,IF((BH12-BG12)&gt;0,"Не в плане","В плане"),)</f>
        <v>В плане</v>
      </c>
      <c r="BI7" s="89" t="str">
        <f>IFERROR(BJ150/BI150,"")</f>
        <v/>
      </c>
      <c r="BJ7" s="90"/>
      <c r="BK7" s="91" t="str">
        <f>IFERROR(__xludf.DUMMYFUNCTION("BL12"),"")</f>
        <v/>
      </c>
      <c r="BL7" s="69"/>
      <c r="BM7" s="87" t="str">
        <f>IFERROR(BN150/BM150,"")</f>
        <v/>
      </c>
      <c r="BN7" s="81" t="str">
        <f>IF(BM12&lt;&gt;0,IF((BN12-BM12)&gt;0,"Не в плане","В плане"),)</f>
        <v>В плане</v>
      </c>
      <c r="BO7" s="87" t="str">
        <f>IFERROR(BP150/BO150,"")</f>
        <v/>
      </c>
      <c r="BP7" s="81" t="str">
        <f>IF(BO12&lt;&gt;0,IF((BP12-BO12)&gt;0,"Не в плане","В плане"),)</f>
        <v>В плане</v>
      </c>
      <c r="BQ7" s="87" t="str">
        <f>IFERROR(BR151/BQ151,"")</f>
        <v/>
      </c>
      <c r="BR7" s="81" t="str">
        <f>IF(BQ12&lt;&gt;0,IF((BR12-BQ12)&gt;0,"Не в плане","В плане"),)</f>
        <v>В плане</v>
      </c>
      <c r="BS7" s="92" t="str">
        <f>IFERROR(BT151/BS151,"")</f>
        <v/>
      </c>
      <c r="BT7" s="81" t="str">
        <f>IF(BS12&lt;&gt;0,IF((BT12-BS12)&gt;0,"Не в плане","В плане"),)</f>
        <v>В плане</v>
      </c>
      <c r="BU7" s="92" t="str">
        <f>IFERROR(BV151/BU151,"")</f>
        <v/>
      </c>
      <c r="BV7" s="81" t="str">
        <f>IF(BU12&lt;&gt;0,IF((BV12-BU12)&gt;0,"Не в плане","В плане"),)</f>
        <v>В плане</v>
      </c>
      <c r="BW7" s="92" t="str">
        <f>IFERROR(BX151/BW151,"")</f>
        <v/>
      </c>
      <c r="BX7" s="81" t="str">
        <f>IF(BW12&lt;&gt;0,IF((BX12-BW12)&gt;0,"Не в плане","В плане"),)</f>
        <v>В плане</v>
      </c>
      <c r="BY7" s="92" t="str">
        <f>IFERROR(BZ151/BY151,"")</f>
        <v/>
      </c>
      <c r="BZ7" s="88" t="str">
        <f>IF(BY12&lt;&gt;0,IF((BZ12-BY12)&gt;0,"Не в плане","В плане"),)</f>
        <v>В плане</v>
      </c>
      <c r="CA7" s="89" t="str">
        <f>IFERROR(CB150/CA150,"")</f>
        <v/>
      </c>
      <c r="CB7" s="90"/>
      <c r="CC7" s="91" t="str">
        <f>IFERROR(__xludf.DUMMYFUNCTION("CD12"),"")</f>
        <v/>
      </c>
      <c r="CD7" s="69"/>
      <c r="CE7" s="87" t="str">
        <f>IFERROR(CF150/CE150,"")</f>
        <v/>
      </c>
      <c r="CF7" s="81" t="str">
        <f>IF(CE12&lt;&gt;0,IF((CF12-CE12)&gt;0,"Не в плане","В плане"),)</f>
        <v>В плане</v>
      </c>
      <c r="CG7" s="80" t="str">
        <f>IFERROR(CH150/CG150,"")</f>
        <v/>
      </c>
      <c r="CH7" s="81" t="str">
        <f>IF(CG12&lt;&gt;0,IF((CH12-CG12)&gt;0,"Не в плане","В плане"),)</f>
        <v>В плане</v>
      </c>
      <c r="CI7" s="80" t="str">
        <f>IFERROR(CJ151/CI151,"")</f>
        <v/>
      </c>
      <c r="CJ7" s="81" t="str">
        <f>IF(CI12&lt;&gt;0,IF((CJ12-CI12)&gt;0,"Не в плане","В плане"),)</f>
        <v>В плане</v>
      </c>
      <c r="CK7" s="80" t="str">
        <f>IFERROR(CL151/CK151,"")</f>
        <v/>
      </c>
      <c r="CL7" s="81" t="str">
        <f>IF(CK12&lt;&gt;0,IF((CL12-CK12)&gt;0,"Не в плане","В плане"),)</f>
        <v>В плане</v>
      </c>
      <c r="CM7" s="80" t="str">
        <f>IFERROR(CN151/CM151,"")</f>
        <v/>
      </c>
      <c r="CN7" s="81" t="str">
        <f>IF(CM12&lt;&gt;0,IF((CN12-CM12)&gt;0,"Не в плане","В плане"),)</f>
        <v/>
      </c>
      <c r="CO7" s="80" t="str">
        <f>IFERROR(CP151/CO151,"")</f>
        <v/>
      </c>
      <c r="CP7" s="81" t="str">
        <f>IF(CO12&lt;&gt;0,IF((CP12-CO12)&gt;0,"Не в плане","В плане"),)</f>
        <v/>
      </c>
      <c r="CQ7" s="80" t="str">
        <f>IFERROR(CR151/CQ151,"")</f>
        <v/>
      </c>
      <c r="CR7" s="88" t="str">
        <f>IF(CQ12&lt;&gt;0,IF((CR12-CQ12)&gt;0,"Не в плане","В плане"),)</f>
        <v/>
      </c>
      <c r="CS7" s="93" t="str">
        <f>IFERROR(CU150/CT150,"")</f>
        <v/>
      </c>
      <c r="CT7" s="90"/>
      <c r="CU7" s="94" t="str">
        <f>CW12</f>
        <v/>
      </c>
      <c r="CV7" s="69"/>
      <c r="CW7" s="87" t="str">
        <f>IFERROR(#REF!/#REF!,"")</f>
        <v/>
      </c>
      <c r="CX7" s="81" t="str">
        <f>IF(#REF!&lt;&gt;0,IF(abs(#REF!-#REF!)&gt;20%,"Не в плане","В плане"),)</f>
        <v>#REF!</v>
      </c>
      <c r="CY7" s="95" t="str">
        <f>IFERROR(#REF!/#REF!,"")</f>
        <v/>
      </c>
      <c r="CZ7" s="81" t="str">
        <f>IF(#REF!&lt;&gt;0,IF(abs(#REF!-#REF!)&gt;20%,"Не в плане","В плане"),)</f>
        <v>#REF!</v>
      </c>
      <c r="DA7" s="95" t="str">
        <f>IFERROR(#REF!/#REF!,"")</f>
        <v/>
      </c>
      <c r="DB7" s="81" t="str">
        <f>IF(#REF!&lt;&gt;0,IF(abs(#REF!-#REF!)&gt;20%,"Не в плане","В плане"),)</f>
        <v>#REF!</v>
      </c>
      <c r="DC7" s="95" t="str">
        <f>IFERROR(#REF!/#REF!,"")</f>
        <v/>
      </c>
      <c r="DD7" s="81" t="str">
        <f>IF(#REF!&lt;&gt;0,IF(abs(#REF!-#REF!)&gt;20%,"Не в плане","В плане"),)</f>
        <v>#REF!</v>
      </c>
      <c r="DE7" s="95" t="str">
        <f>IFERROR(#REF!/#REF!,"")</f>
        <v/>
      </c>
      <c r="DF7" s="81" t="str">
        <f>IF(#REF!&lt;&gt;0,IF(abs(#REF!-#REF!)&gt;20%,"Не в плане","В плане"),)</f>
        <v>#REF!</v>
      </c>
      <c r="DG7" s="95" t="str">
        <f>IFERROR(#REF!/#REF!,"")</f>
        <v/>
      </c>
      <c r="DH7" s="81" t="str">
        <f>IF(#REF!&lt;&gt;0,IF(abs(#REF!-#REF!)&gt;20%,"Не в плане","В плане"),)</f>
        <v>#REF!</v>
      </c>
      <c r="DI7" s="95" t="str">
        <f>IFERROR(#REF!/#REF!,"")</f>
        <v/>
      </c>
      <c r="DJ7" s="81" t="str">
        <f>IF(#REF!&lt;&gt;0,IF(abs(#REF!-#REF!)&gt;20%,"Не в плане","В плане"),)</f>
        <v>#REF!</v>
      </c>
      <c r="DK7" s="93" t="str">
        <f>IFERROR(DM150/DL150,"")</f>
        <v/>
      </c>
      <c r="DL7" s="90"/>
      <c r="DM7" s="94" t="str">
        <f>DO12</f>
        <v/>
      </c>
      <c r="DN7" s="69"/>
      <c r="DO7" s="96"/>
      <c r="DP7" s="96"/>
    </row>
    <row r="8">
      <c r="A8" s="60" t="s">
        <v>9</v>
      </c>
      <c r="B8" s="31" t="s">
        <v>10</v>
      </c>
      <c r="C8" s="97"/>
      <c r="D8" s="98">
        <v>0.9</v>
      </c>
      <c r="E8" s="9"/>
      <c r="F8" s="9"/>
      <c r="G8" s="99">
        <f>'Апрель'!date+8-WEEKDAY('Апрель'!date,2)</f>
        <v>46118</v>
      </c>
      <c r="H8" s="5">
        <f>MONTH(G7)</f>
        <v>12</v>
      </c>
      <c r="I8" s="9"/>
      <c r="J8" s="54"/>
      <c r="K8" s="100" t="str">
        <f>IFERROR(__xludf.DUMMYFUNCTION("IFERROR(SPARKLINE(K7,{""charttype"",""bar"";""color1"",IF(K7&gt;='Апрель'!green_percent,'Апрель'!green,IF(K7&gt;='Апрель'!yellow_percent,'Апрель'!yellow,IF(K7&gt;='Апрель'!orange_percent,'Апрель'!orange,'Апрель'!red)));""max"",1}))"),"")</f>
        <v/>
      </c>
      <c r="L8" s="101"/>
      <c r="M8" s="102" t="str">
        <f>IFERROR(__xludf.DUMMYFUNCTION("IFERROR(SPARKLINE(M7,{""charttype"",""bar"";""color1"",IF(M7&gt;='Апрель'!green_percent,'Апрель'!green,IF(M7&gt;='Апрель'!yellow_percent,'Апрель'!yellow,IF(M7&gt;='Апрель'!orange_percent,'Апрель'!orange,'Апрель'!red)));""max"",1}))"),"")</f>
        <v/>
      </c>
      <c r="N8" s="103"/>
      <c r="O8" s="100" t="str">
        <f>IFERROR(__xludf.DUMMYFUNCTION("IFERROR(SPARKLINE(O7,{""charttype"",""bar"";""color1"",IF(O7&gt;='Апрель'!green_percent,'Апрель'!green,IF(O7&gt;='Апрель'!yellow_percent,'Апрель'!yellow,IF(O7&gt;='Апрель'!orange_percent,'Апрель'!orange,'Апрель'!red)));""max"",1}))"),"")</f>
        <v/>
      </c>
      <c r="P8" s="101"/>
      <c r="Q8" s="102" t="str">
        <f>IFERROR(__xludf.DUMMYFUNCTION("IFERROR(SPARKLINE(Q7,{""charttype"",""bar"";""color1"",IF(Q7&gt;='Апрель'!green_percent,'Апрель'!green,IF(Q7&gt;='Апрель'!yellow_percent,'Апрель'!yellow,IF(Q7&gt;='Апрель'!orange_percent,'Апрель'!orange,'Апрель'!red)));""max"",1}))"),"")</f>
        <v/>
      </c>
      <c r="R8" s="103"/>
      <c r="S8" s="102" t="str">
        <f>IFERROR(__xludf.DUMMYFUNCTION("IFERROR(SPARKLINE(S7,{""charttype"",""bar"";""color1"",IF(S7&gt;='Апрель'!green_percent,'Апрель'!green,IF(S7&gt;='Апрель'!yellow_percent,'Апрель'!yellow,IF(S7&gt;='Апрель'!orange_percent,'Апрель'!orange,'Апрель'!red)));""max"",1}))"),"")</f>
        <v/>
      </c>
      <c r="T8" s="103"/>
      <c r="U8" s="102" t="str">
        <f>IFERROR(__xludf.DUMMYFUNCTION("IFERROR(SPARKLINE(U7,{""charttype"",""bar"";""color1"",IF(U7&gt;='Апрель'!green_percent,'Апрель'!green,IF(U7&gt;='Апрель'!yellow_percent,'Апрель'!yellow,IF(U7&gt;='Апрель'!orange_percent,'Апрель'!orange,'Апрель'!red)));""max"",1}))"),"")</f>
        <v/>
      </c>
      <c r="V8" s="103"/>
      <c r="W8" s="104" t="str">
        <f>IFERROR(__xludf.DUMMYFUNCTION("IFERROR(SPARKLINE(W7,{""charttype"",""bar"";""color1"",IF(W7&gt;='Апрель'!green_percent,'Апрель'!green,IF(W7&gt;='Апрель'!yellow_percent,'Апрель'!yellow,IF(W7&gt;='Апрель'!orange_percent,'Апрель'!orange,'Апрель'!red)));""max"",1}))"),"")</f>
        <v/>
      </c>
      <c r="X8" s="103"/>
      <c r="Y8" s="102">
        <f>Z151</f>
        <v>0</v>
      </c>
      <c r="Z8" s="105"/>
      <c r="AA8" s="105"/>
      <c r="AB8" s="106"/>
      <c r="AC8" s="100" t="str">
        <f>IFERROR(__xludf.DUMMYFUNCTION("IFERROR(SPARKLINE(AC7,{""charttype"",""bar"";""color1"",IF(AC7&gt;='Апрель'!green_percent,'Апрель'!green,IF(AC7&gt;='Апрель'!yellow_percent,'Апрель'!yellow,IF(AC7&gt;='Апрель'!orange_percent,'Апрель'!orange,'Апрель'!red)));""max"",1}))"),"")</f>
        <v/>
      </c>
      <c r="AD8" s="101"/>
      <c r="AE8" s="100" t="str">
        <f>IFERROR(__xludf.DUMMYFUNCTION("IFERROR(SPARKLINE(AE7,{""charttype"",""bar"";""color1"",IF(AE7&gt;='Апрель'!green_percent,'Апрель'!green,IF(AE7&gt;='Апрель'!yellow_percent,'Апрель'!yellow,IF(AE7&gt;='Апрель'!orange_percent,'Апрель'!orange,'Апрель'!red)));""max"",1}))"),"")</f>
        <v/>
      </c>
      <c r="AF8" s="101"/>
      <c r="AG8" s="100" t="str">
        <f>IFERROR(__xludf.DUMMYFUNCTION("IFERROR(SPARKLINE(AG7,{""charttype"",""bar"";""color1"",IF(AG7&gt;='Апрель'!green_percent,'Апрель'!green,IF(AG7&gt;='Апрель'!yellow_percent,'Апрель'!yellow,IF(AG7&gt;='Апрель'!orange_percent,'Апрель'!orange,'Апрель'!red)));""max"",1}))"),"")</f>
        <v/>
      </c>
      <c r="AH8" s="101"/>
      <c r="AI8" s="102" t="str">
        <f>IFERROR(__xludf.DUMMYFUNCTION("IFERROR(SPARKLINE(AI7,{""charttype"",""bar"";""color1"",IF(AI7&gt;='Апрель'!green_percent,'Апрель'!green,IF(AI7&gt;='Апрель'!yellow_percent,'Апрель'!yellow,IF(AI7&gt;='Апрель'!orange_percent,'Апрель'!orange,'Апрель'!red)));""max"",1}))"),"")</f>
        <v/>
      </c>
      <c r="AJ8" s="103"/>
      <c r="AK8" s="102" t="str">
        <f>IFERROR(__xludf.DUMMYFUNCTION("IFERROR(SPARKLINE(AK7,{""charttype"",""bar"";""color1"",IF(AK7&gt;='Апрель'!green_percent,'Апрель'!green,IF(AK7&gt;='Апрель'!yellow_percent,'Апрель'!yellow,IF(AK7&gt;='Апрель'!orange_percent,'Апрель'!orange,'Апрель'!red)));""max"",1}))"),"")</f>
        <v/>
      </c>
      <c r="AL8" s="103"/>
      <c r="AM8" s="102" t="str">
        <f>IFERROR(__xludf.DUMMYFUNCTION("IFERROR(SPARKLINE(AM7,{""charttype"",""bar"";""color1"",IF(AM7&gt;='Апрель'!green_percent,'Апрель'!green,IF(AM7&gt;='Апрель'!yellow_percent,'Апрель'!yellow,IF(AM7&gt;='Апрель'!orange_percent,'Апрель'!orange,'Апрель'!red)));""max"",1}))"),"")</f>
        <v/>
      </c>
      <c r="AN8" s="103"/>
      <c r="AO8" s="104" t="str">
        <f>IFERROR(__xludf.DUMMYFUNCTION("IFERROR(SPARKLINE(AO7,{""charttype"",""bar"";""color1"",IF(AO7&gt;='Апрель'!green_percent,'Апрель'!green,IF(AO7&gt;='Апрель'!yellow_percent,'Апрель'!yellow,IF(AO7&gt;='Апрель'!orange_percent,'Апрель'!orange,'Апрель'!red)));""max"",1}))"),"")</f>
        <v/>
      </c>
      <c r="AP8" s="103"/>
      <c r="AQ8" s="102">
        <f>AR151</f>
        <v>0</v>
      </c>
      <c r="AR8" s="105"/>
      <c r="AS8" s="105"/>
      <c r="AT8" s="106"/>
      <c r="AU8" s="100" t="str">
        <f>IFERROR(__xludf.DUMMYFUNCTION("IFERROR(SPARKLINE(AU7,{""charttype"",""bar"";""color1"",IF(AU7&gt;='Апрель'!green_percent,'Апрель'!green,IF(AU7&gt;='Апрель'!yellow_percent,'Апрель'!yellow,IF(AU7&gt;='Апрель'!orange_percent,'Апрель'!orange,'Апрель'!red)));""max"",1}))"),"")</f>
        <v/>
      </c>
      <c r="AV8" s="101"/>
      <c r="AW8" s="100" t="str">
        <f>IFERROR(__xludf.DUMMYFUNCTION("IFERROR(SPARKLINE(AW7,{""charttype"",""bar"";""color1"",IF(AW7&gt;='Апрель'!green_percent,'Апрель'!green,IF(AW7&gt;='Апрель'!yellow_percent,'Апрель'!yellow,IF(AW7&gt;='Апрель'!orange_percent,'Апрель'!orange,'Апрель'!red)));""max"",1}))"),"")</f>
        <v/>
      </c>
      <c r="AX8" s="101"/>
      <c r="AY8" s="100" t="str">
        <f>IFERROR(__xludf.DUMMYFUNCTION("IFERROR(SPARKLINE(AY7,{""charttype"",""bar"";""color1"",IF(AY7&gt;='Апрель'!green_percent,'Апрель'!green,IF(AY7&gt;='Апрель'!yellow_percent,'Апрель'!yellow,IF(AY7&gt;='Апрель'!orange_percent,'Апрель'!orange,'Апрель'!red)));""max"",1}))"),"")</f>
        <v/>
      </c>
      <c r="AZ8" s="101"/>
      <c r="BA8" s="102" t="str">
        <f>IFERROR(__xludf.DUMMYFUNCTION("IFERROR(SPARKLINE(BA7,{""charttype"",""bar"";""color1"",IF(BA7&gt;='Апрель'!green_percent,'Апрель'!green,IF(BA7&gt;='Апрель'!yellow_percent,'Апрель'!yellow,IF(BA7&gt;='Апрель'!orange_percent,'Апрель'!orange,'Апрель'!red)));""max"",1}))"),"")</f>
        <v/>
      </c>
      <c r="BB8" s="103"/>
      <c r="BC8" s="102" t="str">
        <f>IFERROR(__xludf.DUMMYFUNCTION("IFERROR(SPARKLINE(BC7,{""charttype"",""bar"";""color1"",IF(BC7&gt;='Апрель'!green_percent,'Апрель'!green,IF(BC7&gt;='Апрель'!yellow_percent,'Апрель'!yellow,IF(BC7&gt;='Апрель'!orange_percent,'Апрель'!orange,'Апрель'!red)));""max"",1}))"),"")</f>
        <v/>
      </c>
      <c r="BD8" s="103"/>
      <c r="BE8" s="102" t="str">
        <f>IFERROR(__xludf.DUMMYFUNCTION("IFERROR(SPARKLINE(BE7,{""charttype"",""bar"";""color1"",IF(BE7&gt;='Апрель'!green_percent,'Апрель'!green,IF(BE7&gt;='Апрель'!yellow_percent,'Апрель'!yellow,IF(BE7&gt;='Апрель'!orange_percent,'Апрель'!orange,'Апрель'!red)));""max"",1}))"),"")</f>
        <v/>
      </c>
      <c r="BF8" s="103"/>
      <c r="BG8" s="104" t="str">
        <f>IFERROR(__xludf.DUMMYFUNCTION("IFERROR(SPARKLINE(BG7,{""charttype"",""bar"";""color1"",IF(BG7&gt;='Апрель'!green_percent,'Апрель'!green,IF(BG7&gt;='Апрель'!yellow_percent,'Апрель'!yellow,IF(BG7&gt;='Апрель'!orange_percent,'Апрель'!orange,'Апрель'!red)));""max"",1}))"),"")</f>
        <v/>
      </c>
      <c r="BH8" s="103"/>
      <c r="BI8" s="102">
        <f>BJ151</f>
        <v>0</v>
      </c>
      <c r="BJ8" s="105"/>
      <c r="BK8" s="105"/>
      <c r="BL8" s="106"/>
      <c r="BM8" s="104" t="str">
        <f>IFERROR(__xludf.DUMMYFUNCTION("IFERROR(SPARKLINE(BM7,{""charttype"",""bar"";""color1"",IF(BM7&gt;='Апрель'!green_percent,'Апрель'!green,IF(BM7&gt;='Апрель'!yellow_percent,'Апрель'!yellow,IF(BM7&gt;='Апрель'!orange_percent,'Апрель'!orange,'Апрель'!red)));""max"",1}))"),"")</f>
        <v/>
      </c>
      <c r="BN8" s="101"/>
      <c r="BO8" s="104" t="str">
        <f>IFERROR(__xludf.DUMMYFUNCTION("IFERROR(SPARKLINE(BO7,{""charttype"",""bar"";""color1"",IF(BO7&gt;='Апрель'!green_percent,'Апрель'!green,IF(BO7&gt;='Апрель'!yellow_percent,'Апрель'!yellow,IF(BO7&gt;='Апрель'!orange_percent,'Апрель'!orange,'Апрель'!red)));""max"",1}))"),"")</f>
        <v/>
      </c>
      <c r="BP8" s="101"/>
      <c r="BQ8" s="104" t="str">
        <f>IFERROR(__xludf.DUMMYFUNCTION("IFERROR(SPARKLINE(BQ7,{""charttype"",""bar"";""color1"",IF(BQ7&gt;='Апрель'!green_percent,'Апрель'!green,IF(BQ7&gt;='Апрель'!yellow_percent,'Апрель'!yellow,IF(BQ7&gt;='Апрель'!orange_percent,'Апрель'!orange,'Апрель'!red)));""max"",1}))"),"")</f>
        <v/>
      </c>
      <c r="BR8" s="101"/>
      <c r="BS8" s="104" t="str">
        <f>IFERROR(__xludf.DUMMYFUNCTION("IFERROR(SPARKLINE(BS7,{""charttype"",""bar"";""color1"",IF(BS7&gt;='Апрель'!green_percent,'Апрель'!green,IF(BS7&gt;='Апрель'!yellow_percent,'Апрель'!yellow,IF(BS7&gt;='Апрель'!orange_percent,'Апрель'!orange,'Апрель'!red)));""max"",1}))"),"")</f>
        <v/>
      </c>
      <c r="BT8" s="103"/>
      <c r="BU8" s="102" t="str">
        <f>IFERROR(__xludf.DUMMYFUNCTION("IFERROR(SPARKLINE(BU7,{""charttype"",""bar"";""color1"",IF(BU7&gt;='Апрель'!green_percent,'Апрель'!green,IF(BU7&gt;='Апрель'!yellow_percent,'Апрель'!yellow,IF(BU7&gt;='Апрель'!orange_percent,'Апрель'!orange,'Апрель'!red)));""max"",1}))"),"")</f>
        <v/>
      </c>
      <c r="BV8" s="103"/>
      <c r="BW8" s="102" t="str">
        <f>IFERROR(__xludf.DUMMYFUNCTION("IFERROR(SPARKLINE(BW7,{""charttype"",""bar"";""color1"",IF(BW7&gt;='Апрель'!green_percent,'Апрель'!green,IF(BW7&gt;='Апрель'!yellow_percent,'Апрель'!yellow,IF(BW7&gt;='Апрель'!orange_percent,'Апрель'!orange,'Апрель'!red)));""max"",1}))"),"")</f>
        <v/>
      </c>
      <c r="BX8" s="103"/>
      <c r="BY8" s="104" t="str">
        <f>IFERROR(__xludf.DUMMYFUNCTION("IFERROR(SPARKLINE(BY7,{""charttype"",""bar"";""color1"",IF(BY7&gt;='Апрель'!green_percent,'Апрель'!green,IF(BY7&gt;='Апрель'!yellow_percent,'Апрель'!yellow,IF(BY7&gt;='Апрель'!orange_percent,'Апрель'!orange,'Апрель'!red)));""max"",1}))"),"")</f>
        <v/>
      </c>
      <c r="BZ8" s="103"/>
      <c r="CA8" s="102">
        <f>CB151</f>
        <v>0</v>
      </c>
      <c r="CB8" s="105"/>
      <c r="CC8" s="105"/>
      <c r="CD8" s="106"/>
      <c r="CE8" s="104" t="str">
        <f>IFERROR(__xludf.DUMMYFUNCTION("IFERROR(SPARKLINE(CE7,{""charttype"",""bar"";""color1"",IF(CE7&gt;='Апрель'!green_percent,'Апрель'!green,IF(CE7&gt;='Апрель'!yellow_percent,'Апрель'!yellow,IF(CE7&gt;='Апрель'!orange_percent,'Апрель'!orange,'Апрель'!red)));""max"",1}))"),"")</f>
        <v/>
      </c>
      <c r="CF8" s="101"/>
      <c r="CG8" s="100" t="str">
        <f>IFERROR(__xludf.DUMMYFUNCTION("IFERROR(SPARKLINE(CG7,{""charttype"",""bar"";""color1"",IF(CG7&gt;='Апрель'!green_percent,'Апрель'!green,IF(CG7&gt;='Апрель'!yellow_percent,'Апрель'!yellow,IF(CG7&gt;='Апрель'!orange_percent,'Апрель'!orange,'Апрель'!red)));""max"",1}))"),"")</f>
        <v/>
      </c>
      <c r="CH8" s="101"/>
      <c r="CI8" s="100" t="str">
        <f>IFERROR(__xludf.DUMMYFUNCTION("IFERROR(SPARKLINE(CI7,{""charttype"",""bar"";""color1"",IF(CI7&gt;='Апрель'!green_percent,'Апрель'!green,IF(CI7&gt;='Апрель'!yellow_percent,'Апрель'!yellow,IF(CI7&gt;='Апрель'!orange_percent,'Апрель'!orange,'Апрель'!red)));""max"",1}))"),"")</f>
        <v/>
      </c>
      <c r="CJ8" s="101"/>
      <c r="CK8" s="102" t="str">
        <f>IFERROR(__xludf.DUMMYFUNCTION("IFERROR(SPARKLINE(CK7,{""charttype"",""bar"";""color1"",IF(CK7&gt;='Апрель'!green_percent,'Апрель'!green,IF(CK7&gt;='Апрель'!yellow_percent,'Апрель'!yellow,IF(CK7&gt;='Апрель'!orange_percent,'Апрель'!orange,'Апрель'!red)));""max"",1}))"),"")</f>
        <v/>
      </c>
      <c r="CL8" s="103"/>
      <c r="CM8" s="102" t="str">
        <f>IFERROR(__xludf.DUMMYFUNCTION("IFERROR(SPARKLINE(CM7,{""charttype"",""bar"";""color1"",IF(CM7&gt;='Апрель'!green_percent,'Апрель'!green,IF(CM7&gt;='Апрель'!yellow_percent,'Апрель'!yellow,IF(CM7&gt;='Апрель'!orange_percent,'Апрель'!orange,'Апрель'!red)));""max"",1}))"),"")</f>
        <v/>
      </c>
      <c r="CN8" s="103"/>
      <c r="CO8" s="102" t="str">
        <f>IFERROR(__xludf.DUMMYFUNCTION("IFERROR(SPARKLINE(CO7,{""charttype"",""bar"";""color1"",IF(CO7&gt;='Апрель'!green_percent,'Апрель'!green,IF(CO7&gt;='Апрель'!yellow_percent,'Апрель'!yellow,IF(CO7&gt;='Апрель'!orange_percent,'Апрель'!orange,'Апрель'!red)));""max"",1}))"),"")</f>
        <v/>
      </c>
      <c r="CP8" s="103"/>
      <c r="CQ8" s="104" t="str">
        <f>IFERROR(__xludf.DUMMYFUNCTION("IFERROR(SPARKLINE(CQ7,{""charttype"",""bar"";""color1"",IF(CQ7&gt;='Апрель'!green_percent,'Апрель'!green,IF(CQ7&gt;='Апрель'!yellow_percent,'Апрель'!yellow,IF(CQ7&gt;='Апрель'!orange_percent,'Апрель'!orange,'Апрель'!red)));""max"",1}))"),"")</f>
        <v/>
      </c>
      <c r="CR8" s="103"/>
      <c r="CS8" s="107" t="str">
        <f>CW151</f>
        <v/>
      </c>
      <c r="CV8" s="43"/>
      <c r="CW8" s="104" t="str">
        <f>IFERROR(__xludf.DUMMYFUNCTION("IFERROR(SPARKLINE(CW7,{""charttype"",""bar"";""color1"",IF(CW7&gt;='Апрель'!green_percent,'Апрель'!green,IF(CW7&gt;='Апрель'!yellow_percent,'Апрель'!yellow,IF(CW7&gt;='Апрель'!orange_percent,'Апрель'!orange,'Апрель'!red)));""max"",1}))"),"")</f>
        <v/>
      </c>
      <c r="CX8" s="103"/>
      <c r="CY8" s="102" t="str">
        <f>IFERROR(__xludf.DUMMYFUNCTION("IFERROR(SPARKLINE(CY7,{""charttype"",""bar"";""color1"",IF(CY7&gt;='Апрель'!green_percent,'Апрель'!green,IF(CY7&gt;='Апрель'!yellow_percent,'Апрель'!yellow,IF(CY7&gt;='Апрель'!orange_percent,'Апрель'!orange,'Апрель'!red)));""max"",1}))"),"")</f>
        <v/>
      </c>
      <c r="CZ8" s="103"/>
      <c r="DA8" s="102" t="str">
        <f>IFERROR(__xludf.DUMMYFUNCTION("IFERROR(SPARKLINE(DA7,{""charttype"",""bar"";""color1"",IF(DA7&gt;='Апрель'!green_percent,'Апрель'!green,IF(DA7&gt;='Апрель'!yellow_percent,'Апрель'!yellow,IF(DA7&gt;='Апрель'!orange_percent,'Апрель'!orange,'Апрель'!red)));""max"",1}))"),"")</f>
        <v/>
      </c>
      <c r="DB8" s="103"/>
      <c r="DC8" s="102" t="str">
        <f>IFERROR(__xludf.DUMMYFUNCTION("IFERROR(SPARKLINE(DC7,{""charttype"",""bar"";""color1"",IF(DC7&gt;='Апрель'!green_percent,'Апрель'!green,IF(DC7&gt;='Апрель'!yellow_percent,'Апрель'!yellow,IF(DC7&gt;='Апрель'!orange_percent,'Апрель'!orange,'Апрель'!red)));""max"",1}))"),"")</f>
        <v/>
      </c>
      <c r="DD8" s="103"/>
      <c r="DE8" s="102" t="str">
        <f>IFERROR(__xludf.DUMMYFUNCTION("IFERROR(SPARKLINE(DE7,{""charttype"",""bar"";""color1"",IF(DE7&gt;='Апрель'!green_percent,'Апрель'!green,IF(DE7&gt;='Апрель'!yellow_percent,'Апрель'!yellow,IF(DE7&gt;='Апрель'!orange_percent,'Апрель'!orange,'Апрель'!red)));""max"",1}))"),"")</f>
        <v/>
      </c>
      <c r="DF8" s="103"/>
      <c r="DG8" s="102" t="str">
        <f>IFERROR(__xludf.DUMMYFUNCTION("IFERROR(SPARKLINE(DG7,{""charttype"",""bar"";""color1"",IF(DG7&gt;='Апрель'!green_percent,'Апрель'!green,IF(DG7&gt;='Апрель'!yellow_percent,'Апрель'!yellow,IF(DG7&gt;='Апрель'!orange_percent,'Апрель'!orange,'Апрель'!red)));""max"",1}))"),"")</f>
        <v/>
      </c>
      <c r="DH8" s="103"/>
      <c r="DI8" s="102" t="str">
        <f>IFERROR(__xludf.DUMMYFUNCTION("IFERROR(SPARKLINE(DI7,{""charttype"",""bar"";""color1"",IF(DI7&gt;='Апрель'!green_percent,'Апрель'!green,IF(DI7&gt;='Апрель'!yellow_percent,'Апрель'!yellow,IF(DI7&gt;='Апрель'!orange_percent,'Апрель'!orange,'Апрель'!red)));""max"",1}))"),"")</f>
        <v/>
      </c>
      <c r="DJ8" s="103"/>
      <c r="DK8" s="107" t="str">
        <f>DO151</f>
        <v/>
      </c>
      <c r="DN8" s="43"/>
      <c r="DO8" s="108"/>
      <c r="DP8" s="108"/>
    </row>
    <row r="9" ht="3.0" customHeight="1">
      <c r="A9" s="60" t="s">
        <v>11</v>
      </c>
      <c r="B9" s="109"/>
      <c r="C9" s="109"/>
      <c r="D9" s="109"/>
      <c r="E9" s="109"/>
      <c r="F9" s="78"/>
      <c r="G9" s="78"/>
      <c r="H9" s="78"/>
      <c r="I9" s="9"/>
      <c r="J9" s="54"/>
      <c r="K9" s="110"/>
      <c r="L9" s="111"/>
      <c r="M9" s="112"/>
      <c r="N9" s="113"/>
      <c r="O9" s="110"/>
      <c r="P9" s="111"/>
      <c r="Q9" s="112"/>
      <c r="R9" s="113"/>
      <c r="S9" s="112"/>
      <c r="T9" s="113"/>
      <c r="U9" s="112"/>
      <c r="V9" s="113"/>
      <c r="W9" s="114"/>
      <c r="X9" s="113"/>
      <c r="Y9" s="112"/>
      <c r="Z9" s="114"/>
      <c r="AA9" s="114"/>
      <c r="AB9" s="115"/>
      <c r="AC9" s="110"/>
      <c r="AD9" s="111"/>
      <c r="AE9" s="110"/>
      <c r="AF9" s="111"/>
      <c r="AG9" s="110"/>
      <c r="AH9" s="111"/>
      <c r="AI9" s="112"/>
      <c r="AJ9" s="113"/>
      <c r="AK9" s="112"/>
      <c r="AL9" s="113"/>
      <c r="AM9" s="112"/>
      <c r="AN9" s="113"/>
      <c r="AO9" s="114"/>
      <c r="AP9" s="113"/>
      <c r="AQ9" s="112"/>
      <c r="AR9" s="114"/>
      <c r="AS9" s="114"/>
      <c r="AT9" s="115"/>
      <c r="AU9" s="110"/>
      <c r="AV9" s="111"/>
      <c r="AW9" s="110"/>
      <c r="AX9" s="111"/>
      <c r="AY9" s="110"/>
      <c r="AZ9" s="111"/>
      <c r="BA9" s="112"/>
      <c r="BB9" s="113"/>
      <c r="BC9" s="112"/>
      <c r="BD9" s="113"/>
      <c r="BE9" s="112"/>
      <c r="BF9" s="113"/>
      <c r="BG9" s="114"/>
      <c r="BH9" s="113"/>
      <c r="BI9" s="112"/>
      <c r="BJ9" s="114"/>
      <c r="BK9" s="114"/>
      <c r="BL9" s="115"/>
      <c r="BM9" s="114"/>
      <c r="BN9" s="111"/>
      <c r="BO9" s="114"/>
      <c r="BP9" s="111"/>
      <c r="BQ9" s="114"/>
      <c r="BR9" s="111"/>
      <c r="BS9" s="114"/>
      <c r="BT9" s="113"/>
      <c r="BU9" s="112"/>
      <c r="BV9" s="113"/>
      <c r="BW9" s="112"/>
      <c r="BX9" s="113"/>
      <c r="BY9" s="114"/>
      <c r="BZ9" s="113"/>
      <c r="CA9" s="112"/>
      <c r="CB9" s="114"/>
      <c r="CC9" s="114"/>
      <c r="CD9" s="115"/>
      <c r="CE9" s="114"/>
      <c r="CF9" s="111"/>
      <c r="CG9" s="110"/>
      <c r="CH9" s="111"/>
      <c r="CI9" s="110"/>
      <c r="CJ9" s="111"/>
      <c r="CK9" s="112"/>
      <c r="CL9" s="113"/>
      <c r="CM9" s="112"/>
      <c r="CN9" s="113"/>
      <c r="CO9" s="112"/>
      <c r="CP9" s="113"/>
      <c r="CQ9" s="114"/>
      <c r="CR9" s="113"/>
      <c r="CS9" s="112"/>
      <c r="CT9" s="114"/>
      <c r="CU9" s="114"/>
      <c r="CV9" s="115"/>
      <c r="CW9" s="114"/>
      <c r="CX9" s="113"/>
      <c r="CY9" s="112"/>
      <c r="CZ9" s="113"/>
      <c r="DA9" s="112"/>
      <c r="DB9" s="113"/>
      <c r="DC9" s="112"/>
      <c r="DD9" s="113"/>
      <c r="DE9" s="112"/>
      <c r="DF9" s="113"/>
      <c r="DG9" s="112"/>
      <c r="DH9" s="113"/>
      <c r="DI9" s="112"/>
      <c r="DJ9" s="113"/>
      <c r="DK9" s="112"/>
      <c r="DL9" s="114"/>
      <c r="DM9" s="114"/>
      <c r="DN9" s="115"/>
      <c r="DO9" s="108"/>
      <c r="DP9" s="108"/>
    </row>
    <row r="10" ht="24.0" customHeight="1">
      <c r="A10" s="116" t="str">
        <f>IF(MONTH('Апрель'!date)=1,"Январь",IF(MONTH('Апрель'!date)=2,"Февраль",IF(MONTH('Апрель'!date)=3,"Март",IF(MONTH('Апрель'!date)=4,"Апрель",IF(MONTH('Апрель'!date)=5,"Май",IF(MONTH('Апрель'!date)=6,"Июнь",IF(MONTH('Апрель'!date)=7,"Июль",IF(MONTH('Апрель'!date)=8,"Август",IF(MONTH('Апрель'!date)=9,"Сентябрь",IF(MONTH('Апрель'!date)=10,"Октябрь",IF(MONTH('Апрель'!date)=11,"Ноябрь",IF(MONTH('Апрель'!date)=12,"Декабрь",))))))))))))</f>
        <v>Апрель</v>
      </c>
      <c r="B10" s="117"/>
      <c r="C10" s="117"/>
      <c r="D10" s="117"/>
      <c r="E10" s="118"/>
      <c r="F10" s="119" t="s">
        <v>12</v>
      </c>
      <c r="G10" s="120"/>
      <c r="H10" s="120"/>
      <c r="I10" s="121"/>
      <c r="J10" s="122" t="s">
        <v>13</v>
      </c>
      <c r="K10" s="123">
        <v>46111.0</v>
      </c>
      <c r="L10" s="124"/>
      <c r="M10" s="123">
        <f>K10+1</f>
        <v>46112</v>
      </c>
      <c r="N10" s="124"/>
      <c r="O10" s="123">
        <v>46113.0</v>
      </c>
      <c r="P10" s="124"/>
      <c r="Q10" s="123">
        <f>O10+1</f>
        <v>46114</v>
      </c>
      <c r="R10" s="124"/>
      <c r="S10" s="123">
        <f>Q10+1</f>
        <v>46115</v>
      </c>
      <c r="T10" s="124"/>
      <c r="U10" s="125">
        <f>S10+1</f>
        <v>46116</v>
      </c>
      <c r="V10" s="126"/>
      <c r="W10" s="127">
        <f>U10+1</f>
        <v>46117</v>
      </c>
      <c r="X10" s="128"/>
      <c r="Y10" s="129" t="s">
        <v>14</v>
      </c>
      <c r="Z10" s="130"/>
      <c r="AA10" s="130"/>
      <c r="AB10" s="131"/>
      <c r="AC10" s="132">
        <f>W10+1</f>
        <v>46118</v>
      </c>
      <c r="AD10" s="133"/>
      <c r="AE10" s="123">
        <f>AC10+1</f>
        <v>46119</v>
      </c>
      <c r="AF10" s="124"/>
      <c r="AG10" s="123">
        <f>AE10+1</f>
        <v>46120</v>
      </c>
      <c r="AH10" s="124"/>
      <c r="AI10" s="123">
        <f>AG10+1</f>
        <v>46121</v>
      </c>
      <c r="AJ10" s="124"/>
      <c r="AK10" s="123">
        <f>AI10+1</f>
        <v>46122</v>
      </c>
      <c r="AL10" s="124"/>
      <c r="AM10" s="125">
        <f>AK10+1</f>
        <v>46123</v>
      </c>
      <c r="AN10" s="126"/>
      <c r="AO10" s="125">
        <f>AM10+1</f>
        <v>46124</v>
      </c>
      <c r="AP10" s="124"/>
      <c r="AQ10" s="134" t="str">
        <f>"Неделя "&amp;DAY(AC10)&amp;" - "&amp;DAY(AO10)</f>
        <v>Неделя 6 - 12</v>
      </c>
      <c r="AR10" s="130"/>
      <c r="AS10" s="130"/>
      <c r="AT10" s="131"/>
      <c r="AU10" s="132">
        <f>AO10+1</f>
        <v>46125</v>
      </c>
      <c r="AV10" s="133"/>
      <c r="AW10" s="123">
        <f>AU10+1</f>
        <v>46126</v>
      </c>
      <c r="AX10" s="124"/>
      <c r="AY10" s="123">
        <f>AW10+1</f>
        <v>46127</v>
      </c>
      <c r="AZ10" s="124"/>
      <c r="BA10" s="123">
        <f>AY10+1</f>
        <v>46128</v>
      </c>
      <c r="BB10" s="124"/>
      <c r="BC10" s="123">
        <f>BA10+1</f>
        <v>46129</v>
      </c>
      <c r="BD10" s="124"/>
      <c r="BE10" s="125">
        <f>BC10+1</f>
        <v>46130</v>
      </c>
      <c r="BF10" s="126"/>
      <c r="BG10" s="125">
        <f>BE10+1</f>
        <v>46131</v>
      </c>
      <c r="BH10" s="124"/>
      <c r="BI10" s="134" t="str">
        <f>"Неделя "&amp;DAY(AU10)&amp;" - "&amp;DAY(BG10)</f>
        <v>Неделя 13 - 19</v>
      </c>
      <c r="BJ10" s="130"/>
      <c r="BK10" s="130"/>
      <c r="BL10" s="131"/>
      <c r="BM10" s="135">
        <f>BG10+1</f>
        <v>46132</v>
      </c>
      <c r="BN10" s="136"/>
      <c r="BO10" s="135">
        <f>BM10+1</f>
        <v>46133</v>
      </c>
      <c r="BP10" s="136"/>
      <c r="BQ10" s="135">
        <f>BO10+1</f>
        <v>46134</v>
      </c>
      <c r="BR10" s="136"/>
      <c r="BS10" s="135">
        <f>BQ10+1</f>
        <v>46135</v>
      </c>
      <c r="BT10" s="136"/>
      <c r="BU10" s="135">
        <f>BS10+1</f>
        <v>46136</v>
      </c>
      <c r="BV10" s="136"/>
      <c r="BW10" s="137">
        <f>BU10+1</f>
        <v>46137</v>
      </c>
      <c r="BX10" s="138"/>
      <c r="BY10" s="137">
        <f>BW10+1</f>
        <v>46138</v>
      </c>
      <c r="BZ10" s="138"/>
      <c r="CA10" s="134" t="str">
        <f>"Неделя "&amp;DAY(BM10)&amp;" - "&amp;DAY(BY10)</f>
        <v>Неделя 20 - 26</v>
      </c>
      <c r="CB10" s="130"/>
      <c r="CC10" s="130"/>
      <c r="CD10" s="131"/>
      <c r="CE10" s="135">
        <f>BY10+1</f>
        <v>46139</v>
      </c>
      <c r="CF10" s="138"/>
      <c r="CG10" s="135">
        <f>CE10+1</f>
        <v>46140</v>
      </c>
      <c r="CH10" s="138"/>
      <c r="CI10" s="135">
        <f>CG10+1</f>
        <v>46141</v>
      </c>
      <c r="CJ10" s="138"/>
      <c r="CK10" s="135">
        <f>CI10+1</f>
        <v>46142</v>
      </c>
      <c r="CL10" s="138"/>
      <c r="CM10" s="135">
        <f>CK10+1</f>
        <v>46143</v>
      </c>
      <c r="CN10" s="138"/>
      <c r="CO10" s="137">
        <f>CM10+1</f>
        <v>46144</v>
      </c>
      <c r="CP10" s="138"/>
      <c r="CQ10" s="137">
        <f>CO10+1</f>
        <v>46145</v>
      </c>
      <c r="CR10" s="138"/>
      <c r="CS10" s="139" t="str">
        <f>"Неделя "&amp;DAY(CE10)&amp;" - "&amp;DAY(CQ10)</f>
        <v>Неделя 27 - 3</v>
      </c>
      <c r="CT10" s="140"/>
      <c r="CU10" s="140"/>
      <c r="CV10" s="141"/>
      <c r="CW10" s="135">
        <f>CQ10+1</f>
        <v>46146</v>
      </c>
      <c r="CX10" s="138"/>
      <c r="CY10" s="135">
        <f>CW10+1</f>
        <v>46147</v>
      </c>
      <c r="CZ10" s="138"/>
      <c r="DA10" s="135">
        <f>CY10+1</f>
        <v>46148</v>
      </c>
      <c r="DB10" s="138"/>
      <c r="DC10" s="135">
        <f>DA10+1</f>
        <v>46149</v>
      </c>
      <c r="DD10" s="138"/>
      <c r="DE10" s="135">
        <f>DC10+1</f>
        <v>46150</v>
      </c>
      <c r="DF10" s="138"/>
      <c r="DG10" s="137">
        <f>DE10+1</f>
        <v>46151</v>
      </c>
      <c r="DH10" s="138"/>
      <c r="DI10" s="137">
        <f>DG10+1</f>
        <v>46152</v>
      </c>
      <c r="DJ10" s="138"/>
      <c r="DK10" s="139" t="str">
        <f>"Неделя "&amp;DAY(CZ10)&amp;" - "&amp;DAY(DL10)</f>
        <v>Неделя 30 - 30</v>
      </c>
      <c r="DL10" s="140"/>
      <c r="DM10" s="140"/>
      <c r="DN10" s="141"/>
      <c r="DO10" s="142"/>
      <c r="DP10" s="142"/>
    </row>
    <row r="11">
      <c r="A11" s="114"/>
      <c r="B11" s="114"/>
      <c r="C11" s="114"/>
      <c r="D11" s="114"/>
      <c r="E11" s="143"/>
      <c r="F11" s="144" t="s">
        <v>15</v>
      </c>
      <c r="G11" s="145" t="s">
        <v>16</v>
      </c>
      <c r="H11" s="146" t="s">
        <v>17</v>
      </c>
      <c r="I11" s="147"/>
      <c r="J11" s="148"/>
      <c r="K11" s="149" t="s">
        <v>15</v>
      </c>
      <c r="L11" s="150" t="s">
        <v>16</v>
      </c>
      <c r="M11" s="149" t="s">
        <v>15</v>
      </c>
      <c r="N11" s="150" t="s">
        <v>16</v>
      </c>
      <c r="O11" s="149" t="s">
        <v>15</v>
      </c>
      <c r="P11" s="150" t="s">
        <v>16</v>
      </c>
      <c r="Q11" s="149" t="s">
        <v>15</v>
      </c>
      <c r="R11" s="150" t="s">
        <v>16</v>
      </c>
      <c r="S11" s="149" t="s">
        <v>15</v>
      </c>
      <c r="T11" s="150" t="s">
        <v>16</v>
      </c>
      <c r="U11" s="151" t="s">
        <v>15</v>
      </c>
      <c r="V11" s="152" t="s">
        <v>16</v>
      </c>
      <c r="W11" s="153" t="s">
        <v>15</v>
      </c>
      <c r="X11" s="154" t="s">
        <v>16</v>
      </c>
      <c r="Y11" s="155" t="s">
        <v>15</v>
      </c>
      <c r="Z11" s="156" t="s">
        <v>16</v>
      </c>
      <c r="AA11" s="157" t="s">
        <v>17</v>
      </c>
      <c r="AB11" s="158"/>
      <c r="AC11" s="149" t="s">
        <v>15</v>
      </c>
      <c r="AD11" s="150" t="s">
        <v>16</v>
      </c>
      <c r="AE11" s="149" t="s">
        <v>15</v>
      </c>
      <c r="AF11" s="150" t="s">
        <v>16</v>
      </c>
      <c r="AG11" s="149" t="s">
        <v>15</v>
      </c>
      <c r="AH11" s="150" t="s">
        <v>16</v>
      </c>
      <c r="AI11" s="149" t="s">
        <v>15</v>
      </c>
      <c r="AJ11" s="150" t="s">
        <v>16</v>
      </c>
      <c r="AK11" s="149" t="s">
        <v>15</v>
      </c>
      <c r="AL11" s="150" t="s">
        <v>16</v>
      </c>
      <c r="AM11" s="151" t="s">
        <v>15</v>
      </c>
      <c r="AN11" s="159" t="s">
        <v>16</v>
      </c>
      <c r="AO11" s="160" t="s">
        <v>15</v>
      </c>
      <c r="AP11" s="161" t="s">
        <v>16</v>
      </c>
      <c r="AQ11" s="162" t="s">
        <v>15</v>
      </c>
      <c r="AR11" s="163" t="s">
        <v>16</v>
      </c>
      <c r="AS11" s="157" t="s">
        <v>17</v>
      </c>
      <c r="AT11" s="158"/>
      <c r="AU11" s="149" t="s">
        <v>15</v>
      </c>
      <c r="AV11" s="150" t="s">
        <v>16</v>
      </c>
      <c r="AW11" s="149" t="s">
        <v>15</v>
      </c>
      <c r="AX11" s="150" t="s">
        <v>16</v>
      </c>
      <c r="AY11" s="149" t="s">
        <v>15</v>
      </c>
      <c r="AZ11" s="150" t="s">
        <v>16</v>
      </c>
      <c r="BA11" s="149" t="s">
        <v>15</v>
      </c>
      <c r="BB11" s="150" t="s">
        <v>16</v>
      </c>
      <c r="BC11" s="149" t="s">
        <v>15</v>
      </c>
      <c r="BD11" s="150" t="s">
        <v>16</v>
      </c>
      <c r="BE11" s="151" t="s">
        <v>15</v>
      </c>
      <c r="BF11" s="159" t="s">
        <v>16</v>
      </c>
      <c r="BG11" s="160" t="s">
        <v>15</v>
      </c>
      <c r="BH11" s="161" t="s">
        <v>16</v>
      </c>
      <c r="BI11" s="162" t="s">
        <v>15</v>
      </c>
      <c r="BJ11" s="163" t="s">
        <v>16</v>
      </c>
      <c r="BK11" s="157" t="s">
        <v>17</v>
      </c>
      <c r="BL11" s="158"/>
      <c r="BM11" s="164" t="s">
        <v>15</v>
      </c>
      <c r="BN11" s="165" t="s">
        <v>16</v>
      </c>
      <c r="BO11" s="164" t="s">
        <v>15</v>
      </c>
      <c r="BP11" s="165" t="s">
        <v>16</v>
      </c>
      <c r="BQ11" s="164" t="s">
        <v>15</v>
      </c>
      <c r="BR11" s="165" t="s">
        <v>16</v>
      </c>
      <c r="BS11" s="164" t="s">
        <v>15</v>
      </c>
      <c r="BT11" s="165" t="s">
        <v>16</v>
      </c>
      <c r="BU11" s="164" t="s">
        <v>15</v>
      </c>
      <c r="BV11" s="165" t="s">
        <v>16</v>
      </c>
      <c r="BW11" s="166" t="s">
        <v>15</v>
      </c>
      <c r="BX11" s="167" t="s">
        <v>16</v>
      </c>
      <c r="BY11" s="166" t="s">
        <v>15</v>
      </c>
      <c r="BZ11" s="167" t="s">
        <v>16</v>
      </c>
      <c r="CA11" s="162" t="s">
        <v>15</v>
      </c>
      <c r="CB11" s="163" t="s">
        <v>16</v>
      </c>
      <c r="CC11" s="157" t="s">
        <v>17</v>
      </c>
      <c r="CD11" s="158"/>
      <c r="CE11" s="168" t="s">
        <v>15</v>
      </c>
      <c r="CF11" s="169" t="s">
        <v>16</v>
      </c>
      <c r="CG11" s="170" t="s">
        <v>15</v>
      </c>
      <c r="CH11" s="169" t="s">
        <v>16</v>
      </c>
      <c r="CI11" s="170" t="s">
        <v>15</v>
      </c>
      <c r="CJ11" s="169" t="s">
        <v>16</v>
      </c>
      <c r="CK11" s="170" t="s">
        <v>15</v>
      </c>
      <c r="CL11" s="169" t="s">
        <v>16</v>
      </c>
      <c r="CM11" s="170" t="s">
        <v>15</v>
      </c>
      <c r="CN11" s="169" t="s">
        <v>16</v>
      </c>
      <c r="CO11" s="160" t="s">
        <v>15</v>
      </c>
      <c r="CP11" s="159" t="s">
        <v>16</v>
      </c>
      <c r="CQ11" s="160" t="s">
        <v>15</v>
      </c>
      <c r="CR11" s="159" t="s">
        <v>16</v>
      </c>
      <c r="CS11" s="171" t="s">
        <v>15</v>
      </c>
      <c r="CT11" s="172" t="s">
        <v>16</v>
      </c>
      <c r="CU11" s="173" t="s">
        <v>17</v>
      </c>
      <c r="CV11" s="49"/>
      <c r="CW11" s="174" t="s">
        <v>15</v>
      </c>
      <c r="CX11" s="175" t="s">
        <v>16</v>
      </c>
      <c r="CY11" s="176" t="s">
        <v>15</v>
      </c>
      <c r="CZ11" s="175" t="s">
        <v>16</v>
      </c>
      <c r="DA11" s="176" t="s">
        <v>15</v>
      </c>
      <c r="DB11" s="175" t="s">
        <v>16</v>
      </c>
      <c r="DC11" s="176" t="s">
        <v>15</v>
      </c>
      <c r="DD11" s="175" t="s">
        <v>16</v>
      </c>
      <c r="DE11" s="176" t="s">
        <v>15</v>
      </c>
      <c r="DF11" s="175" t="s">
        <v>16</v>
      </c>
      <c r="DG11" s="177" t="s">
        <v>15</v>
      </c>
      <c r="DH11" s="178" t="s">
        <v>16</v>
      </c>
      <c r="DI11" s="177" t="s">
        <v>15</v>
      </c>
      <c r="DJ11" s="178" t="s">
        <v>16</v>
      </c>
      <c r="DK11" s="179" t="s">
        <v>15</v>
      </c>
      <c r="DL11" s="180" t="s">
        <v>16</v>
      </c>
      <c r="DM11" s="181" t="s">
        <v>17</v>
      </c>
      <c r="DN11" s="113"/>
      <c r="DO11" s="182"/>
      <c r="DP11" s="182"/>
    </row>
    <row r="12">
      <c r="A12" s="183" t="s">
        <v>18</v>
      </c>
      <c r="B12" s="184" t="s">
        <v>19</v>
      </c>
      <c r="C12" s="185"/>
      <c r="D12" s="185"/>
      <c r="E12" s="186"/>
      <c r="F12" s="187">
        <f t="shared" ref="F12:G12" si="8">F24+F41+F58+F79+F100+F117</f>
        <v>510000</v>
      </c>
      <c r="G12" s="187">
        <f t="shared" si="8"/>
        <v>438290.01</v>
      </c>
      <c r="H12" s="188">
        <f>IFERROR(G12/F12,"")</f>
        <v>0.8593921765</v>
      </c>
      <c r="I12" s="189" t="str">
        <f>IFERROR(__xludf.DUMMYFUNCTION("IFERROR(SPARKLINE(H12,{""charttype"",""bar"";""color1"",IF(H12&gt;='Апрель'!green_percent,'Апрель'!green,IF(H12&gt;='Апрель'!yellow_percent,'Апрель'!yellow,IF(H12&gt;='Апрель'!orange_percent,'Апрель'!orange,'Апрель'!red)));""max"",1}))"),"")</f>
        <v/>
      </c>
      <c r="J12" s="190"/>
      <c r="K12" s="191"/>
      <c r="L12" s="191"/>
      <c r="M12" s="192"/>
      <c r="N12" s="193"/>
      <c r="O12" s="194">
        <f>F12/30</f>
        <v>17000</v>
      </c>
      <c r="P12" s="195">
        <f>P24+P41+P58+P79+P100+P117</f>
        <v>4487.67</v>
      </c>
      <c r="Q12" s="196">
        <v>17000.0</v>
      </c>
      <c r="R12" s="195">
        <f>R24+R41+R58+R79+R100+R117</f>
        <v>5268.67</v>
      </c>
      <c r="S12" s="196">
        <v>17000.0</v>
      </c>
      <c r="T12" s="195">
        <f>T24+T41+T58+T79+T100+T117</f>
        <v>5621.67</v>
      </c>
      <c r="U12" s="196">
        <v>17000.0</v>
      </c>
      <c r="V12" s="195">
        <f>V24+V41+V58+V79+V100+V117</f>
        <v>6274.666667</v>
      </c>
      <c r="W12" s="197">
        <v>17000.0</v>
      </c>
      <c r="X12" s="195">
        <f>X24+X41+X58+X79+X100+X117</f>
        <v>6297.666667</v>
      </c>
      <c r="Y12" s="198">
        <f>O12+Q12+S12+U12+W12</f>
        <v>85000</v>
      </c>
      <c r="Z12" s="199">
        <f>Z24+Z41+Z58+Z79+Z100+Z117</f>
        <v>27950.34333</v>
      </c>
      <c r="AA12" s="200">
        <f>IFERROR(Z12/Y12,"")</f>
        <v>0.3288275686</v>
      </c>
      <c r="AB12" s="201" t="str">
        <f>IFERROR(__xludf.DUMMYFUNCTION("IFERROR(SPARKLINE(AA12,{""charttype"",""bar"";""color1"",IF(AA12&gt;='Апрель'!green_percent,'Апрель'!green,IF(AA12&gt;='Апрель'!yellow_percent,'Апрель'!yellow,IF(AA12&gt;='Апрель'!orange_percent,'Апрель'!orange,'Апрель'!red)));""max"",1}))"),"")</f>
        <v/>
      </c>
      <c r="AC12" s="194">
        <v>17000.0</v>
      </c>
      <c r="AD12" s="195">
        <f>AD24+AD41+AD58+AD79+AD100+AD117</f>
        <v>3747.666667</v>
      </c>
      <c r="AE12" s="197">
        <v>17000.0</v>
      </c>
      <c r="AF12" s="195">
        <f>AF24+AF41+AF58+AF79+AF100+AF117</f>
        <v>4042.666667</v>
      </c>
      <c r="AG12" s="197">
        <v>17000.0</v>
      </c>
      <c r="AH12" s="195">
        <f>AH24+AH41+AH58+AH79+AH100+AH117</f>
        <v>4381.666667</v>
      </c>
      <c r="AI12" s="197">
        <v>17000.0</v>
      </c>
      <c r="AJ12" s="195">
        <f>AJ24+AJ41+AJ58+AJ79+AJ100+AJ117</f>
        <v>4295.666667</v>
      </c>
      <c r="AK12" s="197">
        <v>17000.0</v>
      </c>
      <c r="AL12" s="195">
        <f>AL24+AL41+AL58+AL79+AL100+AL117</f>
        <v>5127.666667</v>
      </c>
      <c r="AM12" s="197">
        <v>17000.0</v>
      </c>
      <c r="AN12" s="195">
        <f>AN24+AN41+AN58+AN79+AN100+AN117</f>
        <v>5450.666667</v>
      </c>
      <c r="AO12" s="197">
        <v>17000.0</v>
      </c>
      <c r="AP12" s="195">
        <f>AP24+AP41+AP58+AP79+AP100+AP117</f>
        <v>4050.666667</v>
      </c>
      <c r="AQ12" s="198">
        <f>AC12+AE12+AG12+AI12+AK12+AM12+AO12</f>
        <v>119000</v>
      </c>
      <c r="AR12" s="199">
        <f>AR24+AR41+AR58+AR79+AR100+AR117</f>
        <v>136096.6667</v>
      </c>
      <c r="AS12" s="202">
        <f>IFERROR(AR12/AQ12,"")</f>
        <v>1.143669468</v>
      </c>
      <c r="AT12" s="203" t="str">
        <f>IFERROR(__xludf.DUMMYFUNCTION("IFERROR(SPARKLINE(AS12,{""charttype"",""bar"";""color1"",IF(AS12&gt;='Апрель'!green_percent,'Апрель'!green,IF(AS12&gt;='Апрель'!yellow_percent,'Апрель'!yellow,IF(AS12&gt;='Апрель'!orange_percent,'Апрель'!orange,'Апрель'!red)));""max"",1}))"),"")</f>
        <v/>
      </c>
      <c r="AU12" s="197">
        <v>17000.0</v>
      </c>
      <c r="AV12" s="195">
        <f>AV24+AV41+AV58+AV79+AV100+AV117</f>
        <v>5890.666667</v>
      </c>
      <c r="AW12" s="197">
        <v>17000.0</v>
      </c>
      <c r="AX12" s="195">
        <f>AX24+AX41+AX58+AX79+AX100+AX117</f>
        <v>6777.666667</v>
      </c>
      <c r="AY12" s="197">
        <v>17000.0</v>
      </c>
      <c r="AZ12" s="195">
        <f>AZ24+AZ41+AZ58+AZ79+AZ100+AZ117</f>
        <v>6742.666667</v>
      </c>
      <c r="BA12" s="197">
        <v>17000.0</v>
      </c>
      <c r="BB12" s="195">
        <f>BB24+BB41+BB58+BB79+BB100+BB117</f>
        <v>6416.666667</v>
      </c>
      <c r="BC12" s="197">
        <v>17000.0</v>
      </c>
      <c r="BD12" s="195">
        <f>BD24+BD41+BD58+BD79+BD100+BD117</f>
        <v>6702.666667</v>
      </c>
      <c r="BE12" s="197">
        <v>17000.0</v>
      </c>
      <c r="BF12" s="195">
        <f>BF24+BF41+BF58+BF79+BF100+BF117</f>
        <v>7091.666667</v>
      </c>
      <c r="BG12" s="197">
        <v>17000.0</v>
      </c>
      <c r="BH12" s="195">
        <f>BH24+BH41+BH58+BH79+BH100+BH117</f>
        <v>7557.666667</v>
      </c>
      <c r="BI12" s="198">
        <f>AU12+AW12+AY12+BA12+BC12+BE12+BG12</f>
        <v>119000</v>
      </c>
      <c r="BJ12" s="199">
        <f>BJ24+BJ41+BJ58+BJ79+BJ100+BJ117</f>
        <v>107179.6667</v>
      </c>
      <c r="BK12" s="202">
        <f>IFERROR(BJ12/BI12,"")</f>
        <v>0.9006694678</v>
      </c>
      <c r="BL12" s="203" t="str">
        <f>IFERROR(__xludf.DUMMYFUNCTION("IFERROR(SPARKLINE(BK12,{""charttype"",""bar"";""color1"",IF(BK12&gt;='Апрель'!green_percent,'Апрель'!green,IF(BK12&gt;='Апрель'!yellow_percent,'Апрель'!yellow,IF(BK12&gt;='Апрель'!orange_percent,'Апрель'!orange,'Апрель'!red)));""max"",1}))"),"")</f>
        <v/>
      </c>
      <c r="BM12" s="197">
        <v>17000.0</v>
      </c>
      <c r="BN12" s="195">
        <f>BN24+BN41+BN58+BN79+BN100+BN117</f>
        <v>6669.666667</v>
      </c>
      <c r="BO12" s="197">
        <v>17000.0</v>
      </c>
      <c r="BP12" s="195">
        <f>BP24+BP41+BP58+BP79+BP100+BP117</f>
        <v>6139.666667</v>
      </c>
      <c r="BQ12" s="197">
        <v>17000.0</v>
      </c>
      <c r="BR12" s="195">
        <f>BR24+BR41+BR58+BR79+BR100+BR117</f>
        <v>6301.666667</v>
      </c>
      <c r="BS12" s="197">
        <v>17000.0</v>
      </c>
      <c r="BT12" s="195">
        <f>BT24+BT41+BT58+BT79+BT100+BT117</f>
        <v>7423.666667</v>
      </c>
      <c r="BU12" s="197">
        <v>17000.0</v>
      </c>
      <c r="BV12" s="195">
        <f>BV24+BV41+BV58+BV79+BV100+BV117</f>
        <v>7077.666667</v>
      </c>
      <c r="BW12" s="197">
        <v>17000.0</v>
      </c>
      <c r="BX12" s="195">
        <f>BX24+BX41+BX58+BX79+BX100+BX117</f>
        <v>8213.666667</v>
      </c>
      <c r="BY12" s="197">
        <v>17000.0</v>
      </c>
      <c r="BZ12" s="195">
        <f>BZ24+BZ41+BZ58+BZ79+BZ100+BZ117</f>
        <v>7493.666667</v>
      </c>
      <c r="CA12" s="198">
        <f>BM12+BO12+BQ12+BS12+BU12+BW12+BY12</f>
        <v>119000</v>
      </c>
      <c r="CB12" s="199">
        <f>CB24+CB41+CB58+CB79+CB100+CB117</f>
        <v>109319.6667</v>
      </c>
      <c r="CC12" s="202">
        <f>IFERROR(CB12/CA12,"")</f>
        <v>0.9186526611</v>
      </c>
      <c r="CD12" s="203" t="str">
        <f>IFERROR(__xludf.DUMMYFUNCTION("IFERROR(SPARKLINE(CC12,{""charttype"",""bar"";""color1"",IF(CC12&gt;='Апрель'!green_percent,'Апрель'!green,IF(CC12&gt;='Апрель'!yellow_percent,'Апрель'!yellow,IF(CC12&gt;='Апрель'!orange_percent,'Апрель'!orange,'Апрель'!red)));""max"",1}))"),"")</f>
        <v/>
      </c>
      <c r="CE12" s="197">
        <v>17000.0</v>
      </c>
      <c r="CF12" s="195">
        <f>CF24+CF41+CF58+CF79+CF100+CF117</f>
        <v>6388.666667</v>
      </c>
      <c r="CG12" s="194">
        <v>17000.0</v>
      </c>
      <c r="CH12" s="195">
        <f>CH24+CH41+CH58+CH79+CH100+CH117</f>
        <v>8436.666667</v>
      </c>
      <c r="CI12" s="194">
        <v>17000.0</v>
      </c>
      <c r="CJ12" s="195">
        <f>CJ24+CJ41+CJ58+CJ79+CJ100+CJ117</f>
        <v>5419.666667</v>
      </c>
      <c r="CK12" s="194">
        <v>17000.0</v>
      </c>
      <c r="CL12" s="195">
        <f>CL24+CL41+CL58+CL79+CL100+CL117</f>
        <v>7498.666667</v>
      </c>
      <c r="CM12" s="194"/>
      <c r="CN12" s="195"/>
      <c r="CO12" s="194"/>
      <c r="CP12" s="195"/>
      <c r="CQ12" s="194"/>
      <c r="CR12" s="204"/>
      <c r="CS12" s="205">
        <f>CE12+CG12+CI12+CK12+CM12+CO12+CQ12</f>
        <v>68000</v>
      </c>
      <c r="CT12" s="206">
        <f>CF12+CH12+CJ12+CL12</f>
        <v>27743.66667</v>
      </c>
      <c r="CU12" s="207">
        <f t="shared" ref="CU12:CU35" si="11">IFERROR(CT12/CS12,"")</f>
        <v>0.407995098</v>
      </c>
      <c r="CV12" s="208" t="str">
        <f>IFERROR(__xludf.DUMMYFUNCTION("IFERROR(SPARKLINE(CU12,{""charttype"",""bar"";""color1"",IF(CU12&gt;='Апрель'!green_percent,'Апрель'!green,IF(CU12&gt;='Апрель'!yellow_percent,'Апрель'!yellow,IF(CU12&gt;='Апрель'!orange_percent,'Апрель'!orange,'Апрель'!red)));""max"",1}))"),"")</f>
        <v/>
      </c>
      <c r="CW12" s="209"/>
      <c r="CX12" s="191"/>
      <c r="CY12" s="191"/>
      <c r="CZ12" s="191"/>
      <c r="DA12" s="192"/>
      <c r="DB12" s="191"/>
      <c r="DC12" s="192"/>
      <c r="DD12" s="191"/>
      <c r="DE12" s="192"/>
      <c r="DF12" s="191"/>
      <c r="DG12" s="192"/>
      <c r="DH12" s="191"/>
      <c r="DI12" s="192"/>
      <c r="DJ12" s="191"/>
      <c r="DK12" s="210">
        <f t="shared" ref="DK12:DL12" si="9">CW12+CY12+DA12+DC12+DE12+DG12+DI12</f>
        <v>0</v>
      </c>
      <c r="DL12" s="211">
        <f t="shared" si="9"/>
        <v>0</v>
      </c>
      <c r="DM12" s="212" t="str">
        <f>IFERROR(DL12/DK12,"")</f>
        <v/>
      </c>
      <c r="DN12" s="213" t="str">
        <f>IFERROR(__xludf.DUMMYFUNCTION("IFERROR(SPARKLINE(DM12,{""charttype"",""bar"";""color1"",IF(DM12&gt;='Апрель'!green_percent,'Апрель'!green,IF(DM12&gt;='Апрель'!yellow_percent,'Апрель'!yellow,IF(DM12&gt;='Апрель'!orange_percent,'Апрель'!orange,'Апрель'!red)));""max"",1}))"),"")</f>
        <v/>
      </c>
      <c r="DO12" s="214"/>
      <c r="DP12" s="214"/>
    </row>
    <row r="13">
      <c r="A13" s="215"/>
      <c r="B13" s="216" t="s">
        <v>20</v>
      </c>
      <c r="C13" s="217"/>
      <c r="D13" s="217"/>
      <c r="E13" s="218"/>
      <c r="F13" s="219">
        <f t="shared" ref="F13:G13" si="10">F12/F22</f>
        <v>0.1151241535</v>
      </c>
      <c r="G13" s="220">
        <f t="shared" si="10"/>
        <v>1.197023105</v>
      </c>
      <c r="H13" s="221" t="str">
        <f>IF(F13&lt;&gt;0,IF(G13&gt;F13*1.04,"Не в плане","В плане"),)</f>
        <v>Не в плане</v>
      </c>
      <c r="I13" s="222"/>
      <c r="J13" s="223"/>
      <c r="K13" s="219"/>
      <c r="L13" s="219"/>
      <c r="M13" s="224"/>
      <c r="N13" s="225"/>
      <c r="O13" s="226">
        <f>O12/O22</f>
        <v>0.1151241535</v>
      </c>
      <c r="P13" s="227"/>
      <c r="Q13" s="226">
        <f>Q12/Q22</f>
        <v>0.1151241535</v>
      </c>
      <c r="R13" s="227"/>
      <c r="S13" s="226">
        <f>S12/S22</f>
        <v>0.1151241535</v>
      </c>
      <c r="T13" s="227"/>
      <c r="U13" s="226">
        <f>U12/U22</f>
        <v>0.1151241535</v>
      </c>
      <c r="V13" s="227"/>
      <c r="W13" s="226">
        <f>W12/W22</f>
        <v>0.1151241535</v>
      </c>
      <c r="X13" s="227"/>
      <c r="Y13" s="219">
        <f>Y12/Y22</f>
        <v>0.1156547184</v>
      </c>
      <c r="Z13" s="219"/>
      <c r="AA13" s="225" t="str">
        <f>IF(Y13&lt;&gt;0,IF(Z13&gt;Y13,"Не в плане","В плане"),)</f>
        <v>В плане</v>
      </c>
      <c r="AB13" s="222"/>
      <c r="AC13" s="226">
        <f>AC12/AC22</f>
        <v>0.1151241535</v>
      </c>
      <c r="AD13" s="227"/>
      <c r="AE13" s="226">
        <f>AE12/AE22</f>
        <v>0.1151241535</v>
      </c>
      <c r="AF13" s="227"/>
      <c r="AG13" s="226">
        <f>AG12/AG22</f>
        <v>0.1151241535</v>
      </c>
      <c r="AH13" s="227"/>
      <c r="AI13" s="226">
        <f>AI12/AI22</f>
        <v>0.1151241535</v>
      </c>
      <c r="AJ13" s="227"/>
      <c r="AK13" s="226">
        <f>AK12/AK22</f>
        <v>0.1151241535</v>
      </c>
      <c r="AL13" s="227"/>
      <c r="AM13" s="226">
        <f>AM12/AM22</f>
        <v>0.1151241535</v>
      </c>
      <c r="AN13" s="227"/>
      <c r="AO13" s="226">
        <f>AO12/AO22</f>
        <v>0.1151241535</v>
      </c>
      <c r="AP13" s="227"/>
      <c r="AQ13" s="219">
        <f>AQ12/AQ22</f>
        <v>0.1204112719</v>
      </c>
      <c r="AR13" s="219"/>
      <c r="AS13" s="221" t="str">
        <f>IF(AQ13&lt;&gt;0,IF(AR13&gt;AQ13,"Не в плане","В плане"),)</f>
        <v>В плане</v>
      </c>
      <c r="AT13" s="222"/>
      <c r="AU13" s="226">
        <f>AU12/AU22</f>
        <v>0.1151241535</v>
      </c>
      <c r="AV13" s="227"/>
      <c r="AW13" s="226">
        <f>AW12/AW22</f>
        <v>0.1151241535</v>
      </c>
      <c r="AX13" s="227"/>
      <c r="AY13" s="226">
        <f>AY12/AY22</f>
        <v>0.1151241535</v>
      </c>
      <c r="AZ13" s="227"/>
      <c r="BA13" s="226">
        <f>BA12/BA22</f>
        <v>0.1151241535</v>
      </c>
      <c r="BB13" s="227"/>
      <c r="BC13" s="226">
        <f>BC12/BC22</f>
        <v>0.1151241535</v>
      </c>
      <c r="BD13" s="227"/>
      <c r="BE13" s="226">
        <f>BE12/BE22</f>
        <v>0.1151241535</v>
      </c>
      <c r="BF13" s="227"/>
      <c r="BG13" s="226">
        <f>BG12/BG22</f>
        <v>0.1151241535</v>
      </c>
      <c r="BH13" s="227"/>
      <c r="BI13" s="219">
        <f>BI12/BI22</f>
        <v>0.1204112719</v>
      </c>
      <c r="BJ13" s="219"/>
      <c r="BK13" s="221" t="str">
        <f>IF(BI13&lt;&gt;0,IF(BJ13&gt;BI13,"Не в плане","В плане"),)</f>
        <v>В плане</v>
      </c>
      <c r="BL13" s="222"/>
      <c r="BM13" s="226">
        <f>BM12/BM22</f>
        <v>0.1151241535</v>
      </c>
      <c r="BN13" s="227"/>
      <c r="BO13" s="226">
        <f>BO12/BO22</f>
        <v>0.1151241535</v>
      </c>
      <c r="BP13" s="227"/>
      <c r="BQ13" s="226">
        <f>BQ12/BQ22</f>
        <v>0.1151241535</v>
      </c>
      <c r="BR13" s="227"/>
      <c r="BS13" s="226">
        <f>BS12/BS22</f>
        <v>0.1151241535</v>
      </c>
      <c r="BT13" s="227"/>
      <c r="BU13" s="226">
        <f>BU12/BU22</f>
        <v>0.1151241535</v>
      </c>
      <c r="BV13" s="227"/>
      <c r="BW13" s="226">
        <f>BW12/BW22</f>
        <v>0.1151241535</v>
      </c>
      <c r="BX13" s="227"/>
      <c r="BY13" s="226">
        <f>BY12/BY22</f>
        <v>0.1151241535</v>
      </c>
      <c r="BZ13" s="227"/>
      <c r="CA13" s="219">
        <f>CA12/CA22</f>
        <v>0.1204112719</v>
      </c>
      <c r="CB13" s="219"/>
      <c r="CC13" s="219" t="str">
        <f>IF(CA13&lt;&gt;0,IF(CB13&gt;CA13,"Не в плане","В плане"),)</f>
        <v>В плане</v>
      </c>
      <c r="CD13" s="227"/>
      <c r="CE13" s="226">
        <f>CE12/CE22</f>
        <v>0.1151241535</v>
      </c>
      <c r="CF13" s="227"/>
      <c r="CG13" s="226">
        <f>CG12/CG22</f>
        <v>0.1151241535</v>
      </c>
      <c r="CH13" s="227"/>
      <c r="CI13" s="226">
        <f>CI12/CI22</f>
        <v>0.1151241535</v>
      </c>
      <c r="CJ13" s="227"/>
      <c r="CK13" s="226">
        <f>CK12/CK22</f>
        <v>0.1151241535</v>
      </c>
      <c r="CL13" s="227"/>
      <c r="CM13" s="228"/>
      <c r="CN13" s="229"/>
      <c r="CO13" s="228"/>
      <c r="CP13" s="229"/>
      <c r="CQ13" s="228"/>
      <c r="CR13" s="225"/>
      <c r="CS13" s="228">
        <f>CS12/CS22</f>
        <v>0.1117906405</v>
      </c>
      <c r="CT13" s="230" t="str">
        <f>IF(#REF!=0,0,CT12/#REF!)</f>
        <v>#REF!</v>
      </c>
      <c r="CU13" s="231" t="str">
        <f t="shared" si="11"/>
        <v/>
      </c>
      <c r="CV13" s="232" t="str">
        <f>IFERROR(__xludf.DUMMYFUNCTION("IFERROR(SPARKLINE(CU13,{""charttype"",""bar"";""color1"",IF(CU13&gt;='Апрель'!green_percent,'Апрель'!green,IF(CU13&gt;='Апрель'!yellow_percent,'Апрель'!yellow,IF(CU13&gt;='Апрель'!orange_percent,'Апрель'!orange,'Апрель'!red)));""max"",1}))"),"")</f>
        <v/>
      </c>
      <c r="CW13" s="233"/>
      <c r="CX13" s="225"/>
      <c r="CY13" s="228"/>
      <c r="CZ13" s="225"/>
      <c r="DA13" s="228" t="str">
        <f>$J$13</f>
        <v/>
      </c>
      <c r="DB13" s="225" t="str">
        <f>IF(#REF!=0,0,DB12/#REF!)</f>
        <v>#REF!</v>
      </c>
      <c r="DC13" s="228" t="str">
        <f>$J$13</f>
        <v/>
      </c>
      <c r="DD13" s="225" t="str">
        <f>IF(#REF!=0,0,DD12/#REF!)</f>
        <v>#REF!</v>
      </c>
      <c r="DE13" s="228" t="str">
        <f>$J$13</f>
        <v/>
      </c>
      <c r="DF13" s="225" t="str">
        <f>IF(#REF!=0,0,DF12/#REF!)</f>
        <v>#REF!</v>
      </c>
      <c r="DG13" s="228" t="str">
        <f>$J$13</f>
        <v/>
      </c>
      <c r="DH13" s="225" t="str">
        <f>IF(#REF!=0,0,DH12/#REF!)</f>
        <v>#REF!</v>
      </c>
      <c r="DI13" s="228" t="str">
        <f>$J$13</f>
        <v/>
      </c>
      <c r="DJ13" s="225" t="str">
        <f>IF(#REF!=0,0,DJ12/#REF!)</f>
        <v>#REF!</v>
      </c>
      <c r="DK13" s="234">
        <v>0.29</v>
      </c>
      <c r="DL13" s="235" t="str">
        <f>IF(#REF!=0,0,DL12/#REF!)</f>
        <v>#REF!</v>
      </c>
      <c r="DM13" s="236" t="str">
        <f>IF(DL13&lt;&gt;0,IF(DM13&gt;DL13,"Не в плане","В плане"),)</f>
        <v>#REF!</v>
      </c>
      <c r="DN13" s="237"/>
      <c r="DO13" s="238"/>
      <c r="DP13" s="239"/>
    </row>
    <row r="14">
      <c r="A14" s="240"/>
      <c r="B14" s="241" t="s">
        <v>21</v>
      </c>
      <c r="C14" s="242"/>
      <c r="D14" s="242"/>
      <c r="E14" s="243"/>
      <c r="F14" s="244">
        <f t="shared" ref="F14:G14" si="12">F26+F43+F64+F85+F106+F119</f>
        <v>143</v>
      </c>
      <c r="G14" s="244">
        <f t="shared" si="12"/>
        <v>107</v>
      </c>
      <c r="H14" s="245">
        <f t="shared" ref="H14:H20" si="15">IFERROR(G14/F14,"")</f>
        <v>0.7482517483</v>
      </c>
      <c r="I14" s="246" t="str">
        <f>IFERROR(__xludf.DUMMYFUNCTION("IFERROR(SPARKLINE(H14,{""charttype"",""bar"";""color1"",IF(H14&gt;='Апрель'!green_percent,'Апрель'!green,IF(H14&gt;='Апрель'!yellow_percent,'Апрель'!yellow,IF(H14&gt;='Апрель'!orange_percent,'Апрель'!orange,'Апрель'!red)));""max"",1}))"),"")</f>
        <v/>
      </c>
      <c r="J14" s="247"/>
      <c r="K14" s="248"/>
      <c r="L14" s="248"/>
      <c r="M14" s="248"/>
      <c r="N14" s="249"/>
      <c r="O14" s="250">
        <f>F14/30</f>
        <v>4.766666667</v>
      </c>
      <c r="P14" s="246">
        <f>P26+P43+P64+P85+P107+P119</f>
        <v>6</v>
      </c>
      <c r="Q14" s="250">
        <v>4.766666666666667</v>
      </c>
      <c r="R14" s="246">
        <f>R26+R43+R64+R85+R107+R119</f>
        <v>6</v>
      </c>
      <c r="S14" s="250">
        <v>4.766666666666667</v>
      </c>
      <c r="T14" s="246">
        <f>T26+T43+T64+T85+T107+T119</f>
        <v>2</v>
      </c>
      <c r="U14" s="250">
        <v>4.766666666666667</v>
      </c>
      <c r="V14" s="246">
        <f>V26+V43+V64+V85+V107+V119</f>
        <v>2</v>
      </c>
      <c r="W14" s="251">
        <v>4.766666666666667</v>
      </c>
      <c r="X14" s="246">
        <f>X26+X43+X64+X85+X107+X119</f>
        <v>2</v>
      </c>
      <c r="Y14" s="250">
        <f>O14+Q14+S14+U14+W14</f>
        <v>23.83333333</v>
      </c>
      <c r="Z14" s="248">
        <f>Z26+Z43+Z64+Z85+Z107+Z119</f>
        <v>19</v>
      </c>
      <c r="AA14" s="245">
        <f t="shared" ref="AA14:AA20" si="18">IFERROR(Z14/Y14,"")</f>
        <v>0.7972027972</v>
      </c>
      <c r="AB14" s="246" t="str">
        <f>IFERROR(__xludf.DUMMYFUNCTION("IFERROR(SPARKLINE(AA14,{""charttype"",""bar"";""color1"",IF(AA14&gt;='Апрель'!green_percent,'Апрель'!green,IF(AA14&gt;='Апрель'!yellow_percent,'Апрель'!yellow,IF(AA14&gt;='Апрель'!orange_percent,'Апрель'!orange,'Апрель'!red)));""max"",1}))"),"")</f>
        <v/>
      </c>
      <c r="AC14" s="250">
        <v>4.766666666666667</v>
      </c>
      <c r="AD14" s="246">
        <f>AD26+AD43+AD64+AD85+AD107+AD119</f>
        <v>2</v>
      </c>
      <c r="AE14" s="252">
        <v>4.766666666666667</v>
      </c>
      <c r="AF14" s="246">
        <f>AF26+AF43+AF64+AF85+AF107+AF119</f>
        <v>3</v>
      </c>
      <c r="AG14" s="252">
        <v>4.766666666666667</v>
      </c>
      <c r="AH14" s="246">
        <f>AH26+AH43+AH64+AH85+AH107+AH119</f>
        <v>2</v>
      </c>
      <c r="AI14" s="252">
        <v>4.766666666666667</v>
      </c>
      <c r="AJ14" s="246">
        <f>AJ26+AJ43+AJ64+AJ85+AJ107+AJ119</f>
        <v>4</v>
      </c>
      <c r="AK14" s="252">
        <v>4.766666666666667</v>
      </c>
      <c r="AL14" s="246">
        <f>AL26+AL43+AL64+AL85+AL107+AL119</f>
        <v>5</v>
      </c>
      <c r="AM14" s="252">
        <v>4.766666666666667</v>
      </c>
      <c r="AN14" s="246">
        <f>AN26+AN43+AN64+AN85+AN107+AN119</f>
        <v>0</v>
      </c>
      <c r="AO14" s="252">
        <v>4.766666666666667</v>
      </c>
      <c r="AP14" s="246">
        <f>AP26+AP43+AP64+AP85+AP107+AP119</f>
        <v>0</v>
      </c>
      <c r="AQ14" s="250">
        <f>AC14+AE14+AG14+AI14+AK14+AM14+AO14</f>
        <v>33.36666667</v>
      </c>
      <c r="AR14" s="248">
        <f>AR26+AR43+AR64+AR85+AR107+AR119</f>
        <v>16</v>
      </c>
      <c r="AS14" s="253">
        <f t="shared" ref="AS14:AS20" si="20">IFERROR(AR14/AQ14,"")</f>
        <v>0.4795204795</v>
      </c>
      <c r="AT14" s="254" t="str">
        <f>IFERROR(__xludf.DUMMYFUNCTION("IFERROR(SPARKLINE(AS14,{""charttype"",""bar"";""color1"",IF(AS14&gt;='Апрель'!green_percent,'Апрель'!green,IF(AS14&gt;='Апрель'!yellow_percent,'Апрель'!yellow,IF(AS14&gt;='Апрель'!orange_percent,'Апрель'!orange,'Апрель'!red)));""max"",1}))"),"")</f>
        <v/>
      </c>
      <c r="AU14" s="252">
        <v>4.766666666666667</v>
      </c>
      <c r="AV14" s="246">
        <f>AV26+AV43+AV64+AV85+AV107+AV119</f>
        <v>7</v>
      </c>
      <c r="AW14" s="252">
        <v>4.766666666666667</v>
      </c>
      <c r="AX14" s="246">
        <f>AX26+AX43+AX64+AX85+AX107+AX119</f>
        <v>4</v>
      </c>
      <c r="AY14" s="252">
        <v>4.766666666666667</v>
      </c>
      <c r="AZ14" s="246">
        <f>AZ26+AZ43+AZ64+AZ85+AZ107+AZ119</f>
        <v>5</v>
      </c>
      <c r="BA14" s="252">
        <v>4.766666666666667</v>
      </c>
      <c r="BB14" s="246">
        <f>BB26+BB43+BB64+BB85+BB107+BB119</f>
        <v>1</v>
      </c>
      <c r="BC14" s="252">
        <v>4.766666666666667</v>
      </c>
      <c r="BD14" s="246">
        <f>BD26+BD43+BD64+BD85+BD107+BD119</f>
        <v>4</v>
      </c>
      <c r="BE14" s="252">
        <v>4.766666666666667</v>
      </c>
      <c r="BF14" s="246">
        <f>BF26+BF43+BF64+BF85+BF107+BF119</f>
        <v>1</v>
      </c>
      <c r="BG14" s="252">
        <v>4.766666666666667</v>
      </c>
      <c r="BH14" s="246">
        <f>BH26+BH43+BH64+BH85+BH107+BH119</f>
        <v>1</v>
      </c>
      <c r="BI14" s="250">
        <f>AU14+AW14+AY14+BA14+BC14+BE14+BG14</f>
        <v>33.36666667</v>
      </c>
      <c r="BJ14" s="248">
        <f>BJ26+BJ43+BJ64+BJ85+BJ107+BJ119</f>
        <v>23</v>
      </c>
      <c r="BK14" s="253">
        <f t="shared" ref="BK14:BK20" si="22">IFERROR(BJ14/BI14,"")</f>
        <v>0.6893106893</v>
      </c>
      <c r="BL14" s="254" t="str">
        <f>IFERROR(__xludf.DUMMYFUNCTION("IFERROR(SPARKLINE(BK14,{""charttype"",""bar"";""color1"",IF(BK14&gt;='Апрель'!green_percent,'Апрель'!green,IF(BK14&gt;='Апрель'!yellow_percent,'Апрель'!yellow,IF(BK14&gt;='Апрель'!orange_percent,'Апрель'!orange,'Апрель'!red)));""max"",1}))"),"")</f>
        <v/>
      </c>
      <c r="BM14" s="252">
        <v>4.766666666666667</v>
      </c>
      <c r="BN14" s="246">
        <f>BN26+BN43+BN64+BN85+BN107+BN119</f>
        <v>11</v>
      </c>
      <c r="BO14" s="252">
        <v>4.766666666666667</v>
      </c>
      <c r="BP14" s="246">
        <f>BP26+BP43+BP64+BP85+BP107+BP119</f>
        <v>6</v>
      </c>
      <c r="BQ14" s="252">
        <v>4.766666666666667</v>
      </c>
      <c r="BR14" s="246">
        <f>BR26+BR43+BR64+BR85+BR107+BR119</f>
        <v>4</v>
      </c>
      <c r="BS14" s="252">
        <v>4.766666666666667</v>
      </c>
      <c r="BT14" s="246">
        <f>BT26+BT43+BT64+BT85+BT107+BT119</f>
        <v>4</v>
      </c>
      <c r="BU14" s="252">
        <v>4.766666666666667</v>
      </c>
      <c r="BV14" s="246">
        <f>BV26+BV43+BV64+BV85+BV107+BV119</f>
        <v>7</v>
      </c>
      <c r="BW14" s="252">
        <v>4.766666666666667</v>
      </c>
      <c r="BX14" s="246">
        <f>BX26+BX43+BX64+BX85+BX107+BX119</f>
        <v>0</v>
      </c>
      <c r="BY14" s="252">
        <v>4.766666666666667</v>
      </c>
      <c r="BZ14" s="246">
        <f>BZ26+BZ43+BZ64+BZ85+BZ107+BZ119</f>
        <v>0</v>
      </c>
      <c r="CA14" s="255">
        <f>BM14+BO14+BQ14+BS14+BU14+BW14+BY14</f>
        <v>33.36666667</v>
      </c>
      <c r="CB14" s="248">
        <f>CB26+CB43+CB64+CB85+CB107+CB119</f>
        <v>31</v>
      </c>
      <c r="CC14" s="253">
        <f t="shared" ref="CC14:CC20" si="23">IFERROR(CB14/CA14,"")</f>
        <v>0.9290709291</v>
      </c>
      <c r="CD14" s="254" t="str">
        <f>IFERROR(__xludf.DUMMYFUNCTION("IFERROR(SPARKLINE(CC14,{""charttype"",""bar"";""color1"",IF(CC14&gt;='Апрель'!green_percent,'Апрель'!green,IF(CC14&gt;='Апрель'!yellow_percent,'Апрель'!yellow,IF(CC14&gt;='Апрель'!orange_percent,'Апрель'!orange,'Апрель'!red)));""max"",1}))"),"")</f>
        <v/>
      </c>
      <c r="CE14" s="252">
        <v>4.766666666666667</v>
      </c>
      <c r="CF14" s="246">
        <f>CF26+CF43+CF64+CF85+CF107+CF119</f>
        <v>3</v>
      </c>
      <c r="CG14" s="252">
        <v>4.766666666666667</v>
      </c>
      <c r="CH14" s="246">
        <f>CH26+CH43+CH64+CH85+CH107+CH119</f>
        <v>3</v>
      </c>
      <c r="CI14" s="252">
        <v>4.766666666666667</v>
      </c>
      <c r="CJ14" s="246">
        <f>CJ26+CJ43+CJ64+CJ85+CJ107+CJ119</f>
        <v>9</v>
      </c>
      <c r="CK14" s="252">
        <v>4.766666666666667</v>
      </c>
      <c r="CL14" s="246">
        <f>CL26+CL43+CL64+CL85+CL107+CL119</f>
        <v>2</v>
      </c>
      <c r="CM14" s="256"/>
      <c r="CN14" s="246"/>
      <c r="CO14" s="256"/>
      <c r="CP14" s="246"/>
      <c r="CQ14" s="256"/>
      <c r="CR14" s="249"/>
      <c r="CS14" s="257">
        <f>CE14+CG14+CI14+CK14+CM14+CO14+CQ14</f>
        <v>19.06666667</v>
      </c>
      <c r="CT14" s="258">
        <f>CF14+CH14+CJ14+CL14</f>
        <v>17</v>
      </c>
      <c r="CU14" s="259">
        <f t="shared" si="11"/>
        <v>0.8916083916</v>
      </c>
      <c r="CV14" s="260" t="str">
        <f>IFERROR(__xludf.DUMMYFUNCTION("IFERROR(SPARKLINE(CU14,{""charttype"",""bar"";""color1"",IF(CU14&gt;='Апрель'!green_percent,'Апрель'!green,IF(CU14&gt;='Апрель'!yellow_percent,'Апрель'!yellow,IF(CU14&gt;='Апрель'!orange_percent,'Апрель'!orange,'Апрель'!red)));""max"",1}))"),"")</f>
        <v/>
      </c>
      <c r="CW14" s="261"/>
      <c r="CX14" s="248"/>
      <c r="CY14" s="261"/>
      <c r="CZ14" s="248"/>
      <c r="DA14" s="262"/>
      <c r="DB14" s="262"/>
      <c r="DC14" s="262"/>
      <c r="DD14" s="262"/>
      <c r="DE14" s="262"/>
      <c r="DF14" s="262"/>
      <c r="DG14" s="262"/>
      <c r="DH14" s="262"/>
      <c r="DI14" s="262"/>
      <c r="DJ14" s="262"/>
      <c r="DK14" s="263">
        <f t="shared" ref="DK14:DL14" si="13">CW14+CY14+DA14+DC14+DE14+DG14+DI14</f>
        <v>0</v>
      </c>
      <c r="DL14" s="264">
        <f t="shared" si="13"/>
        <v>0</v>
      </c>
      <c r="DM14" s="265" t="str">
        <f>IFERROR(DL14/DK14,"")</f>
        <v/>
      </c>
      <c r="DN14" s="266" t="str">
        <f>IFERROR(__xludf.DUMMYFUNCTION("IFERROR(SPARKLINE(DM14,{""charttype"",""bar"";""color1"",IF(DM14&gt;='Апрель'!green_percent,'Апрель'!green,IF(DM14&gt;='Апрель'!yellow_percent,'Апрель'!yellow,IF(DM14&gt;='Апрель'!orange_percent,'Апрель'!orange,'Апрель'!red)));""max"",1}))"),"")</f>
        <v/>
      </c>
      <c r="DO14" s="267"/>
      <c r="DP14" s="268"/>
    </row>
    <row r="15">
      <c r="A15" s="215"/>
      <c r="B15" s="269" t="s">
        <v>22</v>
      </c>
      <c r="C15" s="217"/>
      <c r="D15" s="217"/>
      <c r="E15" s="218"/>
      <c r="F15" s="270">
        <f t="shared" ref="F15:G15" si="14">F12/F14</f>
        <v>3566.433566</v>
      </c>
      <c r="G15" s="270">
        <f t="shared" si="14"/>
        <v>4096.168318</v>
      </c>
      <c r="H15" s="219">
        <f t="shared" si="15"/>
        <v>1.148533469</v>
      </c>
      <c r="I15" s="271" t="str">
        <f>IFERROR(__xludf.DUMMYFUNCTION("IFERROR(SPARKLINE(H15,{""charttype"",""bar"";""color1"",IF(H15&gt;='Апрель'!green_percent,'Апрель'!green,IF(H15&gt;='Апрель'!yellow_percent,'Апрель'!yellow,IF(H15&gt;='Апрель'!orange_percent,'Апрель'!orange,'Апрель'!red)));""max"",1}))"),"")</f>
        <v/>
      </c>
      <c r="J15" s="223"/>
      <c r="K15" s="272"/>
      <c r="L15" s="272"/>
      <c r="M15" s="272"/>
      <c r="N15" s="273"/>
      <c r="O15" s="274">
        <f t="shared" ref="O15:P15" si="16">O12/O14</f>
        <v>3566.433566</v>
      </c>
      <c r="P15" s="275">
        <f t="shared" si="16"/>
        <v>747.945</v>
      </c>
      <c r="Q15" s="274">
        <v>3566.4335664335663</v>
      </c>
      <c r="R15" s="275">
        <f>R12/R14</f>
        <v>878.1116667</v>
      </c>
      <c r="S15" s="274">
        <v>3566.4335664335663</v>
      </c>
      <c r="T15" s="275">
        <f>T12/T14</f>
        <v>2810.835</v>
      </c>
      <c r="U15" s="274">
        <v>3566.4335664335663</v>
      </c>
      <c r="V15" s="275">
        <f>V12/V14</f>
        <v>3137.333333</v>
      </c>
      <c r="W15" s="276">
        <v>3566.4335664335663</v>
      </c>
      <c r="X15" s="275">
        <f t="shared" ref="X15:Z15" si="17">X12/X14</f>
        <v>3148.833333</v>
      </c>
      <c r="Y15" s="277">
        <f t="shared" si="17"/>
        <v>3566.433566</v>
      </c>
      <c r="Z15" s="272">
        <f t="shared" si="17"/>
        <v>1471.070702</v>
      </c>
      <c r="AA15" s="219">
        <f t="shared" si="18"/>
        <v>0.412476687</v>
      </c>
      <c r="AB15" s="271" t="str">
        <f>IFERROR(__xludf.DUMMYFUNCTION("IFERROR(SPARKLINE(AA15,{""charttype"",""bar"";""color1"",IF(AA15&gt;='Апрель'!green_percent,'Апрель'!green,IF(AA15&gt;='Апрель'!yellow_percent,'Апрель'!yellow,IF(AA15&gt;='Апрель'!orange_percent,'Апрель'!orange,'Апрель'!red)));""max"",1}))"),"")</f>
        <v/>
      </c>
      <c r="AC15" s="274">
        <v>3566.4335664335663</v>
      </c>
      <c r="AD15" s="275">
        <f>AD12/AD14</f>
        <v>1873.833333</v>
      </c>
      <c r="AE15" s="278">
        <v>3566.4335664335663</v>
      </c>
      <c r="AF15" s="275">
        <f>AF12/AF14</f>
        <v>1347.555556</v>
      </c>
      <c r="AG15" s="278">
        <v>3566.4335664335663</v>
      </c>
      <c r="AH15" s="275">
        <f>AH12/AH14</f>
        <v>2190.833333</v>
      </c>
      <c r="AI15" s="278">
        <v>3566.4335664335663</v>
      </c>
      <c r="AJ15" s="275">
        <f>AJ12/AJ14</f>
        <v>1073.916667</v>
      </c>
      <c r="AK15" s="278">
        <v>3566.4335664335663</v>
      </c>
      <c r="AL15" s="275">
        <f>AL12/AL14</f>
        <v>1025.533333</v>
      </c>
      <c r="AM15" s="278">
        <v>3566.4335664335663</v>
      </c>
      <c r="AN15" s="275" t="str">
        <f>AN12/AN14</f>
        <v>#DIV/0!</v>
      </c>
      <c r="AO15" s="278">
        <v>3566.4335664335663</v>
      </c>
      <c r="AP15" s="275" t="str">
        <f t="shared" ref="AP15:AR15" si="19">AP12/AP14</f>
        <v>#DIV/0!</v>
      </c>
      <c r="AQ15" s="277">
        <f t="shared" si="19"/>
        <v>3566.433566</v>
      </c>
      <c r="AR15" s="272">
        <f t="shared" si="19"/>
        <v>8506.041667</v>
      </c>
      <c r="AS15" s="279">
        <f t="shared" si="20"/>
        <v>2.385027369</v>
      </c>
      <c r="AT15" s="280" t="str">
        <f>IFERROR(__xludf.DUMMYFUNCTION("IFERROR(SPARKLINE(AS15,{""charttype"",""bar"";""color1"",IF(AS15&gt;='Апрель'!green_percent,'Апрель'!green,IF(AS15&gt;='Апрель'!yellow_percent,'Апрель'!yellow,IF(AS15&gt;='Апрель'!orange_percent,'Апрель'!orange,'Апрель'!red)));""max"",1}))"),"")</f>
        <v/>
      </c>
      <c r="AU15" s="278">
        <v>3566.4335664335663</v>
      </c>
      <c r="AV15" s="275">
        <f>AV12/AV14</f>
        <v>841.5238095</v>
      </c>
      <c r="AW15" s="278">
        <v>3566.4335664335663</v>
      </c>
      <c r="AX15" s="275">
        <f>AX12/AX14</f>
        <v>1694.416667</v>
      </c>
      <c r="AY15" s="278">
        <v>3566.4335664335663</v>
      </c>
      <c r="AZ15" s="275">
        <f>AZ12/AZ14</f>
        <v>1348.533333</v>
      </c>
      <c r="BA15" s="278">
        <v>3566.4335664335663</v>
      </c>
      <c r="BB15" s="275">
        <f>BB12/BB14</f>
        <v>6416.666667</v>
      </c>
      <c r="BC15" s="278">
        <v>3566.4335664335663</v>
      </c>
      <c r="BD15" s="275">
        <f>BD12/BD14</f>
        <v>1675.666667</v>
      </c>
      <c r="BE15" s="278">
        <v>3566.4335664335663</v>
      </c>
      <c r="BF15" s="275">
        <f>BF12/BF14</f>
        <v>7091.666667</v>
      </c>
      <c r="BG15" s="278">
        <v>3566.4335664335663</v>
      </c>
      <c r="BH15" s="275">
        <f t="shared" ref="BH15:BJ15" si="21">BH12/BH14</f>
        <v>7557.666667</v>
      </c>
      <c r="BI15" s="277">
        <f t="shared" si="21"/>
        <v>3566.433566</v>
      </c>
      <c r="BJ15" s="272">
        <f t="shared" si="21"/>
        <v>4659.985507</v>
      </c>
      <c r="BK15" s="279">
        <f t="shared" si="22"/>
        <v>1.306623387</v>
      </c>
      <c r="BL15" s="280" t="str">
        <f>IFERROR(__xludf.DUMMYFUNCTION("IFERROR(SPARKLINE(BK15,{""charttype"",""bar"";""color1"",IF(BK15&gt;='Апрель'!green_percent,'Апрель'!green,IF(BK15&gt;='Апрель'!yellow_percent,'Апрель'!yellow,IF(BK15&gt;='Апрель'!orange_percent,'Апрель'!orange,'Апрель'!red)));""max"",1}))"),"")</f>
        <v/>
      </c>
      <c r="BM15" s="278">
        <v>3566.4335664335663</v>
      </c>
      <c r="BN15" s="275">
        <f>BN12/BN14</f>
        <v>606.3333333</v>
      </c>
      <c r="BO15" s="278">
        <v>3566.4335664335663</v>
      </c>
      <c r="BP15" s="275">
        <f>BP12/BP14</f>
        <v>1023.277778</v>
      </c>
      <c r="BQ15" s="278">
        <v>3566.4335664335663</v>
      </c>
      <c r="BR15" s="275">
        <f>BR12/BR14</f>
        <v>1575.416667</v>
      </c>
      <c r="BS15" s="278">
        <v>3566.4335664335663</v>
      </c>
      <c r="BT15" s="275">
        <f>BT12/BT14</f>
        <v>1855.916667</v>
      </c>
      <c r="BU15" s="278">
        <v>3566.4335664335663</v>
      </c>
      <c r="BV15" s="275">
        <f>BV12/BV14</f>
        <v>1011.095238</v>
      </c>
      <c r="BW15" s="278">
        <v>3566.4335664335663</v>
      </c>
      <c r="BX15" s="275" t="str">
        <f>BX12/BX14</f>
        <v>#DIV/0!</v>
      </c>
      <c r="BY15" s="278">
        <v>3566.4335664335663</v>
      </c>
      <c r="BZ15" s="275" t="str">
        <f>BZ12/BZ14</f>
        <v>#DIV/0!</v>
      </c>
      <c r="CA15" s="281">
        <v>12543.95321637427</v>
      </c>
      <c r="CB15" s="272">
        <f>CB12/CB14</f>
        <v>3526.44086</v>
      </c>
      <c r="CC15" s="279">
        <f t="shared" si="23"/>
        <v>0.2811267548</v>
      </c>
      <c r="CD15" s="280" t="str">
        <f>IFERROR(__xludf.DUMMYFUNCTION("IFERROR(SPARKLINE(CC15,{""charttype"",""bar"";""color1"",IF(CC15&gt;='Апрель'!green_percent,'Апрель'!green,IF(CC15&gt;='Апрель'!yellow_percent,'Апрель'!yellow,IF(CC15&gt;='Апрель'!orange_percent,'Апрель'!orange,'Апрель'!red)));""max"",1}))"),"")</f>
        <v/>
      </c>
      <c r="CE15" s="278">
        <v>3566.4335664335663</v>
      </c>
      <c r="CF15" s="275">
        <f>CF12/CF14</f>
        <v>2129.555556</v>
      </c>
      <c r="CG15" s="278">
        <v>3566.4335664335663</v>
      </c>
      <c r="CH15" s="275">
        <f>CH12/CH14</f>
        <v>2812.222222</v>
      </c>
      <c r="CI15" s="278">
        <v>3566.4335664335663</v>
      </c>
      <c r="CJ15" s="275">
        <f>CJ12/CJ14</f>
        <v>602.1851852</v>
      </c>
      <c r="CK15" s="278">
        <v>3566.4335664335663</v>
      </c>
      <c r="CL15" s="275">
        <f>CL12/CL14</f>
        <v>3749.333333</v>
      </c>
      <c r="CM15" s="282"/>
      <c r="CN15" s="271"/>
      <c r="CO15" s="282"/>
      <c r="CP15" s="271"/>
      <c r="CQ15" s="282"/>
      <c r="CR15" s="283"/>
      <c r="CS15" s="284">
        <f t="shared" ref="CS15:CT15" si="24">CS12/CS14</f>
        <v>3566.433566</v>
      </c>
      <c r="CT15" s="285">
        <f t="shared" si="24"/>
        <v>1631.980392</v>
      </c>
      <c r="CU15" s="231">
        <f t="shared" si="11"/>
        <v>0.4575945021</v>
      </c>
      <c r="CV15" s="232" t="str">
        <f>IFERROR(__xludf.DUMMYFUNCTION("IFERROR(SPARKLINE(CU15,{""charttype"",""bar"";""color1"",IF(CU15&gt;='Апрель'!green_percent,'Апрель'!green,IF(CU15&gt;='Апрель'!yellow_percent,'Апрель'!yellow,IF(CU15&gt;='Апрель'!orange_percent,'Апрель'!orange,'Апрель'!red)));""max"",1}))"),"")</f>
        <v/>
      </c>
      <c r="CW15" s="286"/>
      <c r="CX15" s="287"/>
      <c r="CY15" s="286"/>
      <c r="CZ15" s="287"/>
      <c r="DA15" s="288"/>
      <c r="DB15" s="288"/>
      <c r="DC15" s="288"/>
      <c r="DD15" s="288"/>
      <c r="DE15" s="288"/>
      <c r="DF15" s="288"/>
      <c r="DG15" s="288"/>
      <c r="DH15" s="288"/>
      <c r="DI15" s="288"/>
      <c r="DJ15" s="288"/>
      <c r="DK15" s="289"/>
      <c r="DL15" s="290"/>
      <c r="DM15" s="235"/>
      <c r="DN15" s="291"/>
      <c r="DO15" s="292"/>
      <c r="DP15" s="293"/>
    </row>
    <row r="16">
      <c r="A16" s="240"/>
      <c r="B16" s="216" t="s">
        <v>23</v>
      </c>
      <c r="C16" s="242"/>
      <c r="D16" s="242"/>
      <c r="E16" s="243"/>
      <c r="F16" s="244">
        <f t="shared" ref="F16:G16" si="25">F29+F46+F67+F88+F109+F122</f>
        <v>57</v>
      </c>
      <c r="G16" s="244">
        <f t="shared" si="25"/>
        <v>49</v>
      </c>
      <c r="H16" s="245">
        <f t="shared" si="15"/>
        <v>0.8596491228</v>
      </c>
      <c r="I16" s="246" t="str">
        <f>IFERROR(__xludf.DUMMYFUNCTION("IFERROR(SPARKLINE(H16,{""charttype"",""bar"";""color1"",IF(H16&gt;='Апрель'!green_percent,'Апрель'!green,IF(H16&gt;='Апрель'!yellow_percent,'Апрель'!yellow,IF(H16&gt;='Апрель'!orange_percent,'Апрель'!orange,'Апрель'!red)));""max"",1}))"),"")</f>
        <v/>
      </c>
      <c r="J16" s="247"/>
      <c r="K16" s="248"/>
      <c r="L16" s="248"/>
      <c r="M16" s="248"/>
      <c r="N16" s="249"/>
      <c r="O16" s="250">
        <f>F16/30</f>
        <v>1.9</v>
      </c>
      <c r="P16" s="246">
        <f>P29+P46+P67+P88+P109+P122</f>
        <v>2</v>
      </c>
      <c r="Q16" s="250">
        <v>1.9</v>
      </c>
      <c r="R16" s="246">
        <f>R29+R46+R67+R88+R109+R122</f>
        <v>1</v>
      </c>
      <c r="S16" s="250">
        <v>1.9</v>
      </c>
      <c r="T16" s="246">
        <f>T29+T46+T67+T88+T109+T122</f>
        <v>2</v>
      </c>
      <c r="U16" s="250">
        <v>1.9</v>
      </c>
      <c r="V16" s="246">
        <f>V29+V46+V67+V88+V109+V122</f>
        <v>2</v>
      </c>
      <c r="W16" s="251">
        <v>1.9</v>
      </c>
      <c r="X16" s="246">
        <f>X29+X46+X67+X88+X109+X122</f>
        <v>1</v>
      </c>
      <c r="Y16" s="255">
        <f>O16+Q16+S16+U16+W16</f>
        <v>9.5</v>
      </c>
      <c r="Z16" s="248">
        <f>Z29+Z46+Z67+Z88+Z109+Z122</f>
        <v>8</v>
      </c>
      <c r="AA16" s="245">
        <f t="shared" si="18"/>
        <v>0.8421052632</v>
      </c>
      <c r="AB16" s="246" t="str">
        <f>IFERROR(__xludf.DUMMYFUNCTION("IFERROR(SPARKLINE(AA16,{""charttype"",""bar"";""color1"",IF(AA16&gt;='Апрель'!green_percent,'Апрель'!green,IF(AA16&gt;='Апрель'!yellow_percent,'Апрель'!yellow,IF(AA16&gt;='Апрель'!orange_percent,'Апрель'!orange,'Апрель'!red)));""max"",1}))"),"")</f>
        <v/>
      </c>
      <c r="AC16" s="250">
        <v>1.9</v>
      </c>
      <c r="AD16" s="246">
        <f>AD29+AD46+AD67+AD88+AD109+AD122</f>
        <v>1</v>
      </c>
      <c r="AE16" s="294">
        <v>1.9</v>
      </c>
      <c r="AF16" s="246">
        <f>AF29+AF46+AF67+AF88+AF109+AF122</f>
        <v>3</v>
      </c>
      <c r="AG16" s="294">
        <v>1.9</v>
      </c>
      <c r="AH16" s="246">
        <f>AH29+AH46+AH67+AH88+AH109+AH122</f>
        <v>1</v>
      </c>
      <c r="AI16" s="294">
        <v>1.9</v>
      </c>
      <c r="AJ16" s="246">
        <f>AJ29+AJ46+AJ67+AJ88+AJ109+AJ122</f>
        <v>2</v>
      </c>
      <c r="AK16" s="294">
        <v>1.9</v>
      </c>
      <c r="AL16" s="246">
        <f>AL29+AL46+AL67+AL88+AL109+AL122</f>
        <v>2</v>
      </c>
      <c r="AM16" s="294">
        <v>1.9</v>
      </c>
      <c r="AN16" s="246">
        <f>AN29+AN46+AN67+AN88+AN109+AN122</f>
        <v>0</v>
      </c>
      <c r="AO16" s="294">
        <v>1.9</v>
      </c>
      <c r="AP16" s="246">
        <f>AP29+AP46+AP67+AP88+AP109+AP122</f>
        <v>0</v>
      </c>
      <c r="AQ16" s="255">
        <f>AC16+AE16+AG16+AI16+AK16+AM16+AO16</f>
        <v>13.3</v>
      </c>
      <c r="AR16" s="248">
        <f>AR29+AR46+AR67+AR88+AR109+AR122</f>
        <v>9</v>
      </c>
      <c r="AS16" s="253">
        <f t="shared" si="20"/>
        <v>0.6766917293</v>
      </c>
      <c r="AT16" s="254" t="str">
        <f>IFERROR(__xludf.DUMMYFUNCTION("IFERROR(SPARKLINE(AS16,{""charttype"",""bar"";""color1"",IF(AS16&gt;='Апрель'!green_percent,'Апрель'!green,IF(AS16&gt;='Апрель'!yellow_percent,'Апрель'!yellow,IF(AS16&gt;='Апрель'!orange_percent,'Апрель'!orange,'Апрель'!red)));""max"",1}))"),"")</f>
        <v/>
      </c>
      <c r="AU16" s="294">
        <v>1.9</v>
      </c>
      <c r="AV16" s="246">
        <f>AV29+AV46+AV67+AV88+AV109+AV122</f>
        <v>1</v>
      </c>
      <c r="AW16" s="294">
        <v>1.9</v>
      </c>
      <c r="AX16" s="246">
        <f>AX29+AX46+AX67+AX88+AX109+AX122</f>
        <v>2</v>
      </c>
      <c r="AY16" s="294">
        <v>1.9</v>
      </c>
      <c r="AZ16" s="246">
        <f>AZ29+AZ46+AZ67+AZ88+AZ109+AZ122</f>
        <v>1</v>
      </c>
      <c r="BA16" s="294">
        <v>1.9</v>
      </c>
      <c r="BB16" s="246">
        <f>BB29+BB46+BB67+BB88+BB109+BB122</f>
        <v>1</v>
      </c>
      <c r="BC16" s="294">
        <v>1.9</v>
      </c>
      <c r="BD16" s="246">
        <f>BD29+BD46+BD67+BD88+BD109+BD122</f>
        <v>2</v>
      </c>
      <c r="BE16" s="294">
        <v>1.9</v>
      </c>
      <c r="BF16" s="246">
        <f>BF29+BF46+BF67+BF88+BF109+BF122</f>
        <v>0</v>
      </c>
      <c r="BG16" s="294">
        <v>1.9</v>
      </c>
      <c r="BH16" s="246">
        <f>BH29+BH46+BH67+BH88+BH109+BH122</f>
        <v>0</v>
      </c>
      <c r="BI16" s="255">
        <f>AU16+AW16+AY16+BA16+BC16+BE16+BG16</f>
        <v>13.3</v>
      </c>
      <c r="BJ16" s="248">
        <f>BJ29+BJ46+BJ67+BJ88+BJ109+BJ122</f>
        <v>7</v>
      </c>
      <c r="BK16" s="253">
        <f t="shared" si="22"/>
        <v>0.5263157895</v>
      </c>
      <c r="BL16" s="254" t="str">
        <f>IFERROR(__xludf.DUMMYFUNCTION("IFERROR(SPARKLINE(BK16,{""charttype"",""bar"";""color1"",IF(BK16&gt;='Апрель'!green_percent,'Апрель'!green,IF(BK16&gt;='Апрель'!yellow_percent,'Апрель'!yellow,IF(BK16&gt;='Апрель'!orange_percent,'Апрель'!orange,'Апрель'!red)));""max"",1}))"),"")</f>
        <v/>
      </c>
      <c r="BM16" s="294">
        <v>1.9</v>
      </c>
      <c r="BN16" s="246">
        <f>BN29+BN46+BN67+BN88+BN109+BN122</f>
        <v>5</v>
      </c>
      <c r="BO16" s="294">
        <v>1.9</v>
      </c>
      <c r="BP16" s="246">
        <f>BP29+BP46+BP67+BP88+BP109+BP122</f>
        <v>3</v>
      </c>
      <c r="BQ16" s="294">
        <v>1.9</v>
      </c>
      <c r="BR16" s="246">
        <f>BR29+BR46+BR67+BR88+BR109+BR122</f>
        <v>2</v>
      </c>
      <c r="BS16" s="294">
        <v>1.9</v>
      </c>
      <c r="BT16" s="246">
        <f>BT29+BT46+BT67+BT88+BT109+BT122</f>
        <v>1</v>
      </c>
      <c r="BU16" s="294">
        <v>1.9</v>
      </c>
      <c r="BV16" s="246">
        <f>BV29+BV46+BV67+BV88+BV109+BV122</f>
        <v>4</v>
      </c>
      <c r="BW16" s="294">
        <v>1.9</v>
      </c>
      <c r="BX16" s="246">
        <f>BX29+BX46+BX67+BX88+BX109+BX122</f>
        <v>0</v>
      </c>
      <c r="BY16" s="294">
        <v>1.9</v>
      </c>
      <c r="BZ16" s="246">
        <f>BZ29+BZ46+BZ67+BZ88+BZ109+BZ122</f>
        <v>0</v>
      </c>
      <c r="CA16" s="255">
        <f>BM16+BO16+BQ16+BS16+BU16+BW16+BY16</f>
        <v>13.3</v>
      </c>
      <c r="CB16" s="248">
        <f>CB29+CB46+CB67+CB88+CB109+CB122</f>
        <v>15</v>
      </c>
      <c r="CC16" s="253">
        <f t="shared" si="23"/>
        <v>1.127819549</v>
      </c>
      <c r="CD16" s="254" t="str">
        <f>IFERROR(__xludf.DUMMYFUNCTION("IFERROR(SPARKLINE(CC16,{""charttype"",""bar"";""color1"",IF(CC16&gt;='Апрель'!green_percent,'Апрель'!green,IF(CC16&gt;='Апрель'!yellow_percent,'Апрель'!yellow,IF(CC16&gt;='Апрель'!orange_percent,'Апрель'!orange,'Апрель'!red)));""max"",1}))"),"")</f>
        <v/>
      </c>
      <c r="CE16" s="294">
        <v>1.9</v>
      </c>
      <c r="CF16" s="246">
        <f>CF29+CF46+CF67+CF88+CF109+CF122</f>
        <v>2</v>
      </c>
      <c r="CG16" s="294">
        <v>1.9</v>
      </c>
      <c r="CH16" s="246">
        <f>CH29+CH46+CH67+CH88+CH109+CH122</f>
        <v>2</v>
      </c>
      <c r="CI16" s="294">
        <v>1.9</v>
      </c>
      <c r="CJ16" s="246">
        <f>CJ29+CJ46+CJ67+CJ88+CJ109+CJ122</f>
        <v>4</v>
      </c>
      <c r="CK16" s="294">
        <v>1.9</v>
      </c>
      <c r="CL16" s="246">
        <f>CL29+CL46+CL67+CL88+CL109+CL122</f>
        <v>1</v>
      </c>
      <c r="CM16" s="282"/>
      <c r="CN16" s="246"/>
      <c r="CO16" s="282"/>
      <c r="CP16" s="246"/>
      <c r="CQ16" s="282"/>
      <c r="CR16" s="249"/>
      <c r="CS16" s="257">
        <f t="shared" ref="CS16:CT16" si="26">CE16+CG16+CI16+CK16+CM16+CO16+CQ16</f>
        <v>7.6</v>
      </c>
      <c r="CT16" s="258">
        <f t="shared" si="26"/>
        <v>9</v>
      </c>
      <c r="CU16" s="259">
        <f t="shared" si="11"/>
        <v>1.184210526</v>
      </c>
      <c r="CV16" s="260" t="str">
        <f>IFERROR(__xludf.DUMMYFUNCTION("IFERROR(SPARKLINE(CU16,{""charttype"",""bar"";""color1"",IF(CU16&gt;='Апрель'!green_percent,'Апрель'!green,IF(CU16&gt;='Апрель'!yellow_percent,'Апрель'!yellow,IF(CU16&gt;='Апрель'!orange_percent,'Апрель'!orange,'Апрель'!red)));""max"",1}))"),"")</f>
        <v/>
      </c>
      <c r="CW16" s="286"/>
      <c r="CX16" s="295"/>
      <c r="CY16" s="296"/>
      <c r="CZ16" s="295"/>
      <c r="DA16" s="297"/>
      <c r="DB16" s="298"/>
      <c r="DC16" s="297"/>
      <c r="DD16" s="298"/>
      <c r="DE16" s="297"/>
      <c r="DF16" s="298"/>
      <c r="DG16" s="297"/>
      <c r="DH16" s="298"/>
      <c r="DI16" s="297"/>
      <c r="DJ16" s="298"/>
      <c r="DK16" s="299">
        <f t="shared" ref="DK16:DL16" si="27">CW16+CY16+DA16+DC16+DE16+DG16+DI16</f>
        <v>0</v>
      </c>
      <c r="DL16" s="264">
        <f t="shared" si="27"/>
        <v>0</v>
      </c>
      <c r="DM16" s="300" t="str">
        <f>IFERROR(DL16/DK16,"")</f>
        <v/>
      </c>
      <c r="DN16" s="266" t="str">
        <f>IFERROR(__xludf.DUMMYFUNCTION("IFERROR(SPARKLINE(DM16,{""charttype"",""bar"";""color1"",IF(DM16&gt;='Апрель'!green_percent,'Апрель'!green,IF(DM16&gt;='Апрель'!yellow_percent,'Апрель'!yellow,IF(DM16&gt;='Апрель'!orange_percent,'Апрель'!orange,'Апрель'!red)));""max"",1}))"),"")</f>
        <v/>
      </c>
      <c r="DO16" s="301"/>
      <c r="DP16" s="302"/>
    </row>
    <row r="17">
      <c r="A17" s="215"/>
      <c r="B17" s="269" t="s">
        <v>24</v>
      </c>
      <c r="C17" s="217"/>
      <c r="D17" s="217"/>
      <c r="E17" s="218"/>
      <c r="F17" s="270">
        <f t="shared" ref="F17:G17" si="28">F12/F16</f>
        <v>8947.368421</v>
      </c>
      <c r="G17" s="270">
        <f t="shared" si="28"/>
        <v>8944.694082</v>
      </c>
      <c r="H17" s="219">
        <f t="shared" si="15"/>
        <v>0.9997011032</v>
      </c>
      <c r="I17" s="271" t="str">
        <f>IFERROR(__xludf.DUMMYFUNCTION("IFERROR(SPARKLINE(H17,{""charttype"",""bar"";""color1"",IF(H17&gt;='Апрель'!green_percent,'Апрель'!green,IF(H17&gt;='Апрель'!yellow_percent,'Апрель'!yellow,IF(H17&gt;='Апрель'!orange_percent,'Апрель'!orange,'Апрель'!red)));""max"",1}))"),"")</f>
        <v/>
      </c>
      <c r="J17" s="223"/>
      <c r="K17" s="272"/>
      <c r="L17" s="272"/>
      <c r="M17" s="272"/>
      <c r="N17" s="273"/>
      <c r="O17" s="274">
        <f t="shared" ref="O17:P17" si="29">O12/O16</f>
        <v>8947.368421</v>
      </c>
      <c r="P17" s="275">
        <f t="shared" si="29"/>
        <v>2243.835</v>
      </c>
      <c r="Q17" s="274">
        <v>8947.368421052632</v>
      </c>
      <c r="R17" s="275">
        <f>R12/R16</f>
        <v>5268.67</v>
      </c>
      <c r="S17" s="274">
        <v>8947.368421052632</v>
      </c>
      <c r="T17" s="275">
        <f>T12/T16</f>
        <v>2810.835</v>
      </c>
      <c r="U17" s="274">
        <v>8947.368421052632</v>
      </c>
      <c r="V17" s="275">
        <f>V12/V16</f>
        <v>3137.333333</v>
      </c>
      <c r="W17" s="276">
        <v>8947.368421052632</v>
      </c>
      <c r="X17" s="275">
        <f>X12/X16</f>
        <v>6297.666667</v>
      </c>
      <c r="Y17" s="276">
        <v>8947.368421052632</v>
      </c>
      <c r="Z17" s="272">
        <f>Z12/Z16</f>
        <v>3493.792917</v>
      </c>
      <c r="AA17" s="219">
        <f t="shared" si="18"/>
        <v>0.3904827377</v>
      </c>
      <c r="AB17" s="271" t="str">
        <f>IFERROR(__xludf.DUMMYFUNCTION("IFERROR(SPARKLINE(AA17,{""charttype"",""bar"";""color1"",IF(AA17&gt;='Апрель'!green_percent,'Апрель'!green,IF(AA17&gt;='Апрель'!yellow_percent,'Апрель'!yellow,IF(AA17&gt;='Апрель'!orange_percent,'Апрель'!orange,'Апрель'!red)));""max"",1}))"),"")</f>
        <v/>
      </c>
      <c r="AC17" s="274">
        <v>8947.368421052632</v>
      </c>
      <c r="AD17" s="275">
        <f>AD12/AD16</f>
        <v>3747.666667</v>
      </c>
      <c r="AE17" s="303">
        <v>8947.368421052632</v>
      </c>
      <c r="AF17" s="275">
        <f>AF12/AF16</f>
        <v>1347.555556</v>
      </c>
      <c r="AG17" s="303">
        <v>8947.368421052632</v>
      </c>
      <c r="AH17" s="275">
        <f>AH12/AH16</f>
        <v>4381.666667</v>
      </c>
      <c r="AI17" s="303">
        <v>8947.368421052632</v>
      </c>
      <c r="AJ17" s="275">
        <f>AJ12/AJ16</f>
        <v>2147.833333</v>
      </c>
      <c r="AK17" s="303">
        <v>8947.368421052632</v>
      </c>
      <c r="AL17" s="275">
        <f>AL12/AL16</f>
        <v>2563.833333</v>
      </c>
      <c r="AM17" s="303">
        <v>8947.368421052632</v>
      </c>
      <c r="AN17" s="275" t="str">
        <f>AN12/AN16</f>
        <v>#DIV/0!</v>
      </c>
      <c r="AO17" s="303">
        <v>8947.368421052632</v>
      </c>
      <c r="AP17" s="275" t="str">
        <f t="shared" ref="AP17:AR17" si="30">AP12/AP16</f>
        <v>#DIV/0!</v>
      </c>
      <c r="AQ17" s="277">
        <f t="shared" si="30"/>
        <v>8947.368421</v>
      </c>
      <c r="AR17" s="272">
        <f t="shared" si="30"/>
        <v>15121.85185</v>
      </c>
      <c r="AS17" s="279">
        <f t="shared" si="20"/>
        <v>1.690089325</v>
      </c>
      <c r="AT17" s="280" t="str">
        <f>IFERROR(__xludf.DUMMYFUNCTION("IFERROR(SPARKLINE(AS17,{""charttype"",""bar"";""color1"",IF(AS17&gt;='Апрель'!green_percent,'Апрель'!green,IF(AS17&gt;='Апрель'!yellow_percent,'Апрель'!yellow,IF(AS17&gt;='Апрель'!orange_percent,'Апрель'!orange,'Апрель'!red)));""max"",1}))"),"")</f>
        <v/>
      </c>
      <c r="AU17" s="303">
        <v>8947.368421052632</v>
      </c>
      <c r="AV17" s="275">
        <f>AV12/AV16</f>
        <v>5890.666667</v>
      </c>
      <c r="AW17" s="303">
        <v>8947.368421052632</v>
      </c>
      <c r="AX17" s="275">
        <f>AX12/AX16</f>
        <v>3388.833333</v>
      </c>
      <c r="AY17" s="303">
        <v>8947.368421052632</v>
      </c>
      <c r="AZ17" s="275">
        <f>AZ12/AZ16</f>
        <v>6742.666667</v>
      </c>
      <c r="BA17" s="303">
        <v>8947.368421052632</v>
      </c>
      <c r="BB17" s="275">
        <f>BB12/BB16</f>
        <v>6416.666667</v>
      </c>
      <c r="BC17" s="303">
        <v>8947.368421052632</v>
      </c>
      <c r="BD17" s="275">
        <f>BD12/BD16</f>
        <v>3351.333333</v>
      </c>
      <c r="BE17" s="303">
        <v>8947.368421052632</v>
      </c>
      <c r="BF17" s="275" t="str">
        <f>BF12/BF16</f>
        <v>#DIV/0!</v>
      </c>
      <c r="BG17" s="303">
        <v>8947.368421052632</v>
      </c>
      <c r="BH17" s="275" t="str">
        <f t="shared" ref="BH17:BJ17" si="31">BH12/BH16</f>
        <v>#DIV/0!</v>
      </c>
      <c r="BI17" s="277">
        <f t="shared" si="31"/>
        <v>8947.368421</v>
      </c>
      <c r="BJ17" s="272">
        <f t="shared" si="31"/>
        <v>15311.38095</v>
      </c>
      <c r="BK17" s="279">
        <f t="shared" si="22"/>
        <v>1.711271989</v>
      </c>
      <c r="BL17" s="280" t="str">
        <f>IFERROR(__xludf.DUMMYFUNCTION("IFERROR(SPARKLINE(BK17,{""charttype"",""bar"";""color1"",IF(BK17&gt;='Апрель'!green_percent,'Апрель'!green,IF(BK17&gt;='Апрель'!yellow_percent,'Апрель'!yellow,IF(BK17&gt;='Апрель'!orange_percent,'Апрель'!orange,'Апрель'!red)));""max"",1}))"),"")</f>
        <v/>
      </c>
      <c r="BM17" s="303">
        <v>8947.368421052632</v>
      </c>
      <c r="BN17" s="275">
        <f>BN12/BN16</f>
        <v>1333.933333</v>
      </c>
      <c r="BO17" s="303">
        <v>8947.368421052632</v>
      </c>
      <c r="BP17" s="275">
        <f>BP12/BP16</f>
        <v>2046.555556</v>
      </c>
      <c r="BQ17" s="303">
        <v>8947.368421052632</v>
      </c>
      <c r="BR17" s="275">
        <f>BR12/BR16</f>
        <v>3150.833333</v>
      </c>
      <c r="BS17" s="303">
        <v>8947.368421052632</v>
      </c>
      <c r="BT17" s="275">
        <f>BT12/BT16</f>
        <v>7423.666667</v>
      </c>
      <c r="BU17" s="303">
        <v>8947.368421052632</v>
      </c>
      <c r="BV17" s="275">
        <f>BV12/BV16</f>
        <v>1769.416667</v>
      </c>
      <c r="BW17" s="303">
        <v>8947.368421052632</v>
      </c>
      <c r="BX17" s="275" t="str">
        <f>BX12/BX16</f>
        <v>#DIV/0!</v>
      </c>
      <c r="BY17" s="303">
        <v>8947.368421052632</v>
      </c>
      <c r="BZ17" s="275" t="str">
        <f>BZ12/BZ16</f>
        <v>#DIV/0!</v>
      </c>
      <c r="CA17" s="281">
        <v>28223.89473684211</v>
      </c>
      <c r="CB17" s="272">
        <f>CB12/CB16</f>
        <v>7287.977778</v>
      </c>
      <c r="CC17" s="279">
        <f t="shared" si="23"/>
        <v>0.2582201303</v>
      </c>
      <c r="CD17" s="280" t="str">
        <f>IFERROR(__xludf.DUMMYFUNCTION("IFERROR(SPARKLINE(CC17,{""charttype"",""bar"";""color1"",IF(CC17&gt;='Апрель'!green_percent,'Апрель'!green,IF(CC17&gt;='Апрель'!yellow_percent,'Апрель'!yellow,IF(CC17&gt;='Апрель'!orange_percent,'Апрель'!orange,'Апрель'!red)));""max"",1}))"),"")</f>
        <v/>
      </c>
      <c r="CE17" s="303">
        <v>8947.368421052632</v>
      </c>
      <c r="CF17" s="275">
        <f>CF12/CF16</f>
        <v>3194.333333</v>
      </c>
      <c r="CG17" s="303">
        <v>8947.368421052632</v>
      </c>
      <c r="CH17" s="275">
        <f>CH12/CH16</f>
        <v>4218.333333</v>
      </c>
      <c r="CI17" s="303">
        <v>8947.368421052632</v>
      </c>
      <c r="CJ17" s="275">
        <f>CJ12/CJ16</f>
        <v>1354.916667</v>
      </c>
      <c r="CK17" s="303">
        <v>8947.368421052632</v>
      </c>
      <c r="CL17" s="275">
        <f>CL12/CL16</f>
        <v>7498.666667</v>
      </c>
      <c r="CM17" s="256"/>
      <c r="CN17" s="271"/>
      <c r="CO17" s="256"/>
      <c r="CP17" s="271"/>
      <c r="CQ17" s="256"/>
      <c r="CR17" s="283"/>
      <c r="CS17" s="284">
        <f t="shared" ref="CS17:CT17" si="32">CS12/CS16</f>
        <v>8947.368421</v>
      </c>
      <c r="CT17" s="304">
        <f t="shared" si="32"/>
        <v>3082.62963</v>
      </c>
      <c r="CU17" s="231">
        <f t="shared" si="11"/>
        <v>0.3445291939</v>
      </c>
      <c r="CV17" s="232" t="str">
        <f>IFERROR(__xludf.DUMMYFUNCTION("IFERROR(SPARKLINE(CU17,{""charttype"",""bar"";""color1"",IF(CU17&gt;='Апрель'!green_percent,'Апрель'!green,IF(CU17&gt;='Апрель'!yellow_percent,'Апрель'!yellow,IF(CU17&gt;='Апрель'!orange_percent,'Апрель'!orange,'Апрель'!red)));""max"",1}))"),"")</f>
        <v/>
      </c>
      <c r="CW17" s="261"/>
      <c r="CX17" s="305"/>
      <c r="CY17" s="306"/>
      <c r="CZ17" s="305"/>
      <c r="DA17" s="307"/>
      <c r="DB17" s="308"/>
      <c r="DC17" s="307"/>
      <c r="DD17" s="308"/>
      <c r="DE17" s="307"/>
      <c r="DF17" s="308"/>
      <c r="DG17" s="307"/>
      <c r="DH17" s="308"/>
      <c r="DI17" s="307"/>
      <c r="DJ17" s="308"/>
      <c r="DK17" s="309"/>
      <c r="DL17" s="310"/>
      <c r="DM17" s="235"/>
      <c r="DN17" s="291"/>
      <c r="DO17" s="292"/>
      <c r="DP17" s="293"/>
    </row>
    <row r="18">
      <c r="A18" s="240"/>
      <c r="B18" s="216" t="s">
        <v>25</v>
      </c>
      <c r="C18" s="242"/>
      <c r="D18" s="242"/>
      <c r="E18" s="243"/>
      <c r="F18" s="245">
        <f t="shared" ref="F18:G18" si="33">F16/F14</f>
        <v>0.3986013986</v>
      </c>
      <c r="G18" s="245">
        <f t="shared" si="33"/>
        <v>0.4579439252</v>
      </c>
      <c r="H18" s="311">
        <f t="shared" si="15"/>
        <v>1.148876865</v>
      </c>
      <c r="I18" s="246" t="str">
        <f>IFERROR(__xludf.DUMMYFUNCTION("IFERROR(SPARKLINE(H18,{""charttype"",""bar"";""color1"",IF(H18&gt;='Апрель'!green_percent,'Апрель'!green,IF(H18&gt;='Апрель'!yellow_percent,'Апрель'!yellow,IF(H18&gt;='Апрель'!orange_percent,'Апрель'!orange,'Апрель'!red)));""max"",1}))"),"")</f>
        <v/>
      </c>
      <c r="J18" s="247"/>
      <c r="K18" s="245"/>
      <c r="L18" s="245"/>
      <c r="M18" s="245"/>
      <c r="N18" s="312"/>
      <c r="O18" s="313">
        <f t="shared" ref="O18:P18" si="34">O16/O14</f>
        <v>0.3986013986</v>
      </c>
      <c r="P18" s="314">
        <f t="shared" si="34"/>
        <v>0.3333333333</v>
      </c>
      <c r="Q18" s="313">
        <v>0.3986013986013986</v>
      </c>
      <c r="R18" s="314">
        <f>R16/R14</f>
        <v>0.1666666667</v>
      </c>
      <c r="S18" s="313">
        <v>0.3986013986013986</v>
      </c>
      <c r="T18" s="314">
        <f>T16/T14</f>
        <v>1</v>
      </c>
      <c r="U18" s="313">
        <v>0.3986013986013986</v>
      </c>
      <c r="V18" s="314">
        <f>V16/V14</f>
        <v>1</v>
      </c>
      <c r="W18" s="315">
        <v>0.3986013986013986</v>
      </c>
      <c r="X18" s="314">
        <f t="shared" ref="X18:Z18" si="35">X16/X14</f>
        <v>0.5</v>
      </c>
      <c r="Y18" s="316">
        <f t="shared" si="35"/>
        <v>0.3986013986</v>
      </c>
      <c r="Z18" s="245">
        <f t="shared" si="35"/>
        <v>0.4210526316</v>
      </c>
      <c r="AA18" s="245">
        <f t="shared" si="18"/>
        <v>1.056325023</v>
      </c>
      <c r="AB18" s="246" t="str">
        <f>IFERROR(__xludf.DUMMYFUNCTION("IFERROR(SPARKLINE(AA18,{""charttype"",""bar"";""color1"",IF(AA18&gt;='Апрель'!green_percent,'Апрель'!green,IF(AA18&gt;='Апрель'!yellow_percent,'Апрель'!yellow,IF(AA18&gt;='Апрель'!orange_percent,'Апрель'!orange,'Апрель'!red)));""max"",1}))"),"")</f>
        <v/>
      </c>
      <c r="AC18" s="313">
        <v>0.3986013986013986</v>
      </c>
      <c r="AD18" s="314">
        <f>AD16/AD14</f>
        <v>0.5</v>
      </c>
      <c r="AE18" s="317">
        <v>0.3986013986013986</v>
      </c>
      <c r="AF18" s="314">
        <f>AF16/AF14</f>
        <v>1</v>
      </c>
      <c r="AG18" s="317">
        <v>0.3986013986013986</v>
      </c>
      <c r="AH18" s="314">
        <f>AH16/AH14</f>
        <v>0.5</v>
      </c>
      <c r="AI18" s="317">
        <v>0.3986013986013986</v>
      </c>
      <c r="AJ18" s="314">
        <f>AJ16/AJ14</f>
        <v>0.5</v>
      </c>
      <c r="AK18" s="317">
        <v>0.3986013986013986</v>
      </c>
      <c r="AL18" s="314">
        <f>AL16/AL14</f>
        <v>0.4</v>
      </c>
      <c r="AM18" s="317">
        <v>0.3986013986013986</v>
      </c>
      <c r="AN18" s="314" t="str">
        <f>AN16/AN14</f>
        <v>#DIV/0!</v>
      </c>
      <c r="AO18" s="317">
        <v>0.3986013986013986</v>
      </c>
      <c r="AP18" s="314" t="str">
        <f t="shared" ref="AP18:AR18" si="36">AP16/AP14</f>
        <v>#DIV/0!</v>
      </c>
      <c r="AQ18" s="316">
        <f t="shared" si="36"/>
        <v>0.3986013986</v>
      </c>
      <c r="AR18" s="245">
        <f t="shared" si="36"/>
        <v>0.5625</v>
      </c>
      <c r="AS18" s="253">
        <f t="shared" si="20"/>
        <v>1.411184211</v>
      </c>
      <c r="AT18" s="254" t="str">
        <f>IFERROR(__xludf.DUMMYFUNCTION("IFERROR(SPARKLINE(AS18,{""charttype"",""bar"";""color1"",IF(AS18&gt;='Апрель'!green_percent,'Апрель'!green,IF(AS18&gt;='Апрель'!yellow_percent,'Апрель'!yellow,IF(AS18&gt;='Апрель'!orange_percent,'Апрель'!orange,'Апрель'!red)));""max"",1}))"),"")</f>
        <v/>
      </c>
      <c r="AU18" s="317">
        <v>0.3986013986013986</v>
      </c>
      <c r="AV18" s="314">
        <f>AV16/AV14</f>
        <v>0.1428571429</v>
      </c>
      <c r="AW18" s="317">
        <v>0.3986013986013986</v>
      </c>
      <c r="AX18" s="314">
        <f>AX16/AX14</f>
        <v>0.5</v>
      </c>
      <c r="AY18" s="317">
        <v>0.3986013986013986</v>
      </c>
      <c r="AZ18" s="314">
        <f>AZ16/AZ14</f>
        <v>0.2</v>
      </c>
      <c r="BA18" s="317">
        <v>0.3986013986013986</v>
      </c>
      <c r="BB18" s="314">
        <f>BB16/BB14</f>
        <v>1</v>
      </c>
      <c r="BC18" s="317">
        <v>0.3986013986013986</v>
      </c>
      <c r="BD18" s="314">
        <f>BD16/BD14</f>
        <v>0.5</v>
      </c>
      <c r="BE18" s="317">
        <v>0.3986013986013986</v>
      </c>
      <c r="BF18" s="314">
        <f>BF16/BF14</f>
        <v>0</v>
      </c>
      <c r="BG18" s="317">
        <v>0.3986013986013986</v>
      </c>
      <c r="BH18" s="314">
        <f t="shared" ref="BH18:BJ18" si="37">BH16/BH14</f>
        <v>0</v>
      </c>
      <c r="BI18" s="316">
        <f t="shared" si="37"/>
        <v>0.3986013986</v>
      </c>
      <c r="BJ18" s="245">
        <f t="shared" si="37"/>
        <v>0.3043478261</v>
      </c>
      <c r="BK18" s="253">
        <f t="shared" si="22"/>
        <v>0.763539283</v>
      </c>
      <c r="BL18" s="318" t="str">
        <f>IFERROR(__xludf.DUMMYFUNCTION("IFERROR(SPARKLINE(BK18,{""charttype"",""bar"";""color1"",IF(BK18&gt;='Апрель'!green_percent,'Апрель'!green,IF(BK18&gt;='Апрель'!yellow_percent,'Апрель'!yellow,IF(BK18&gt;='Апрель'!orange_percent,'Апрель'!orange,'Апрель'!red)));""max"",1}))"),"")</f>
        <v/>
      </c>
      <c r="BM18" s="317">
        <v>0.3986013986013986</v>
      </c>
      <c r="BN18" s="314">
        <f>BN16/BN14</f>
        <v>0.4545454545</v>
      </c>
      <c r="BO18" s="317">
        <v>0.3986013986013986</v>
      </c>
      <c r="BP18" s="314">
        <f>BP16/BP14</f>
        <v>0.5</v>
      </c>
      <c r="BQ18" s="317">
        <v>0.3986013986013986</v>
      </c>
      <c r="BR18" s="314">
        <f>BR16/BR14</f>
        <v>0.5</v>
      </c>
      <c r="BS18" s="317">
        <v>0.3986013986013986</v>
      </c>
      <c r="BT18" s="314">
        <f>BT16/BT14</f>
        <v>0.25</v>
      </c>
      <c r="BU18" s="317">
        <v>0.3986013986013986</v>
      </c>
      <c r="BV18" s="314">
        <f>BV16/BV14</f>
        <v>0.5714285714</v>
      </c>
      <c r="BW18" s="317">
        <v>0.3986013986013986</v>
      </c>
      <c r="BX18" s="314" t="str">
        <f>BX16/BX14</f>
        <v>#DIV/0!</v>
      </c>
      <c r="BY18" s="317">
        <v>0.3986013986013986</v>
      </c>
      <c r="BZ18" s="314" t="str">
        <f>BZ16/BZ14</f>
        <v>#DIV/0!</v>
      </c>
      <c r="CA18" s="255">
        <f>BM18+BO18+BQ18+BS18+BU18+BW18+BY18</f>
        <v>2.79020979</v>
      </c>
      <c r="CB18" s="245">
        <f>CB16/CB14</f>
        <v>0.4838709677</v>
      </c>
      <c r="CC18" s="253">
        <f t="shared" si="23"/>
        <v>0.1734174145</v>
      </c>
      <c r="CD18" s="254" t="str">
        <f>IFERROR(__xludf.DUMMYFUNCTION("IFERROR(SPARKLINE(CC18,{""charttype"",""bar"";""color1"",IF(CC18&gt;='Апрель'!green_percent,'Апрель'!green,IF(CC18&gt;='Апрель'!yellow_percent,'Апрель'!yellow,IF(CC18&gt;='Апрель'!orange_percent,'Апрель'!orange,'Апрель'!red)));""max"",1}))"),"")</f>
        <v/>
      </c>
      <c r="CE18" s="317">
        <v>0.3986013986013986</v>
      </c>
      <c r="CF18" s="314">
        <f>CF16/CF14</f>
        <v>0.6666666667</v>
      </c>
      <c r="CG18" s="317">
        <v>0.3986013986013986</v>
      </c>
      <c r="CH18" s="314">
        <f>CH16/CH14</f>
        <v>0.6666666667</v>
      </c>
      <c r="CI18" s="317">
        <v>0.3986013986013986</v>
      </c>
      <c r="CJ18" s="314">
        <f>CJ16/CJ14</f>
        <v>0.4444444444</v>
      </c>
      <c r="CK18" s="317">
        <v>0.3986013986013986</v>
      </c>
      <c r="CL18" s="314">
        <f>CL16/CL14</f>
        <v>0.5</v>
      </c>
      <c r="CM18" s="256"/>
      <c r="CN18" s="246"/>
      <c r="CO18" s="256"/>
      <c r="CP18" s="246"/>
      <c r="CQ18" s="256"/>
      <c r="CR18" s="249"/>
      <c r="CS18" s="319">
        <f t="shared" ref="CS18:CT18" si="38">CS16/CS14</f>
        <v>0.3986013986</v>
      </c>
      <c r="CT18" s="320">
        <f t="shared" si="38"/>
        <v>0.5294117647</v>
      </c>
      <c r="CU18" s="259">
        <f t="shared" si="11"/>
        <v>1.328173375</v>
      </c>
      <c r="CV18" s="260" t="str">
        <f>IFERROR(__xludf.DUMMYFUNCTION("IFERROR(SPARKLINE(CU18,{""charttype"",""bar"";""color1"",IF(CU18&gt;='Апрель'!green_percent,'Апрель'!green,IF(CU18&gt;='Апрель'!yellow_percent,'Апрель'!yellow,IF(CU18&gt;='Апрель'!orange_percent,'Апрель'!orange,'Апрель'!red)));""max"",1}))"),"")</f>
        <v/>
      </c>
      <c r="CW18" s="321"/>
      <c r="CX18" s="322"/>
      <c r="CY18" s="323"/>
      <c r="CZ18" s="322"/>
      <c r="DA18" s="324"/>
      <c r="DB18" s="325"/>
      <c r="DC18" s="324"/>
      <c r="DD18" s="325"/>
      <c r="DE18" s="324"/>
      <c r="DF18" s="325"/>
      <c r="DG18" s="324"/>
      <c r="DH18" s="325"/>
      <c r="DI18" s="324"/>
      <c r="DJ18" s="325"/>
      <c r="DK18" s="326">
        <f t="shared" ref="DK18:DL18" si="39">CW18+CY18+DA18+DC18+DE18+DG18+DI18</f>
        <v>0</v>
      </c>
      <c r="DL18" s="327">
        <f t="shared" si="39"/>
        <v>0</v>
      </c>
      <c r="DM18" s="328" t="str">
        <f>IFERROR(DL18/DK18,"")</f>
        <v/>
      </c>
      <c r="DN18" s="329" t="str">
        <f>IFERROR(__xludf.DUMMYFUNCTION("IFERROR(SPARKLINE(DM18,{""charttype"",""bar"";""color1"",IF(DM18&gt;='Апрель'!green_percent,'Апрель'!green,IF(DM18&gt;='Апрель'!yellow_percent,'Апрель'!yellow,IF(DM18&gt;='Апрель'!orange_percent,'Апрель'!orange,'Апрель'!red)));""max"",1}))"),"")</f>
        <v/>
      </c>
      <c r="DO18" s="301"/>
      <c r="DP18" s="302"/>
    </row>
    <row r="19">
      <c r="A19" s="215"/>
      <c r="B19" s="216" t="s">
        <v>26</v>
      </c>
      <c r="C19" s="217"/>
      <c r="D19" s="217"/>
      <c r="E19" s="218"/>
      <c r="F19" s="330">
        <f>F34+F51+F72+F93+F112</f>
        <v>9</v>
      </c>
      <c r="G19" s="330">
        <f>G34+G51+G72+G93+G112+G138</f>
        <v>3</v>
      </c>
      <c r="H19" s="331">
        <f t="shared" si="15"/>
        <v>0.3333333333</v>
      </c>
      <c r="I19" s="271" t="str">
        <f>IFERROR(__xludf.DUMMYFUNCTION("IFERROR(SPARKLINE(H19,{""charttype"",""bar"";""color1"",IF(H19&gt;='Апрель'!green_percent,'Апрель'!green,IF(H19&gt;='Апрель'!yellow_percent,'Апрель'!yellow,IF(H19&gt;='Апрель'!orange_percent,'Апрель'!orange,'Апрель'!red)));""max"",1}))"),"")</f>
        <v/>
      </c>
      <c r="J19" s="223"/>
      <c r="K19" s="219"/>
      <c r="L19" s="219"/>
      <c r="M19" s="219"/>
      <c r="N19" s="221"/>
      <c r="O19" s="332">
        <f>O34+O51+O72+O93+O112+O138</f>
        <v>0.3279569892</v>
      </c>
      <c r="P19" s="271">
        <f>P34+P51+P72+P93+P112</f>
        <v>1</v>
      </c>
      <c r="Q19" s="332">
        <v>0.3279569892473118</v>
      </c>
      <c r="R19" s="271">
        <f>R34+R51+R72+R93+R112</f>
        <v>0</v>
      </c>
      <c r="S19" s="332">
        <v>0.3279569892473118</v>
      </c>
      <c r="T19" s="271">
        <f>T34+T51+T72+T93+T112</f>
        <v>0</v>
      </c>
      <c r="U19" s="332">
        <v>0.3279569892473118</v>
      </c>
      <c r="V19" s="271">
        <f>V34+V51+V72+V93+V112</f>
        <v>0</v>
      </c>
      <c r="W19" s="332">
        <v>0.3279569892473118</v>
      </c>
      <c r="X19" s="271">
        <f>X34+X51+X72+X93+X112</f>
        <v>0</v>
      </c>
      <c r="Y19" s="333">
        <f>Y34+Y51+Y72+Y93+Y112+Y138</f>
        <v>1.639784946</v>
      </c>
      <c r="Z19" s="330">
        <f>Z34+Z51+Z72+Z93+Z112</f>
        <v>1</v>
      </c>
      <c r="AA19" s="219">
        <f t="shared" si="18"/>
        <v>0.6098360656</v>
      </c>
      <c r="AB19" s="271" t="str">
        <f>IFERROR(__xludf.DUMMYFUNCTION("IFERROR(SPARKLINE(AA19,{""charttype"",""bar"";""color1"",IF(AA19&gt;='Апрель'!green_percent,'Апрель'!green,IF(AA19&gt;='Апрель'!yellow_percent,'Апрель'!yellow,IF(AA19&gt;='Апрель'!orange_percent,'Апрель'!orange,'Апрель'!red)));""max"",1}))"),"")</f>
        <v/>
      </c>
      <c r="AC19" s="332">
        <v>0.3279569892473118</v>
      </c>
      <c r="AD19" s="271">
        <f>AD34+AD51+AD72+AD93+AD112</f>
        <v>0</v>
      </c>
      <c r="AE19" s="332">
        <v>0.3279569892473118</v>
      </c>
      <c r="AF19" s="271">
        <f>AF34+AF51+AF72+AF93+AF112</f>
        <v>0</v>
      </c>
      <c r="AG19" s="332">
        <v>0.3279569892473118</v>
      </c>
      <c r="AH19" s="271">
        <f>AH34+AH51+AH72+AH93+AH112</f>
        <v>0</v>
      </c>
      <c r="AI19" s="332">
        <v>0.3279569892473118</v>
      </c>
      <c r="AJ19" s="271">
        <f>AJ34+AJ51+AJ72+AJ93+AJ112</f>
        <v>0</v>
      </c>
      <c r="AK19" s="332">
        <v>0.3279569892473118</v>
      </c>
      <c r="AL19" s="271">
        <f>AL34+AL51+AL72+AL93+AL112</f>
        <v>0</v>
      </c>
      <c r="AM19" s="332">
        <v>0.3279569892473118</v>
      </c>
      <c r="AN19" s="271">
        <f>AN34+AN51+AN72+AN93+AN112</f>
        <v>0</v>
      </c>
      <c r="AO19" s="332">
        <v>0.3279569892473118</v>
      </c>
      <c r="AP19" s="271">
        <f>AP34+AP51+AP72+AP93+AP112</f>
        <v>0</v>
      </c>
      <c r="AQ19" s="333">
        <f>AQ34+AQ51+AQ72+AQ93+AQ112+AQ138</f>
        <v>1.970967742</v>
      </c>
      <c r="AR19" s="330">
        <f>AR34+AR51+AR72+AR93+AR112</f>
        <v>0</v>
      </c>
      <c r="AS19" s="279">
        <f t="shared" si="20"/>
        <v>0</v>
      </c>
      <c r="AT19" s="280" t="str">
        <f>IFERROR(__xludf.DUMMYFUNCTION("IFERROR(SPARKLINE(AS19,{""charttype"",""bar"";""color1"",IF(AS19&gt;='Апрель'!green_percent,'Апрель'!green,IF(AS19&gt;='Апрель'!yellow_percent,'Апрель'!yellow,IF(AS19&gt;='Апрель'!orange_percent,'Апрель'!orange,'Апрель'!red)));""max"",1}))"),"")</f>
        <v/>
      </c>
      <c r="AU19" s="332">
        <v>0.3279569892473118</v>
      </c>
      <c r="AV19" s="271">
        <f>AV34+AV51+AV72+AV93+AV112</f>
        <v>0</v>
      </c>
      <c r="AW19" s="332">
        <v>0.3279569892473118</v>
      </c>
      <c r="AX19" s="271">
        <f>AX34+AX51+AX72+AX93+AX112</f>
        <v>0</v>
      </c>
      <c r="AY19" s="332">
        <v>0.3279569892473118</v>
      </c>
      <c r="AZ19" s="271">
        <f>AZ34+AZ51+AZ72+AZ93+AZ112</f>
        <v>0</v>
      </c>
      <c r="BA19" s="332">
        <v>0.3279569892473118</v>
      </c>
      <c r="BB19" s="271">
        <f>BB34+BB51+BB72+BB93+BB112</f>
        <v>0</v>
      </c>
      <c r="BC19" s="332">
        <v>0.3279569892473118</v>
      </c>
      <c r="BD19" s="271">
        <f>BD34+BD51+BD72+BD93+BD112</f>
        <v>0</v>
      </c>
      <c r="BE19" s="332">
        <v>0.3279569892473118</v>
      </c>
      <c r="BF19" s="271">
        <f>BF34+BF51+BF72+BF93+BF112</f>
        <v>0</v>
      </c>
      <c r="BG19" s="332">
        <v>0.3279569892473118</v>
      </c>
      <c r="BH19" s="271">
        <f>BH34+BH51+BH72+BH93+BH112</f>
        <v>0</v>
      </c>
      <c r="BI19" s="332">
        <f>BI34+BI51+BI72+BI93+BI112+BI138</f>
        <v>1.970967742</v>
      </c>
      <c r="BJ19" s="330">
        <f>BJ34+BJ51+BJ72+BJ93+BJ112</f>
        <v>0</v>
      </c>
      <c r="BK19" s="279">
        <f t="shared" si="22"/>
        <v>0</v>
      </c>
      <c r="BL19" s="334" t="str">
        <f>IFERROR(__xludf.DUMMYFUNCTION("IFERROR(SPARKLINE(BK19,{""charttype"",""bar"";""color1"",IF(BK19&gt;='Апрель'!green_percent,'Апрель'!green,IF(BK19&gt;='Апрель'!yellow_percent,'Апрель'!yellow,IF(BK19&gt;='Апрель'!orange_percent,'Апрель'!orange,'Апрель'!red)));""max"",1}))"),"")</f>
        <v/>
      </c>
      <c r="BM19" s="332">
        <v>0.3279569892473118</v>
      </c>
      <c r="BN19" s="271">
        <f>BN34+BN51+BN72+BN93+BN112</f>
        <v>0</v>
      </c>
      <c r="BO19" s="332">
        <v>0.3279569892473118</v>
      </c>
      <c r="BP19" s="271">
        <f>BP34+BP51+BP72+BP93+BP112</f>
        <v>1</v>
      </c>
      <c r="BQ19" s="332">
        <v>0.3279569892473118</v>
      </c>
      <c r="BR19" s="271">
        <f>BR34+BR51+BR72+BR93+BR112</f>
        <v>0</v>
      </c>
      <c r="BS19" s="332">
        <v>0.3279569892473118</v>
      </c>
      <c r="BT19" s="271">
        <f>BT34+BT51+BT72+BT93+BT112</f>
        <v>0</v>
      </c>
      <c r="BU19" s="332">
        <v>0.3279569892473118</v>
      </c>
      <c r="BV19" s="271">
        <f>BV34+BV51+BV72+BV93+BV112</f>
        <v>0</v>
      </c>
      <c r="BW19" s="332">
        <v>0.3279569892473118</v>
      </c>
      <c r="BX19" s="271">
        <f>BX34+BX51+BX72+BX93+BX112</f>
        <v>0</v>
      </c>
      <c r="BY19" s="332">
        <v>0.3279569892473118</v>
      </c>
      <c r="BZ19" s="271">
        <f>BZ34+BZ51+BZ72+BZ93+BZ112</f>
        <v>0</v>
      </c>
      <c r="CA19" s="332">
        <f>CA34+CA51+CA72+CA93+CA112+CA138</f>
        <v>1.970967742</v>
      </c>
      <c r="CB19" s="330">
        <f>CB34+CB51+CB72+CB93+CB112</f>
        <v>1</v>
      </c>
      <c r="CC19" s="279">
        <f t="shared" si="23"/>
        <v>0.5073649755</v>
      </c>
      <c r="CD19" s="280" t="str">
        <f>IFERROR(__xludf.DUMMYFUNCTION("IFERROR(SPARKLINE(CC19,{""charttype"",""bar"";""color1"",IF(CC19&gt;='Апрель'!green_percent,'Апрель'!green,IF(CC19&gt;='Апрель'!yellow_percent,'Апрель'!yellow,IF(CC19&gt;='Апрель'!orange_percent,'Апрель'!orange,'Апрель'!red)));""max"",1}))"),"")</f>
        <v/>
      </c>
      <c r="CE19" s="332">
        <v>0.3279569892473118</v>
      </c>
      <c r="CF19" s="271">
        <f>CF34+CF51+CF72+CF93+CF112</f>
        <v>0</v>
      </c>
      <c r="CG19" s="332">
        <v>0.3279569892473118</v>
      </c>
      <c r="CH19" s="271">
        <f>CH34+CH51+CH72+CH93+CH112</f>
        <v>0</v>
      </c>
      <c r="CI19" s="332">
        <v>0.3279569892473118</v>
      </c>
      <c r="CJ19" s="271">
        <f>CJ34+CJ51+CJ72+CJ93+CJ112</f>
        <v>0</v>
      </c>
      <c r="CK19" s="332">
        <v>0.3279569892473118</v>
      </c>
      <c r="CL19" s="271">
        <f>CL34+CL51+CL72+CL93+CL112</f>
        <v>0</v>
      </c>
      <c r="CM19" s="256"/>
      <c r="CN19" s="271"/>
      <c r="CO19" s="256"/>
      <c r="CP19" s="271"/>
      <c r="CQ19" s="256"/>
      <c r="CR19" s="283"/>
      <c r="CS19" s="335">
        <f t="shared" ref="CS19:CT19" si="40">CE19+CG19+CI19+CK19+CM19+CO19+CQ19</f>
        <v>1.311827957</v>
      </c>
      <c r="CT19" s="336">
        <f t="shared" si="40"/>
        <v>0</v>
      </c>
      <c r="CU19" s="231">
        <f t="shared" si="11"/>
        <v>0</v>
      </c>
      <c r="CV19" s="232" t="str">
        <f>IFERROR(__xludf.DUMMYFUNCTION("IFERROR(SPARKLINE(CU19,{""charttype"",""bar"";""color1"",IF(CU19&gt;='Апрель'!green_percent,'Апрель'!green,IF(CU19&gt;='Апрель'!yellow_percent,'Апрель'!yellow,IF(CU19&gt;='Апрель'!orange_percent,'Апрель'!orange,'Апрель'!red)));""max"",1}))"),"")</f>
        <v/>
      </c>
      <c r="CW19" s="321"/>
      <c r="CX19" s="337"/>
      <c r="CY19" s="321"/>
      <c r="CZ19" s="238"/>
      <c r="DA19" s="288"/>
      <c r="DB19" s="288"/>
      <c r="DC19" s="288"/>
      <c r="DD19" s="288"/>
      <c r="DE19" s="288"/>
      <c r="DF19" s="288"/>
      <c r="DG19" s="288"/>
      <c r="DH19" s="288"/>
      <c r="DI19" s="288"/>
      <c r="DJ19" s="288"/>
      <c r="DK19" s="289"/>
      <c r="DL19" s="310"/>
      <c r="DM19" s="338"/>
      <c r="DN19" s="339"/>
      <c r="DO19" s="292"/>
      <c r="DP19" s="293"/>
    </row>
    <row r="20">
      <c r="A20" s="240"/>
      <c r="B20" s="216" t="s">
        <v>27</v>
      </c>
      <c r="C20" s="242"/>
      <c r="D20" s="242"/>
      <c r="E20" s="243"/>
      <c r="F20" s="340">
        <f t="shared" ref="F20:G20" si="41">F12/F19</f>
        <v>56666.66667</v>
      </c>
      <c r="G20" s="340">
        <f t="shared" si="41"/>
        <v>146096.67</v>
      </c>
      <c r="H20" s="311">
        <f t="shared" si="15"/>
        <v>2.578176529</v>
      </c>
      <c r="I20" s="246" t="str">
        <f>IFERROR(__xludf.DUMMYFUNCTION("IFERROR(SPARKLINE(H20,{""charttype"",""bar"";""color1"",IF(H20&gt;='Апрель'!green_percent,'Апрель'!green,IF(H20&gt;='Апрель'!yellow_percent,'Апрель'!yellow,IF(H20&gt;='Апрель'!orange_percent,'Апрель'!orange,'Апрель'!red)));""max"",1}))"),"")</f>
        <v/>
      </c>
      <c r="J20" s="247"/>
      <c r="K20" s="245"/>
      <c r="L20" s="245"/>
      <c r="M20" s="245"/>
      <c r="N20" s="312"/>
      <c r="O20" s="341">
        <v>56666.666666666664</v>
      </c>
      <c r="P20" s="342">
        <f>P12/P19</f>
        <v>4487.67</v>
      </c>
      <c r="Q20" s="341">
        <v>56666.666666666664</v>
      </c>
      <c r="R20" s="342" t="str">
        <f>R12/R19</f>
        <v>#DIV/0!</v>
      </c>
      <c r="S20" s="341">
        <v>56666.666666666664</v>
      </c>
      <c r="T20" s="342" t="str">
        <f>T12/T19</f>
        <v>#DIV/0!</v>
      </c>
      <c r="U20" s="341">
        <v>56666.666666666664</v>
      </c>
      <c r="V20" s="342" t="str">
        <f>V12/V19</f>
        <v>#DIV/0!</v>
      </c>
      <c r="W20" s="341">
        <v>56666.666666666664</v>
      </c>
      <c r="X20" s="342" t="str">
        <f>X12/X19</f>
        <v>#DIV/0!</v>
      </c>
      <c r="Y20" s="341">
        <v>56666.666666666664</v>
      </c>
      <c r="Z20" s="340">
        <f>Z12/Z19</f>
        <v>27950.34333</v>
      </c>
      <c r="AA20" s="245">
        <f t="shared" si="18"/>
        <v>0.4932413529</v>
      </c>
      <c r="AB20" s="246" t="str">
        <f>IFERROR(__xludf.DUMMYFUNCTION("IFERROR(SPARKLINE(AA20,{""charttype"",""bar"";""color1"",IF(AA20&gt;='Апрель'!green_percent,'Апрель'!green,IF(AA20&gt;='Апрель'!yellow_percent,'Апрель'!yellow,IF(AA20&gt;='Апрель'!orange_percent,'Апрель'!orange,'Апрель'!red)));""max"",1}))"),"")</f>
        <v/>
      </c>
      <c r="AC20" s="341">
        <v>56666.666666666664</v>
      </c>
      <c r="AD20" s="342" t="str">
        <f>AD12/AD19</f>
        <v>#DIV/0!</v>
      </c>
      <c r="AE20" s="341">
        <v>56666.666666666664</v>
      </c>
      <c r="AF20" s="342" t="str">
        <f>AF12/AF19</f>
        <v>#DIV/0!</v>
      </c>
      <c r="AG20" s="341">
        <v>56666.666666666664</v>
      </c>
      <c r="AH20" s="342" t="str">
        <f>AH12/AH19</f>
        <v>#DIV/0!</v>
      </c>
      <c r="AI20" s="341">
        <v>56666.666666666664</v>
      </c>
      <c r="AJ20" s="342" t="str">
        <f>AJ12/AJ19</f>
        <v>#DIV/0!</v>
      </c>
      <c r="AK20" s="341">
        <v>56666.666666666664</v>
      </c>
      <c r="AL20" s="342" t="str">
        <f>AL12/AL19</f>
        <v>#DIV/0!</v>
      </c>
      <c r="AM20" s="341">
        <v>56666.666666666664</v>
      </c>
      <c r="AN20" s="342" t="str">
        <f>AN12/AN19</f>
        <v>#DIV/0!</v>
      </c>
      <c r="AO20" s="341">
        <v>56666.666666666664</v>
      </c>
      <c r="AP20" s="342" t="str">
        <f>AP12/AP19</f>
        <v>#DIV/0!</v>
      </c>
      <c r="AQ20" s="343">
        <v>214501.6</v>
      </c>
      <c r="AR20" s="340" t="str">
        <f>AR12/AR19</f>
        <v>#DIV/0!</v>
      </c>
      <c r="AS20" s="253" t="str">
        <f t="shared" si="20"/>
        <v/>
      </c>
      <c r="AT20" s="254" t="str">
        <f>IFERROR(__xludf.DUMMYFUNCTION("IFERROR(SPARKLINE(AS20,{""charttype"",""bar"";""color1"",IF(AS20&gt;='Апрель'!green_percent,'Апрель'!green,IF(AS20&gt;='Апрель'!yellow_percent,'Апрель'!yellow,IF(AS20&gt;='Апрель'!orange_percent,'Апрель'!orange,'Апрель'!red)));""max"",1}))"),"")</f>
        <v/>
      </c>
      <c r="AU20" s="341">
        <v>56666.666666666664</v>
      </c>
      <c r="AV20" s="342" t="str">
        <f>AV12/AV19</f>
        <v>#DIV/0!</v>
      </c>
      <c r="AW20" s="341">
        <v>56666.666666666664</v>
      </c>
      <c r="AX20" s="342" t="str">
        <f>AX12/AX19</f>
        <v>#DIV/0!</v>
      </c>
      <c r="AY20" s="341">
        <v>56666.666666666664</v>
      </c>
      <c r="AZ20" s="342" t="str">
        <f>AZ12/AZ19</f>
        <v>#DIV/0!</v>
      </c>
      <c r="BA20" s="341">
        <v>56666.666666666664</v>
      </c>
      <c r="BB20" s="342" t="str">
        <f>BB12/BB19</f>
        <v>#DIV/0!</v>
      </c>
      <c r="BC20" s="341">
        <v>56666.666666666664</v>
      </c>
      <c r="BD20" s="342" t="str">
        <f>BD12/BD19</f>
        <v>#DIV/0!</v>
      </c>
      <c r="BE20" s="341">
        <v>56666.666666666664</v>
      </c>
      <c r="BF20" s="342" t="str">
        <f>BF12/BF19</f>
        <v>#DIV/0!</v>
      </c>
      <c r="BG20" s="341">
        <v>56666.666666666664</v>
      </c>
      <c r="BH20" s="342" t="str">
        <f>BH12/BH19</f>
        <v>#DIV/0!</v>
      </c>
      <c r="BI20" s="341">
        <v>214501.6</v>
      </c>
      <c r="BJ20" s="340" t="str">
        <f>BJ12/BJ19</f>
        <v>#DIV/0!</v>
      </c>
      <c r="BK20" s="253" t="str">
        <f t="shared" si="22"/>
        <v/>
      </c>
      <c r="BL20" s="318" t="str">
        <f>IFERROR(__xludf.DUMMYFUNCTION("IFERROR(SPARKLINE(BK20,{""charttype"",""bar"";""color1"",IF(BK20&gt;='Апрель'!green_percent,'Апрель'!green,IF(BK20&gt;='Апрель'!yellow_percent,'Апрель'!yellow,IF(BK20&gt;='Апрель'!orange_percent,'Апрель'!orange,'Апрель'!red)));""max"",1}))"),"")</f>
        <v/>
      </c>
      <c r="BM20" s="341">
        <v>56666.666666666664</v>
      </c>
      <c r="BN20" s="342" t="str">
        <f>BN12/BN19</f>
        <v>#DIV/0!</v>
      </c>
      <c r="BO20" s="341">
        <v>56666.666666666664</v>
      </c>
      <c r="BP20" s="342">
        <f>BP12/BP19</f>
        <v>6139.666667</v>
      </c>
      <c r="BQ20" s="341">
        <v>56666.666666666664</v>
      </c>
      <c r="BR20" s="342" t="str">
        <f>BR12/BR19</f>
        <v>#DIV/0!</v>
      </c>
      <c r="BS20" s="341">
        <v>56666.666666666664</v>
      </c>
      <c r="BT20" s="342" t="str">
        <f>BT12/BT19</f>
        <v>#DIV/0!</v>
      </c>
      <c r="BU20" s="341">
        <v>56666.666666666664</v>
      </c>
      <c r="BV20" s="342" t="str">
        <f>BV12/BV19</f>
        <v>#DIV/0!</v>
      </c>
      <c r="BW20" s="341">
        <v>56666.666666666664</v>
      </c>
      <c r="BX20" s="342" t="str">
        <f>BX12/BX19</f>
        <v>#DIV/0!</v>
      </c>
      <c r="BY20" s="341">
        <v>56666.666666666664</v>
      </c>
      <c r="BZ20" s="342" t="str">
        <f>BZ12/BZ19</f>
        <v>#DIV/0!</v>
      </c>
      <c r="CA20" s="343">
        <v>214501.6</v>
      </c>
      <c r="CB20" s="340">
        <f>CB12/CB19</f>
        <v>109319.6667</v>
      </c>
      <c r="CC20" s="253">
        <f t="shared" si="23"/>
        <v>0.5096449941</v>
      </c>
      <c r="CD20" s="254" t="str">
        <f>IFERROR(__xludf.DUMMYFUNCTION("IFERROR(SPARKLINE(CC20,{""charttype"",""bar"";""color1"",IF(CC20&gt;='Апрель'!green_percent,'Апрель'!green,IF(CC20&gt;='Апрель'!yellow_percent,'Апрель'!yellow,IF(CC20&gt;='Апрель'!orange_percent,'Апрель'!orange,'Апрель'!red)));""max"",1}))"),"")</f>
        <v/>
      </c>
      <c r="CE20" s="341">
        <v>56666.666666666664</v>
      </c>
      <c r="CF20" s="342" t="str">
        <f>CF12/CF19</f>
        <v>#DIV/0!</v>
      </c>
      <c r="CG20" s="341">
        <v>56666.666666666664</v>
      </c>
      <c r="CH20" s="342" t="str">
        <f>CH12/CH19</f>
        <v>#DIV/0!</v>
      </c>
      <c r="CI20" s="341">
        <v>56666.666666666664</v>
      </c>
      <c r="CJ20" s="342" t="str">
        <f>CJ12/CJ19</f>
        <v>#DIV/0!</v>
      </c>
      <c r="CK20" s="341">
        <v>56666.666666666664</v>
      </c>
      <c r="CL20" s="342" t="str">
        <f>CL12/CL19</f>
        <v>#DIV/0!</v>
      </c>
      <c r="CM20" s="256"/>
      <c r="CN20" s="246"/>
      <c r="CO20" s="256"/>
      <c r="CP20" s="246"/>
      <c r="CQ20" s="256"/>
      <c r="CR20" s="249"/>
      <c r="CS20" s="341">
        <f t="shared" ref="CS20:CT20" si="42">CS12/CS19</f>
        <v>51836.06557</v>
      </c>
      <c r="CT20" s="344" t="str">
        <f t="shared" si="42"/>
        <v>#DIV/0!</v>
      </c>
      <c r="CU20" s="259" t="str">
        <f t="shared" si="11"/>
        <v/>
      </c>
      <c r="CV20" s="260" t="str">
        <f>IFERROR(__xludf.DUMMYFUNCTION("IFERROR(SPARKLINE(CU20,{""charttype"",""bar"";""color1"",IF(CU20&gt;='Апрель'!green_percent,'Апрель'!green,IF(CU20&gt;='Апрель'!yellow_percent,'Апрель'!yellow,IF(CU20&gt;='Апрель'!orange_percent,'Апрель'!orange,'Апрель'!red)));""max"",1}))"),"")</f>
        <v/>
      </c>
      <c r="CW20" s="321"/>
      <c r="CX20" s="345"/>
      <c r="CY20" s="321"/>
      <c r="CZ20" s="346"/>
      <c r="DA20" s="262"/>
      <c r="DB20" s="262"/>
      <c r="DC20" s="262"/>
      <c r="DD20" s="262"/>
      <c r="DE20" s="262"/>
      <c r="DF20" s="262"/>
      <c r="DG20" s="262"/>
      <c r="DH20" s="262"/>
      <c r="DI20" s="262"/>
      <c r="DJ20" s="262"/>
      <c r="DK20" s="326"/>
      <c r="DL20" s="327"/>
      <c r="DM20" s="328"/>
      <c r="DN20" s="329"/>
      <c r="DO20" s="301"/>
      <c r="DP20" s="302"/>
    </row>
    <row r="21">
      <c r="A21" s="215"/>
      <c r="B21" s="216" t="s">
        <v>28</v>
      </c>
      <c r="C21" s="217"/>
      <c r="D21" s="217"/>
      <c r="E21" s="218"/>
      <c r="F21" s="219"/>
      <c r="G21" s="330">
        <f>G38+G55+G76+G97</f>
        <v>1</v>
      </c>
      <c r="H21" s="331"/>
      <c r="I21" s="271"/>
      <c r="J21" s="347"/>
      <c r="K21" s="219"/>
      <c r="L21" s="219"/>
      <c r="M21" s="219"/>
      <c r="N21" s="221"/>
      <c r="O21" s="226"/>
      <c r="P21" s="271">
        <f>P38+P55+P76+P97+P142</f>
        <v>0</v>
      </c>
      <c r="Q21" s="226"/>
      <c r="R21" s="271">
        <f>R38+R55+R76+R97+R142</f>
        <v>0</v>
      </c>
      <c r="S21" s="226"/>
      <c r="T21" s="271">
        <f>T38+T55+T76+T97+T142</f>
        <v>0</v>
      </c>
      <c r="U21" s="226"/>
      <c r="V21" s="271">
        <f>V38+V55+V76+V97+V142</f>
        <v>0</v>
      </c>
      <c r="W21" s="315"/>
      <c r="X21" s="271">
        <f>X38+X55+X76+X97+X142</f>
        <v>0</v>
      </c>
      <c r="Y21" s="348"/>
      <c r="Z21" s="330">
        <f>Z38+Z55+Z76+Z97+Z142</f>
        <v>0</v>
      </c>
      <c r="AA21" s="219"/>
      <c r="AB21" s="271"/>
      <c r="AC21" s="226"/>
      <c r="AD21" s="271">
        <f>AD38+AD55+AD76+AD97+AD142</f>
        <v>0</v>
      </c>
      <c r="AE21" s="317"/>
      <c r="AF21" s="271">
        <f>AF38+AF55+AF76+AF97+AF142</f>
        <v>0</v>
      </c>
      <c r="AG21" s="317"/>
      <c r="AH21" s="271">
        <f>AH38+AH55+AH76+AH97+AH142</f>
        <v>1</v>
      </c>
      <c r="AI21" s="317"/>
      <c r="AJ21" s="271">
        <f>AJ38+AJ55+AJ76+AJ97+AJ142</f>
        <v>0</v>
      </c>
      <c r="AK21" s="317"/>
      <c r="AL21" s="271">
        <f>AL38+AL55+AL76+AL97+AL142</f>
        <v>0</v>
      </c>
      <c r="AM21" s="317"/>
      <c r="AN21" s="271">
        <f>AN38+AN55+AN76+AN97+AN142</f>
        <v>0</v>
      </c>
      <c r="AO21" s="317"/>
      <c r="AP21" s="271">
        <f>AP38+AP55+AP76+AP97+AP142</f>
        <v>0</v>
      </c>
      <c r="AQ21" s="348"/>
      <c r="AR21" s="330">
        <f>AR38+AR55+AR76+AR97+AR142</f>
        <v>1</v>
      </c>
      <c r="AS21" s="279"/>
      <c r="AT21" s="280"/>
      <c r="AU21" s="317"/>
      <c r="AV21" s="271">
        <f>AV38+AV55+AV76+AV97+AV142</f>
        <v>0</v>
      </c>
      <c r="AW21" s="317"/>
      <c r="AX21" s="271">
        <f>AX38+AX55+AX76+AX97+AX142</f>
        <v>0</v>
      </c>
      <c r="AY21" s="317"/>
      <c r="AZ21" s="271">
        <f>AZ38+AZ55+AZ76+AZ97+AZ142</f>
        <v>0</v>
      </c>
      <c r="BA21" s="317"/>
      <c r="BB21" s="271">
        <f>BB38+BB55+BB76+BB97+BB142</f>
        <v>0</v>
      </c>
      <c r="BC21" s="317"/>
      <c r="BD21" s="271">
        <f>BD38+BD55+BD76+BD97+BD142</f>
        <v>0</v>
      </c>
      <c r="BE21" s="317"/>
      <c r="BF21" s="271">
        <f>BF38+BF55+BF76+BF97+BF142</f>
        <v>0</v>
      </c>
      <c r="BG21" s="317"/>
      <c r="BH21" s="271">
        <f>BH38+BH55+BH76+BH97+BH142</f>
        <v>0</v>
      </c>
      <c r="BI21" s="348"/>
      <c r="BJ21" s="330">
        <f>BJ38+BJ55+BJ76+BJ97+BJ142</f>
        <v>0</v>
      </c>
      <c r="BK21" s="279"/>
      <c r="BL21" s="334"/>
      <c r="BM21" s="317"/>
      <c r="BN21" s="271">
        <f>BN38+BN55+BN76+BN97+BN142</f>
        <v>0</v>
      </c>
      <c r="BO21" s="317"/>
      <c r="BP21" s="271">
        <f>BP38+BP55+BP76+BP97+BP142</f>
        <v>0</v>
      </c>
      <c r="BQ21" s="317"/>
      <c r="BR21" s="271">
        <f>BR38+BR55+BR76+BR97+BR142</f>
        <v>0</v>
      </c>
      <c r="BS21" s="317"/>
      <c r="BT21" s="271">
        <f>BT38+BT55+BT76+BT97+BT142</f>
        <v>0</v>
      </c>
      <c r="BU21" s="317"/>
      <c r="BV21" s="271">
        <f>BV38+BV55+BV76+BV97+BV142</f>
        <v>0</v>
      </c>
      <c r="BW21" s="317"/>
      <c r="BX21" s="271">
        <f>BX38+BX55+BX76+BX97+BX142</f>
        <v>0</v>
      </c>
      <c r="BY21" s="317"/>
      <c r="BZ21" s="271">
        <f>BZ38+BZ55+BZ76+BZ97+BZ142</f>
        <v>0</v>
      </c>
      <c r="CA21" s="349"/>
      <c r="CB21" s="330">
        <f>CB38+CB55+CB76+CB97+CB142</f>
        <v>0</v>
      </c>
      <c r="CC21" s="279"/>
      <c r="CD21" s="334"/>
      <c r="CE21" s="317"/>
      <c r="CF21" s="271">
        <f>CF38+CF55+CF76+CF97+CF142</f>
        <v>0</v>
      </c>
      <c r="CG21" s="317"/>
      <c r="CH21" s="271">
        <f>CH38+CH55+CH76+CH97+CH142</f>
        <v>0</v>
      </c>
      <c r="CI21" s="317"/>
      <c r="CJ21" s="271">
        <f>CJ38+CJ55+CJ76+CJ97+CJ142</f>
        <v>0</v>
      </c>
      <c r="CK21" s="317"/>
      <c r="CL21" s="271">
        <f>CL38+CL55+CL76+CL97+CL142</f>
        <v>0</v>
      </c>
      <c r="CM21" s="256"/>
      <c r="CN21" s="271"/>
      <c r="CO21" s="256"/>
      <c r="CP21" s="271"/>
      <c r="CQ21" s="256"/>
      <c r="CR21" s="283"/>
      <c r="CS21" s="335"/>
      <c r="CT21" s="336"/>
      <c r="CU21" s="231" t="str">
        <f t="shared" si="11"/>
        <v/>
      </c>
      <c r="CV21" s="232" t="str">
        <f>IFERROR(__xludf.DUMMYFUNCTION("IFERROR(SPARKLINE(CU21,{""charttype"",""bar"";""color1"",IF(CU21&gt;='Апрель'!green_percent,'Апрель'!green,IF(CU21&gt;='Апрель'!yellow_percent,'Апрель'!yellow,IF(CU21&gt;='Апрель'!orange_percent,'Апрель'!orange,'Апрель'!red)));""max"",1}))"),"")</f>
        <v/>
      </c>
      <c r="CW21" s="321"/>
      <c r="CX21" s="337"/>
      <c r="CY21" s="321"/>
      <c r="CZ21" s="238"/>
      <c r="DA21" s="288"/>
      <c r="DB21" s="288"/>
      <c r="DC21" s="288"/>
      <c r="DD21" s="288"/>
      <c r="DE21" s="288"/>
      <c r="DF21" s="288"/>
      <c r="DG21" s="288"/>
      <c r="DH21" s="288"/>
      <c r="DI21" s="288"/>
      <c r="DJ21" s="288"/>
      <c r="DK21" s="289"/>
      <c r="DL21" s="310"/>
      <c r="DM21" s="338"/>
      <c r="DN21" s="339"/>
      <c r="DO21" s="292"/>
      <c r="DP21" s="293"/>
    </row>
    <row r="22">
      <c r="A22" s="350"/>
      <c r="B22" s="351" t="s">
        <v>29</v>
      </c>
      <c r="C22" s="352"/>
      <c r="D22" s="352"/>
      <c r="E22" s="353"/>
      <c r="F22" s="354">
        <f>F35+F39+F52+F56+F73+F77+F94+F98+F113</f>
        <v>4430000</v>
      </c>
      <c r="G22" s="354">
        <f>G35+G52+G73+G94+G113</f>
        <v>366150</v>
      </c>
      <c r="H22" s="355">
        <f t="shared" ref="H22:H37" si="45">IFERROR(G22/F22,"")</f>
        <v>0.0826523702</v>
      </c>
      <c r="I22" s="356" t="str">
        <f>IFERROR(__xludf.DUMMYFUNCTION("IFERROR(SPARKLINE(H22,{""charttype"",""bar"";""color1"",IF(H22&gt;='Апрель'!green_percent,'Апрель'!green,IF(H22&gt;='Апрель'!yellow_percent,'Апрель'!yellow,IF(H22&gt;='Апрель'!orange_percent,'Апрель'!orange,'Апрель'!red)));""max"",1}))"),"")</f>
        <v/>
      </c>
      <c r="J22" s="357"/>
      <c r="K22" s="245"/>
      <c r="L22" s="245"/>
      <c r="M22" s="245"/>
      <c r="N22" s="312"/>
      <c r="O22" s="358">
        <f>F22/30</f>
        <v>147666.6667</v>
      </c>
      <c r="P22" s="354">
        <f>P35+P39+P52+P56+P73+P77+P94+P98+P113</f>
        <v>200000</v>
      </c>
      <c r="Q22" s="358">
        <v>147666.66666666666</v>
      </c>
      <c r="R22" s="354">
        <f>R35+R39+R52+R56+R73+R77+R94+R98+R113</f>
        <v>0</v>
      </c>
      <c r="S22" s="358">
        <v>147666.66666666666</v>
      </c>
      <c r="T22" s="354">
        <f>T35+T39+T52+T56+T73+T77+T94+T98+T113</f>
        <v>0</v>
      </c>
      <c r="U22" s="358">
        <v>147666.66666666666</v>
      </c>
      <c r="V22" s="354">
        <f>V35+V39+V52+V56+V73+V77+V94+V98+V113</f>
        <v>0</v>
      </c>
      <c r="W22" s="359">
        <v>147666.66666666666</v>
      </c>
      <c r="X22" s="354">
        <f>X35+X39+X52+X56+X73+X77+X94+X98+X113</f>
        <v>0</v>
      </c>
      <c r="Y22" s="360">
        <f>Y35+Y52+Y73+Y94+Y113</f>
        <v>734946.2366</v>
      </c>
      <c r="Z22" s="354">
        <f>Z35+Z39+Z52+Z56+Z73+Z77+Z94+Z98+Z113</f>
        <v>200000</v>
      </c>
      <c r="AA22" s="361"/>
      <c r="AB22" s="356"/>
      <c r="AC22" s="358">
        <v>147666.66666666666</v>
      </c>
      <c r="AD22" s="354">
        <f>AD35+AD39+AD52+AD56+AD73+AD77+AD94+AD98+AD113</f>
        <v>0</v>
      </c>
      <c r="AE22" s="362">
        <v>147666.66666666666</v>
      </c>
      <c r="AF22" s="354">
        <f>AF35+AF39+AF52+AF56+AF73+AF77+AF94+AF98+AF113</f>
        <v>0</v>
      </c>
      <c r="AG22" s="362">
        <v>147666.66666666666</v>
      </c>
      <c r="AH22" s="354">
        <f>AH35+AH39+AH52+AH56+AH73+AH77+AH94+AH98+AH113</f>
        <v>1100000</v>
      </c>
      <c r="AI22" s="362">
        <v>147666.66666666666</v>
      </c>
      <c r="AJ22" s="354">
        <f>AJ35+AJ39+AJ52+AJ56+AJ73+AJ77+AJ94+AJ98+AJ113</f>
        <v>0</v>
      </c>
      <c r="AK22" s="362">
        <v>147666.66666666666</v>
      </c>
      <c r="AL22" s="354">
        <f>AL35+AL39+AL52+AL56+AL73+AL77+AL94+AL98+AL113</f>
        <v>0</v>
      </c>
      <c r="AM22" s="362">
        <v>147666.66666666666</v>
      </c>
      <c r="AN22" s="354">
        <f>AN35+AN39+AN52+AN56+AN73+AN77+AN94+AN98+AN113</f>
        <v>0</v>
      </c>
      <c r="AO22" s="362">
        <v>147666.66666666666</v>
      </c>
      <c r="AP22" s="363">
        <f>AP35+AP39+AP52+AP56+AP73+AP77+AP94+AP98+AP113</f>
        <v>0</v>
      </c>
      <c r="AQ22" s="360">
        <f t="shared" ref="AQ22:AR22" si="43">AQ35+AQ52+AQ73+AQ94+AQ113</f>
        <v>988279.5699</v>
      </c>
      <c r="AR22" s="354">
        <f t="shared" si="43"/>
        <v>0</v>
      </c>
      <c r="AS22" s="364"/>
      <c r="AT22" s="365"/>
      <c r="AU22" s="362">
        <v>147666.66666666666</v>
      </c>
      <c r="AV22" s="354">
        <f>AV35+AV39+AV52+AV56+AV73+AV77+AV94+AV98+AV113</f>
        <v>0</v>
      </c>
      <c r="AW22" s="362">
        <v>147666.66666666666</v>
      </c>
      <c r="AX22" s="354">
        <f>AX35+AX39+AX52+AX56+AX73+AX77+AX94+AX98+AX113</f>
        <v>0</v>
      </c>
      <c r="AY22" s="362">
        <v>147666.66666666666</v>
      </c>
      <c r="AZ22" s="354">
        <f>AZ35+AZ39+AZ52+AZ56+AZ73+AZ77+AZ94+AZ98+AZ113</f>
        <v>0</v>
      </c>
      <c r="BA22" s="362">
        <v>147666.66666666666</v>
      </c>
      <c r="BB22" s="354">
        <f>BB35+BB39+BB52+BB56+BB73+BB77+BB94+BB98+BB113</f>
        <v>0</v>
      </c>
      <c r="BC22" s="362">
        <v>147666.66666666666</v>
      </c>
      <c r="BD22" s="354">
        <f>BD35+BD39+BD52+BD56+BD73+BD77+BD94+BD98+BD113</f>
        <v>0</v>
      </c>
      <c r="BE22" s="362">
        <v>147666.66666666666</v>
      </c>
      <c r="BF22" s="354">
        <f>BF35+BF39+BF52+BF56+BF73+BF77+BF94+BF98+BF113</f>
        <v>0</v>
      </c>
      <c r="BG22" s="362">
        <v>147666.66666666666</v>
      </c>
      <c r="BH22" s="354">
        <f>BH35+BH39+BH52+BH56+BH73+BH77+BH94+BH98+BH113</f>
        <v>0</v>
      </c>
      <c r="BI22" s="360">
        <f>BI35+BI52+BI73+BI94+BI113</f>
        <v>988279.5699</v>
      </c>
      <c r="BJ22" s="354">
        <f>BJ35+BJ39+BJ52+BJ56+BJ73+BJ77+BJ94+BJ98+BJ113</f>
        <v>0</v>
      </c>
      <c r="BK22" s="364"/>
      <c r="BL22" s="366"/>
      <c r="BM22" s="362">
        <v>147666.66666666666</v>
      </c>
      <c r="BN22" s="354">
        <f>BN35+BN39+BN52+BN56+BN73+BN77+BN94+BN98+BN113</f>
        <v>0</v>
      </c>
      <c r="BO22" s="362">
        <v>147666.66666666666</v>
      </c>
      <c r="BP22" s="354">
        <f>BP35+BP39+BP52+BP56+BP73+BP77+BP94+BP98+BP113</f>
        <v>166150</v>
      </c>
      <c r="BQ22" s="362">
        <v>147666.66666666666</v>
      </c>
      <c r="BR22" s="354">
        <f>BR35+BR39+BR52+BR56+BR73+BR77+BR94+BR98+BR113</f>
        <v>0</v>
      </c>
      <c r="BS22" s="362">
        <v>147666.66666666666</v>
      </c>
      <c r="BT22" s="354">
        <f>BT35+BT39+BT52+BT56+BT73+BT77+BT94+BT98+BT113</f>
        <v>0</v>
      </c>
      <c r="BU22" s="362">
        <v>147666.66666666666</v>
      </c>
      <c r="BV22" s="354">
        <f>BV35+BV39+BV52+BV56+BV73+BV77+BV94+BV98+BV113</f>
        <v>0</v>
      </c>
      <c r="BW22" s="362">
        <v>147666.66666666666</v>
      </c>
      <c r="BX22" s="354">
        <f>BX35+BX39+BX52+BX56+BX73+BX77+BX94+BX98+BX113</f>
        <v>0</v>
      </c>
      <c r="BY22" s="362">
        <v>147666.66666666666</v>
      </c>
      <c r="BZ22" s="354">
        <f>BZ35+BZ39+BZ52+BZ56+BZ73+BZ77+BZ94+BZ98+BZ113</f>
        <v>0</v>
      </c>
      <c r="CA22" s="360">
        <f>CA35+CA52+CA73+CA94+CA113</f>
        <v>988279.5699</v>
      </c>
      <c r="CB22" s="354">
        <f>CB35+CB39+CB52+CB56+CB73+CB77+CB94+CB98+CB113</f>
        <v>166150</v>
      </c>
      <c r="CC22" s="364"/>
      <c r="CD22" s="366"/>
      <c r="CE22" s="362">
        <v>147666.66666666666</v>
      </c>
      <c r="CF22" s="354">
        <f>CF35+CF39+CF52+CF56+CF73+CF77+CF94+CF98+CF113</f>
        <v>0</v>
      </c>
      <c r="CG22" s="362">
        <v>147666.66666666666</v>
      </c>
      <c r="CH22" s="354">
        <f>CH35+CH39+CH52+CH56+CH73+CH77+CH94+CH98+CH113</f>
        <v>0</v>
      </c>
      <c r="CI22" s="362">
        <v>147666.66666666666</v>
      </c>
      <c r="CJ22" s="354">
        <f>CJ35+CJ39+CJ52+CJ56+CJ73+CJ77+CJ94+CJ98+CJ113</f>
        <v>0</v>
      </c>
      <c r="CK22" s="362">
        <v>147666.66666666666</v>
      </c>
      <c r="CL22" s="354">
        <f>CL35+CL39+CL52+CL56+CL73+CL77+CL94+CL98+CL113</f>
        <v>0</v>
      </c>
      <c r="CM22" s="367"/>
      <c r="CN22" s="356"/>
      <c r="CO22" s="367"/>
      <c r="CP22" s="356"/>
      <c r="CQ22" s="367"/>
      <c r="CR22" s="368"/>
      <c r="CS22" s="369">
        <f>CS35+CS52+CS73+CS94+CS113</f>
        <v>608279.9032</v>
      </c>
      <c r="CT22" s="354">
        <f>CT35+CT39+CT52+CT56+CT73+CT77+CT94+CT98+CT113</f>
        <v>0</v>
      </c>
      <c r="CU22" s="370">
        <f t="shared" si="11"/>
        <v>0</v>
      </c>
      <c r="CV22" s="371" t="str">
        <f>IFERROR(__xludf.DUMMYFUNCTION("IFERROR(SPARKLINE(CU22,{""charttype"",""bar"";""color1"",IF(CU22&gt;='Апрель'!green_percent,'Апрель'!green,IF(CU22&gt;='Апрель'!yellow_percent,'Апрель'!yellow,IF(CU22&gt;='Апрель'!orange_percent,'Апрель'!orange,'Апрель'!red)));""max"",1}))"),"")</f>
        <v/>
      </c>
      <c r="CW22" s="321"/>
      <c r="CX22" s="345"/>
      <c r="CY22" s="321"/>
      <c r="CZ22" s="346"/>
      <c r="DA22" s="262"/>
      <c r="DB22" s="262"/>
      <c r="DC22" s="262"/>
      <c r="DD22" s="262"/>
      <c r="DE22" s="262"/>
      <c r="DF22" s="262"/>
      <c r="DG22" s="262"/>
      <c r="DH22" s="262"/>
      <c r="DI22" s="262"/>
      <c r="DJ22" s="262"/>
      <c r="DK22" s="326"/>
      <c r="DL22" s="327"/>
      <c r="DM22" s="328"/>
      <c r="DN22" s="329"/>
      <c r="DO22" s="301"/>
      <c r="DP22" s="302"/>
    </row>
    <row r="23">
      <c r="A23" s="372" t="s">
        <v>30</v>
      </c>
      <c r="B23" s="373" t="s">
        <v>20</v>
      </c>
      <c r="C23" s="374"/>
      <c r="D23" s="374"/>
      <c r="E23" s="347"/>
      <c r="F23" s="375">
        <f t="shared" ref="F23:G23" si="44">F24/F35</f>
        <v>0.25</v>
      </c>
      <c r="G23" s="375" t="str">
        <f t="shared" si="44"/>
        <v>#DIV/0!</v>
      </c>
      <c r="H23" s="376" t="str">
        <f t="shared" si="45"/>
        <v/>
      </c>
      <c r="I23" s="377" t="str">
        <f>IFERROR(__xludf.DUMMYFUNCTION("IFERROR(SPARKLINE(H23,{""charttype"",""bar"";""color1"",IF(H23&gt;='Апрель'!green_percent,'Апрель'!green,IF(H23&gt;='Апрель'!yellow_percent,'Апрель'!yellow,IF(H23&gt;='Апрель'!orange_percent,'Апрель'!orange,'Апрель'!red)));""max"",1}))"),"")</f>
        <v/>
      </c>
      <c r="J23" s="378"/>
      <c r="K23" s="379"/>
      <c r="L23" s="380"/>
      <c r="M23" s="381"/>
      <c r="N23" s="382"/>
      <c r="O23" s="381">
        <f t="shared" ref="O23:P23" si="46">O24/O35</f>
        <v>0.25</v>
      </c>
      <c r="P23" s="383" t="str">
        <f t="shared" si="46"/>
        <v>#DIV/0!</v>
      </c>
      <c r="Q23" s="381">
        <v>0.25</v>
      </c>
      <c r="R23" s="383" t="str">
        <f>R24/R35</f>
        <v>#DIV/0!</v>
      </c>
      <c r="S23" s="381">
        <v>0.25</v>
      </c>
      <c r="T23" s="383" t="str">
        <f>T24/T35</f>
        <v>#DIV/0!</v>
      </c>
      <c r="U23" s="381">
        <v>0.25</v>
      </c>
      <c r="V23" s="383" t="str">
        <f>V24/V35</f>
        <v>#DIV/0!</v>
      </c>
      <c r="W23" s="381">
        <v>0.25</v>
      </c>
      <c r="X23" s="384" t="str">
        <f t="shared" ref="X23:Y23" si="47">X24/X35</f>
        <v>#DIV/0!</v>
      </c>
      <c r="Y23" s="381">
        <f t="shared" si="47"/>
        <v>0.25</v>
      </c>
      <c r="Z23" s="385" t="str">
        <f>L23+N23+P23+R23+T23+V23+X23</f>
        <v>#DIV/0!</v>
      </c>
      <c r="AA23" s="376" t="str">
        <f t="shared" ref="AA23:AA37" si="49">IFERROR(Z23/Y23,"")</f>
        <v/>
      </c>
      <c r="AB23" s="386" t="str">
        <f>IFERROR(__xludf.DUMMYFUNCTION("IFERROR(SPARKLINE(AA23,{""charttype"",""bar"";""color1"",IF(AA23&gt;='Апрель'!green_percent,'Апрель'!green,IF(AA23&gt;='Апрель'!yellow_percent,'Апрель'!yellow,IF(AA23&gt;='Апрель'!orange_percent,'Апрель'!orange,'Апрель'!red)));""max"",1}))"),"")</f>
        <v/>
      </c>
      <c r="AC23" s="387">
        <v>0.25</v>
      </c>
      <c r="AD23" s="388"/>
      <c r="AE23" s="387">
        <v>0.25</v>
      </c>
      <c r="AF23" s="388"/>
      <c r="AG23" s="387">
        <v>0.25</v>
      </c>
      <c r="AH23" s="388"/>
      <c r="AI23" s="387">
        <v>0.25</v>
      </c>
      <c r="AJ23" s="388"/>
      <c r="AK23" s="387">
        <v>0.25</v>
      </c>
      <c r="AL23" s="388"/>
      <c r="AM23" s="387">
        <v>0.25</v>
      </c>
      <c r="AN23" s="388"/>
      <c r="AO23" s="387">
        <v>0.25</v>
      </c>
      <c r="AP23" s="388"/>
      <c r="AQ23" s="389">
        <f>AQ24/AQ35</f>
        <v>0.25</v>
      </c>
      <c r="AR23" s="385">
        <f>AD23+AF23+AH23+AJ23+AL23+AN23+AP23</f>
        <v>0</v>
      </c>
      <c r="AS23" s="390">
        <f t="shared" ref="AS23:AS37" si="51">IFERROR(AR23/AQ23,"")</f>
        <v>0</v>
      </c>
      <c r="AT23" s="391" t="str">
        <f>IFERROR(__xludf.DUMMYFUNCTION("IFERROR(SPARKLINE(AS23,{""charttype"",""bar"";""color1"",IF(AS23&gt;='Апрель'!green_percent,'Апрель'!green,IF(AS23&gt;='Апрель'!yellow_percent,'Апрель'!yellow,IF(AS23&gt;='Апрель'!orange_percent,'Апрель'!orange,'Апрель'!red)));""max"",1}))"),"")</f>
        <v/>
      </c>
      <c r="AU23" s="387">
        <v>0.25</v>
      </c>
      <c r="AV23" s="392"/>
      <c r="AW23" s="381">
        <v>0.25</v>
      </c>
      <c r="AX23" s="392"/>
      <c r="AY23" s="381">
        <v>0.25</v>
      </c>
      <c r="AZ23" s="392"/>
      <c r="BA23" s="381">
        <v>0.25</v>
      </c>
      <c r="BB23" s="392"/>
      <c r="BC23" s="381">
        <v>0.25</v>
      </c>
      <c r="BD23" s="392"/>
      <c r="BE23" s="381">
        <v>0.25</v>
      </c>
      <c r="BF23" s="392"/>
      <c r="BG23" s="381">
        <v>0.25</v>
      </c>
      <c r="BH23" s="392"/>
      <c r="BI23" s="389">
        <v>0.25</v>
      </c>
      <c r="BJ23" s="385">
        <f t="shared" ref="BJ23:BJ26" si="52">AV23+AX23+AZ23+BB23+BD23+BF23+BH23</f>
        <v>0</v>
      </c>
      <c r="BK23" s="376">
        <f t="shared" ref="BK23:BK37" si="53">IFERROR(BJ23/BI23,"")</f>
        <v>0</v>
      </c>
      <c r="BL23" s="377" t="str">
        <f>IFERROR(__xludf.DUMMYFUNCTION("IFERROR(SPARKLINE(BK23,{""charttype"",""bar"";""color1"",IF(BK23&gt;='Апрель'!green_percent,'Апрель'!green,IF(BK23&gt;='Апрель'!yellow_percent,'Апрель'!yellow,IF(BK23&gt;='Апрель'!orange_percent,'Апрель'!orange,'Апрель'!red)));""max"",1}))"),"")</f>
        <v/>
      </c>
      <c r="BM23" s="387">
        <v>0.25</v>
      </c>
      <c r="BN23" s="393"/>
      <c r="BO23" s="387">
        <v>0.25</v>
      </c>
      <c r="BP23" s="393"/>
      <c r="BQ23" s="387">
        <v>0.25</v>
      </c>
      <c r="BR23" s="393"/>
      <c r="BS23" s="387">
        <v>0.25</v>
      </c>
      <c r="BT23" s="393"/>
      <c r="BU23" s="387">
        <v>0.25</v>
      </c>
      <c r="BV23" s="393"/>
      <c r="BW23" s="387">
        <v>0.25</v>
      </c>
      <c r="BX23" s="393"/>
      <c r="BY23" s="387">
        <v>0.25</v>
      </c>
      <c r="BZ23" s="393"/>
      <c r="CA23" s="389">
        <v>0.25</v>
      </c>
      <c r="CB23" s="385">
        <f t="shared" ref="CB23:CB26" si="54">BN23+BP23+BR23+BT23+BV23+BX23+BZ23</f>
        <v>0</v>
      </c>
      <c r="CC23" s="376">
        <f t="shared" ref="CC23:CC37" si="55">IFERROR(CB23/CA23,"")</f>
        <v>0</v>
      </c>
      <c r="CD23" s="377" t="str">
        <f>IFERROR(__xludf.DUMMYFUNCTION("IFERROR(SPARKLINE(CC23,{""charttype"",""bar"";""color1"",IF(CC23&gt;='Апрель'!green_percent,'Апрель'!green,IF(CC23&gt;='Апрель'!yellow_percent,'Апрель'!yellow,IF(CC23&gt;='Апрель'!orange_percent,'Апрель'!orange,'Апрель'!red)));""max"",1}))"),"")</f>
        <v/>
      </c>
      <c r="CE23" s="387">
        <v>0.25</v>
      </c>
      <c r="CF23" s="394"/>
      <c r="CG23" s="387">
        <v>0.25</v>
      </c>
      <c r="CH23" s="394"/>
      <c r="CI23" s="387">
        <v>0.25</v>
      </c>
      <c r="CJ23" s="394"/>
      <c r="CK23" s="387">
        <v>0.25</v>
      </c>
      <c r="CL23" s="394"/>
      <c r="CM23" s="395"/>
      <c r="CN23" s="394"/>
      <c r="CO23" s="395"/>
      <c r="CP23" s="394"/>
      <c r="CQ23" s="395"/>
      <c r="CR23" s="394"/>
      <c r="CS23" s="234">
        <f>CS24/CS35</f>
        <v>0.249996875</v>
      </c>
      <c r="CT23" s="396">
        <f t="shared" ref="CT23:CT25" si="56">CF23+CH23+CJ23+CL23+CN23+CP23+CR23</f>
        <v>0</v>
      </c>
      <c r="CU23" s="397">
        <f t="shared" si="11"/>
        <v>0</v>
      </c>
      <c r="CV23" s="398" t="str">
        <f>IFERROR(__xludf.DUMMYFUNCTION("IFERROR(SPARKLINE(CU23,{""charttype"",""bar"";""color1"",IF(CU23&gt;='Апрель'!green_percent,'Апрель'!green,IF(CU23&gt;='Апрель'!yellow_percent,'Апрель'!yellow,IF(CU23&gt;='Апрель'!orange_percent,'Апрель'!orange,'Апрель'!red)));""max"",1}))"),"")</f>
        <v/>
      </c>
      <c r="CW23" s="399"/>
      <c r="CX23" s="400"/>
      <c r="CY23" s="401"/>
      <c r="CZ23" s="402"/>
      <c r="DA23" s="403"/>
      <c r="DB23" s="402"/>
      <c r="DC23" s="403"/>
      <c r="DD23" s="402"/>
      <c r="DE23" s="403"/>
      <c r="DF23" s="402"/>
      <c r="DG23" s="403"/>
      <c r="DH23" s="402"/>
      <c r="DI23" s="403"/>
      <c r="DJ23" s="402"/>
      <c r="DK23" s="404">
        <f>DI23+DG23+DE23+DC23+DA23+CY23+CW23</f>
        <v>0</v>
      </c>
      <c r="DL23" s="405">
        <f>CX23+CZ23+DB23+DD23+DF23+DH23+DJ23</f>
        <v>0</v>
      </c>
      <c r="DM23" s="406" t="str">
        <f>IFERROR(DL23/DK23,"")</f>
        <v/>
      </c>
      <c r="DN23" s="407" t="str">
        <f>IFERROR(__xludf.DUMMYFUNCTION("IFERROR(SPARKLINE(DM23,{""charttype"",""bar"";""color1"",IF(DM23&gt;='Апрель'!green_percent,'Апрель'!green,IF(DM23&gt;='Апрель'!yellow_percent,'Апрель'!yellow,IF(DM23&gt;='Апрель'!orange_percent,'Апрель'!orange,'Апрель'!red)));""max"",1}))"),"")</f>
        <v/>
      </c>
      <c r="DO23" s="408"/>
      <c r="DP23" s="409"/>
    </row>
    <row r="24">
      <c r="A24" s="240"/>
      <c r="B24" s="410" t="s">
        <v>31</v>
      </c>
      <c r="C24" s="242"/>
      <c r="D24" s="242"/>
      <c r="E24" s="243"/>
      <c r="F24" s="411">
        <v>50000.0</v>
      </c>
      <c r="G24" s="411">
        <f t="shared" ref="G24:G26" si="57">Z24+AR24+BJ24+CB24+CT24</f>
        <v>50000.01</v>
      </c>
      <c r="H24" s="412">
        <f t="shared" si="45"/>
        <v>1.0000002</v>
      </c>
      <c r="I24" s="413" t="str">
        <f>IFERROR(__xludf.DUMMYFUNCTION("IFERROR(SPARKLINE(H24,{""charttype"",""bar"";""color1"",IF(H24&gt;='Апрель'!green_percent,'Апрель'!green,IF(H24&gt;='Апрель'!yellow_percent,'Апрель'!yellow,IF(H24&gt;='Апрель'!orange_percent,'Апрель'!orange,'Апрель'!red)));""max"",1}))"),"")</f>
        <v/>
      </c>
      <c r="J24" s="414"/>
      <c r="K24" s="415"/>
      <c r="L24" s="416"/>
      <c r="M24" s="417"/>
      <c r="N24" s="418"/>
      <c r="O24" s="419">
        <f t="shared" ref="O24:O26" si="58">F24/30</f>
        <v>1666.666667</v>
      </c>
      <c r="P24" s="420">
        <v>1666.67</v>
      </c>
      <c r="Q24" s="419">
        <v>1666.6666666666667</v>
      </c>
      <c r="R24" s="420">
        <v>1666.67</v>
      </c>
      <c r="S24" s="419">
        <v>1666.6666666666667</v>
      </c>
      <c r="T24" s="420">
        <v>1666.67</v>
      </c>
      <c r="U24" s="419">
        <v>1666.6666666666667</v>
      </c>
      <c r="V24" s="420">
        <f>U24</f>
        <v>1666.666667</v>
      </c>
      <c r="W24" s="421">
        <v>1666.6666666666667</v>
      </c>
      <c r="X24" s="422">
        <f>W24</f>
        <v>1666.666667</v>
      </c>
      <c r="Y24" s="423">
        <f t="shared" ref="Y24:Z24" si="48">O24+Q24+S24+U24+W24</f>
        <v>8333.333333</v>
      </c>
      <c r="Z24" s="411">
        <f t="shared" si="48"/>
        <v>8333.343333</v>
      </c>
      <c r="AA24" s="412">
        <f t="shared" si="49"/>
        <v>1.0000012</v>
      </c>
      <c r="AB24" s="424" t="str">
        <f>IFERROR(__xludf.DUMMYFUNCTION("IFERROR(SPARKLINE(AA24,{""charttype"",""bar"";""color1"",IF(AA24&gt;='Апрель'!green_percent,'Апрель'!green,IF(AA24&gt;='Апрель'!yellow_percent,'Апрель'!yellow,IF(AA24&gt;='Апрель'!orange_percent,'Апрель'!orange,'Апрель'!red)));""max"",1}))"),"")</f>
        <v/>
      </c>
      <c r="AC24" s="425">
        <v>1666.6666666666667</v>
      </c>
      <c r="AD24" s="425">
        <v>1666.6666666666667</v>
      </c>
      <c r="AE24" s="425">
        <v>1666.6666666666667</v>
      </c>
      <c r="AF24" s="426">
        <v>1666.6666666666667</v>
      </c>
      <c r="AG24" s="425">
        <v>1666.6666666666667</v>
      </c>
      <c r="AH24" s="426">
        <v>1666.6666666666667</v>
      </c>
      <c r="AI24" s="425">
        <v>1666.6666666666667</v>
      </c>
      <c r="AJ24" s="426">
        <v>1666.6666666666667</v>
      </c>
      <c r="AK24" s="425">
        <v>1666.6666666666667</v>
      </c>
      <c r="AL24" s="426">
        <v>1666.6666666666667</v>
      </c>
      <c r="AM24" s="425">
        <v>1666.6666666666667</v>
      </c>
      <c r="AN24" s="426">
        <v>1666.6666666666667</v>
      </c>
      <c r="AO24" s="425">
        <v>1666.6666666666667</v>
      </c>
      <c r="AP24" s="426">
        <v>1666.6666666666667</v>
      </c>
      <c r="AQ24" s="423">
        <f t="shared" ref="AQ24:AR24" si="50">AO24+AM24+AK24+AI24+AG24+AE24+AC24</f>
        <v>11666.66667</v>
      </c>
      <c r="AR24" s="423">
        <f t="shared" si="50"/>
        <v>11666.66667</v>
      </c>
      <c r="AS24" s="253">
        <f t="shared" si="51"/>
        <v>1</v>
      </c>
      <c r="AT24" s="427" t="str">
        <f>IFERROR(__xludf.DUMMYFUNCTION("IFERROR(SPARKLINE(AS24,{""charttype"",""bar"";""color1"",IF(AS24&gt;='Апрель'!green_percent,'Апрель'!green,IF(AS24&gt;='Апрель'!yellow_percent,'Апрель'!yellow,IF(AS24&gt;='Апрель'!orange_percent,'Апрель'!orange,'Апрель'!red)));""max"",1}))"),"")</f>
        <v/>
      </c>
      <c r="AU24" s="425">
        <v>1666.6666666666667</v>
      </c>
      <c r="AV24" s="425">
        <v>1666.6666666666667</v>
      </c>
      <c r="AW24" s="425">
        <v>1666.6666666666667</v>
      </c>
      <c r="AX24" s="425">
        <v>1666.6666666666667</v>
      </c>
      <c r="AY24" s="425">
        <v>1666.6666666666667</v>
      </c>
      <c r="AZ24" s="426">
        <v>1666.6666666666667</v>
      </c>
      <c r="BA24" s="425">
        <v>1666.6666666666667</v>
      </c>
      <c r="BB24" s="426">
        <v>1666.6666666666667</v>
      </c>
      <c r="BC24" s="425">
        <v>1666.6666666666667</v>
      </c>
      <c r="BD24" s="426">
        <v>1666.6666666666667</v>
      </c>
      <c r="BE24" s="425">
        <v>1666.6666666666667</v>
      </c>
      <c r="BF24" s="426">
        <v>1666.6666666666667</v>
      </c>
      <c r="BG24" s="425">
        <v>1666.6666666666667</v>
      </c>
      <c r="BH24" s="426">
        <v>1666.6666666666667</v>
      </c>
      <c r="BI24" s="423">
        <v>11666.666666666666</v>
      </c>
      <c r="BJ24" s="428">
        <f t="shared" si="52"/>
        <v>11666.66667</v>
      </c>
      <c r="BK24" s="429">
        <f t="shared" si="53"/>
        <v>1</v>
      </c>
      <c r="BL24" s="430" t="str">
        <f>IFERROR(__xludf.DUMMYFUNCTION("IFERROR(SPARKLINE(BK24,{""charttype"",""bar"";""color1"",IF(BK24&gt;='Апрель'!green_percent,'Апрель'!green,IF(BK24&gt;='Апрель'!yellow_percent,'Апрель'!yellow,IF(BK24&gt;='Апрель'!orange_percent,'Апрель'!orange,'Апрель'!red)));""max"",1}))"),"")</f>
        <v/>
      </c>
      <c r="BM24" s="425">
        <v>1666.6666666666667</v>
      </c>
      <c r="BN24" s="431">
        <v>1666.6666666666667</v>
      </c>
      <c r="BO24" s="425">
        <v>1666.6666666666667</v>
      </c>
      <c r="BP24" s="431">
        <v>1666.6666666666667</v>
      </c>
      <c r="BQ24" s="425">
        <v>1666.6666666666667</v>
      </c>
      <c r="BR24" s="431">
        <v>1666.6666666666667</v>
      </c>
      <c r="BS24" s="425">
        <v>1666.6666666666667</v>
      </c>
      <c r="BT24" s="431">
        <v>1666.6666666666667</v>
      </c>
      <c r="BU24" s="425">
        <v>1666.6666666666667</v>
      </c>
      <c r="BV24" s="431">
        <v>1666.6666666666667</v>
      </c>
      <c r="BW24" s="432">
        <v>1666.6666666666667</v>
      </c>
      <c r="BX24" s="431">
        <v>1666.6666666666667</v>
      </c>
      <c r="BY24" s="432">
        <v>1666.6666666666667</v>
      </c>
      <c r="BZ24" s="431">
        <v>1666.6666666666667</v>
      </c>
      <c r="CA24" s="423">
        <v>11666.666666666666</v>
      </c>
      <c r="CB24" s="428">
        <f t="shared" si="54"/>
        <v>11666.66667</v>
      </c>
      <c r="CC24" s="429">
        <f t="shared" si="55"/>
        <v>1</v>
      </c>
      <c r="CD24" s="430" t="str">
        <f>IFERROR(__xludf.DUMMYFUNCTION("IFERROR(SPARKLINE(CC24,{""charttype"",""bar"";""color1"",IF(CC24&gt;='Апрель'!green_percent,'Апрель'!green,IF(CC24&gt;='Апрель'!yellow_percent,'Апрель'!yellow,IF(CC24&gt;='Апрель'!orange_percent,'Апрель'!orange,'Апрель'!red)));""max"",1}))"),"")</f>
        <v/>
      </c>
      <c r="CE24" s="425">
        <v>1666.6666666666667</v>
      </c>
      <c r="CF24" s="433">
        <v>1666.6666666666667</v>
      </c>
      <c r="CG24" s="425">
        <v>1666.6666666666667</v>
      </c>
      <c r="CH24" s="433">
        <v>1666.6666666666667</v>
      </c>
      <c r="CI24" s="425">
        <v>1666.6666666666667</v>
      </c>
      <c r="CJ24" s="433">
        <v>1666.6666666666667</v>
      </c>
      <c r="CK24" s="425">
        <v>1666.6666666666667</v>
      </c>
      <c r="CL24" s="433">
        <v>1666.6666666666667</v>
      </c>
      <c r="CM24" s="434"/>
      <c r="CN24" s="435"/>
      <c r="CO24" s="434"/>
      <c r="CP24" s="435"/>
      <c r="CQ24" s="434"/>
      <c r="CR24" s="435"/>
      <c r="CS24" s="436">
        <f t="shared" ref="CS24:CS26" si="61">CE24+CG24+CI24+CK24</f>
        <v>6666.666667</v>
      </c>
      <c r="CT24" s="437">
        <f t="shared" si="56"/>
        <v>6666.666667</v>
      </c>
      <c r="CU24" s="207">
        <f t="shared" si="11"/>
        <v>1</v>
      </c>
      <c r="CV24" s="208" t="str">
        <f>IFERROR(__xludf.DUMMYFUNCTION("IFERROR(SPARKLINE(CU24,{""charttype"",""bar"";""color1"",IF(CU24&gt;='Апрель'!green_percent,'Апрель'!green,IF(CU24&gt;='Апрель'!yellow_percent,'Апрель'!yellow,IF(CU24&gt;='Апрель'!orange_percent,'Апрель'!orange,'Апрель'!red)));""max"",1}))"),"")</f>
        <v/>
      </c>
      <c r="CW24" s="399"/>
      <c r="CX24" s="438"/>
      <c r="CY24" s="439"/>
      <c r="CZ24" s="440"/>
      <c r="DA24" s="441"/>
      <c r="DB24" s="440"/>
      <c r="DC24" s="441"/>
      <c r="DD24" s="440"/>
      <c r="DE24" s="441"/>
      <c r="DF24" s="440"/>
      <c r="DG24" s="441"/>
      <c r="DH24" s="440"/>
      <c r="DI24" s="441"/>
      <c r="DJ24" s="440"/>
      <c r="DK24" s="442"/>
      <c r="DL24" s="443"/>
      <c r="DM24" s="444"/>
      <c r="DN24" s="445"/>
      <c r="DO24" s="446"/>
      <c r="DP24" s="447"/>
    </row>
    <row r="25">
      <c r="A25" s="215"/>
      <c r="B25" s="269" t="s">
        <v>32</v>
      </c>
      <c r="C25" s="217"/>
      <c r="D25" s="217"/>
      <c r="E25" s="218"/>
      <c r="F25" s="448">
        <v>5000.0</v>
      </c>
      <c r="G25" s="448">
        <f t="shared" si="57"/>
        <v>2973</v>
      </c>
      <c r="H25" s="220">
        <f t="shared" si="45"/>
        <v>0.5946</v>
      </c>
      <c r="I25" s="449" t="str">
        <f>IFERROR(__xludf.DUMMYFUNCTION("IFERROR(SPARKLINE(H25,{""charttype"",""bar"";""color1"",IF(H25&gt;='Апрель'!green_percent,'Апрель'!green,IF(H25&gt;='Апрель'!yellow_percent,'Апрель'!yellow,IF(H25&gt;='Апрель'!orange_percent,'Апрель'!orange,'Апрель'!red)));""max"",1}))"),"")</f>
        <v/>
      </c>
      <c r="J25" s="237"/>
      <c r="K25" s="450"/>
      <c r="L25" s="451"/>
      <c r="M25" s="452"/>
      <c r="N25" s="453"/>
      <c r="O25" s="452">
        <f t="shared" si="58"/>
        <v>166.6666667</v>
      </c>
      <c r="P25" s="451">
        <v>93.0</v>
      </c>
      <c r="Q25" s="452">
        <v>166.66666666666666</v>
      </c>
      <c r="R25" s="451">
        <v>77.0</v>
      </c>
      <c r="S25" s="452">
        <v>166.66666666666666</v>
      </c>
      <c r="T25" s="451">
        <v>82.0</v>
      </c>
      <c r="U25" s="452">
        <v>166.66666666666666</v>
      </c>
      <c r="V25" s="451">
        <v>61.0</v>
      </c>
      <c r="W25" s="454">
        <v>166.66666666666666</v>
      </c>
      <c r="X25" s="455">
        <v>38.0</v>
      </c>
      <c r="Y25" s="456">
        <f t="shared" ref="Y25:Z25" si="59">O25+Q25+S25+U25+W25</f>
        <v>833.3333333</v>
      </c>
      <c r="Z25" s="457">
        <f t="shared" si="59"/>
        <v>351</v>
      </c>
      <c r="AA25" s="220">
        <f t="shared" si="49"/>
        <v>0.4212</v>
      </c>
      <c r="AB25" s="458" t="str">
        <f>IFERROR(__xludf.DUMMYFUNCTION("IFERROR(SPARKLINE(AA25,{""charttype"",""bar"";""color1"",IF(AA25&gt;='Апрель'!green_percent,'Апрель'!green,IF(AA25&gt;='Апрель'!yellow_percent,'Апрель'!yellow,IF(AA25&gt;='Апрель'!orange_percent,'Апрель'!orange,'Апрель'!red)));""max"",1}))"),"")</f>
        <v/>
      </c>
      <c r="AC25" s="454">
        <v>166.66666666666666</v>
      </c>
      <c r="AD25" s="459">
        <v>108.0</v>
      </c>
      <c r="AE25" s="454">
        <v>166.66666666666666</v>
      </c>
      <c r="AF25" s="459">
        <v>130.0</v>
      </c>
      <c r="AG25" s="454">
        <v>166.66666666666666</v>
      </c>
      <c r="AH25" s="459">
        <v>215.0</v>
      </c>
      <c r="AI25" s="454">
        <v>166.66666666666666</v>
      </c>
      <c r="AJ25" s="459">
        <v>139.0</v>
      </c>
      <c r="AK25" s="454">
        <v>166.66666666666666</v>
      </c>
      <c r="AL25" s="459">
        <v>115.0</v>
      </c>
      <c r="AM25" s="454">
        <v>166.66666666666666</v>
      </c>
      <c r="AN25" s="459">
        <v>60.0</v>
      </c>
      <c r="AO25" s="454">
        <v>166.66666666666666</v>
      </c>
      <c r="AP25" s="459">
        <v>59.0</v>
      </c>
      <c r="AQ25" s="460">
        <f t="shared" ref="AQ25:AR25" si="60">AC25+AE25+AG25+AI25+AK25+AM25+AO25</f>
        <v>1166.666667</v>
      </c>
      <c r="AR25" s="461">
        <f t="shared" si="60"/>
        <v>826</v>
      </c>
      <c r="AS25" s="279">
        <f t="shared" si="51"/>
        <v>0.708</v>
      </c>
      <c r="AT25" s="462" t="str">
        <f>IFERROR(__xludf.DUMMYFUNCTION("IFERROR(SPARKLINE(AS25,{""charttype"",""bar"";""color1"",IF(AS25&gt;='Апрель'!green_percent,'Апрель'!green,IF(AS25&gt;='Апрель'!yellow_percent,'Апрель'!yellow,IF(AS25&gt;='Апрель'!orange_percent,'Апрель'!orange,'Апрель'!red)));""max"",1}))"),"")</f>
        <v/>
      </c>
      <c r="AU25" s="454">
        <v>166.66666666666666</v>
      </c>
      <c r="AV25" s="463">
        <v>118.0</v>
      </c>
      <c r="AW25" s="454">
        <v>166.66666666666666</v>
      </c>
      <c r="AX25" s="463">
        <v>163.0</v>
      </c>
      <c r="AY25" s="454">
        <v>166.66666666666666</v>
      </c>
      <c r="AZ25" s="463">
        <v>156.0</v>
      </c>
      <c r="BA25" s="454">
        <v>166.66666666666666</v>
      </c>
      <c r="BB25" s="463">
        <v>77.0</v>
      </c>
      <c r="BC25" s="454">
        <v>166.66666666666666</v>
      </c>
      <c r="BD25" s="463">
        <v>82.0</v>
      </c>
      <c r="BE25" s="454">
        <v>166.66666666666666</v>
      </c>
      <c r="BF25" s="463">
        <v>47.0</v>
      </c>
      <c r="BG25" s="454">
        <v>166.66666666666666</v>
      </c>
      <c r="BH25" s="463">
        <v>39.0</v>
      </c>
      <c r="BI25" s="460">
        <v>1166.6666666666665</v>
      </c>
      <c r="BJ25" s="464">
        <f t="shared" si="52"/>
        <v>682</v>
      </c>
      <c r="BK25" s="376">
        <f t="shared" si="53"/>
        <v>0.5845714286</v>
      </c>
      <c r="BL25" s="377" t="str">
        <f>IFERROR(__xludf.DUMMYFUNCTION("IFERROR(SPARKLINE(BK25,{""charttype"",""bar"";""color1"",IF(BK25&gt;='Апрель'!green_percent,'Апрель'!green,IF(BK25&gt;='Апрель'!yellow_percent,'Апрель'!yellow,IF(BK25&gt;='Апрель'!orange_percent,'Апрель'!orange,'Апрель'!red)));""max"",1}))"),"")</f>
        <v/>
      </c>
      <c r="BM25" s="454">
        <v>166.66666666666666</v>
      </c>
      <c r="BN25" s="465">
        <v>80.0</v>
      </c>
      <c r="BO25" s="454">
        <v>166.66666666666666</v>
      </c>
      <c r="BP25" s="465">
        <v>175.0</v>
      </c>
      <c r="BQ25" s="454">
        <v>166.66666666666666</v>
      </c>
      <c r="BR25" s="465">
        <v>95.0</v>
      </c>
      <c r="BS25" s="454">
        <v>166.66666666666666</v>
      </c>
      <c r="BT25" s="465">
        <v>145.0</v>
      </c>
      <c r="BU25" s="454">
        <v>166.66666666666666</v>
      </c>
      <c r="BV25" s="465">
        <v>93.0</v>
      </c>
      <c r="BW25" s="454">
        <v>166.66666666666666</v>
      </c>
      <c r="BX25" s="465">
        <v>50.0</v>
      </c>
      <c r="BY25" s="454">
        <v>166.66666666666666</v>
      </c>
      <c r="BZ25" s="465">
        <v>89.0</v>
      </c>
      <c r="CA25" s="460">
        <v>1166.6666666666665</v>
      </c>
      <c r="CB25" s="464">
        <f t="shared" si="54"/>
        <v>727</v>
      </c>
      <c r="CC25" s="376">
        <f t="shared" si="55"/>
        <v>0.6231428571</v>
      </c>
      <c r="CD25" s="377" t="str">
        <f>IFERROR(__xludf.DUMMYFUNCTION("IFERROR(SPARKLINE(CC25,{""charttype"",""bar"";""color1"",IF(CC25&gt;='Апрель'!green_percent,'Апрель'!green,IF(CC25&gt;='Апрель'!yellow_percent,'Апрель'!yellow,IF(CC25&gt;='Апрель'!orange_percent,'Апрель'!orange,'Апрель'!red)));""max"",1}))"),"")</f>
        <v/>
      </c>
      <c r="CE25" s="454">
        <v>166.66666666666666</v>
      </c>
      <c r="CF25" s="466">
        <v>118.0</v>
      </c>
      <c r="CG25" s="454">
        <v>166.66666666666666</v>
      </c>
      <c r="CH25" s="466">
        <v>87.0</v>
      </c>
      <c r="CI25" s="454">
        <v>166.66666666666666</v>
      </c>
      <c r="CJ25" s="466">
        <v>92.0</v>
      </c>
      <c r="CK25" s="454">
        <v>166.66666666666666</v>
      </c>
      <c r="CL25" s="466">
        <v>90.0</v>
      </c>
      <c r="CM25" s="467"/>
      <c r="CN25" s="449"/>
      <c r="CO25" s="467"/>
      <c r="CP25" s="449"/>
      <c r="CQ25" s="467"/>
      <c r="CR25" s="449"/>
      <c r="CS25" s="335">
        <f t="shared" si="61"/>
        <v>666.6666667</v>
      </c>
      <c r="CT25" s="468">
        <f t="shared" si="56"/>
        <v>387</v>
      </c>
      <c r="CU25" s="469">
        <f t="shared" si="11"/>
        <v>0.5805</v>
      </c>
      <c r="CV25" s="470" t="str">
        <f>IFERROR(__xludf.DUMMYFUNCTION("IFERROR(SPARKLINE(CU25,{""charttype"",""bar"";""color1"",IF(CU25&gt;='Апрель'!green_percent,'Апрель'!green,IF(CU25&gt;='Апрель'!yellow_percent,'Апрель'!yellow,IF(CU25&gt;='Апрель'!orange_percent,'Апрель'!orange,'Апрель'!red)));""max"",1}))"),"")</f>
        <v/>
      </c>
      <c r="CW25" s="471"/>
      <c r="CX25" s="472"/>
      <c r="CY25" s="473"/>
      <c r="CZ25" s="474"/>
      <c r="DA25" s="475"/>
      <c r="DB25" s="474"/>
      <c r="DC25" s="475"/>
      <c r="DD25" s="474"/>
      <c r="DE25" s="475"/>
      <c r="DF25" s="474"/>
      <c r="DG25" s="475"/>
      <c r="DH25" s="474"/>
      <c r="DI25" s="475"/>
      <c r="DJ25" s="474"/>
      <c r="DK25" s="476">
        <f t="shared" ref="DK25:DL25" si="62">CW25+CY25+DA25+DC25+DE25+DG25+DI25</f>
        <v>0</v>
      </c>
      <c r="DL25" s="477">
        <f t="shared" si="62"/>
        <v>0</v>
      </c>
      <c r="DM25" s="478" t="str">
        <f t="shared" ref="DM25:DM26" si="66">IFERROR(DL25/DK25,"")</f>
        <v/>
      </c>
      <c r="DN25" s="479" t="str">
        <f>IFERROR(__xludf.DUMMYFUNCTION("IFERROR(SPARKLINE(DM25,{""charttype"",""bar"";""color1"",IF(DM25&gt;='Апрель'!green_percent,'Апрель'!green,IF(DM25&gt;='Апрель'!yellow_percent,'Апрель'!yellow,IF(DM25&gt;='Апрель'!orange_percent,'Апрель'!orange,'Апрель'!red)));""max"",1}))"),"")</f>
        <v/>
      </c>
      <c r="DO25" s="480"/>
      <c r="DP25" s="481"/>
    </row>
    <row r="26">
      <c r="A26" s="240"/>
      <c r="B26" s="410" t="s">
        <v>33</v>
      </c>
      <c r="C26" s="242"/>
      <c r="D26" s="242"/>
      <c r="E26" s="243"/>
      <c r="F26" s="244">
        <v>45.0</v>
      </c>
      <c r="G26" s="244">
        <f t="shared" si="57"/>
        <v>44</v>
      </c>
      <c r="H26" s="412">
        <f t="shared" si="45"/>
        <v>0.9777777778</v>
      </c>
      <c r="I26" s="413" t="str">
        <f>IFERROR(__xludf.DUMMYFUNCTION("IFERROR(SPARKLINE(H26,{""charttype"",""bar"";""color1"",IF(H26&gt;='Апрель'!green_percent,'Апрель'!green,IF(H26&gt;='Апрель'!yellow_percent,'Апрель'!yellow,IF(H26&gt;='Апрель'!orange_percent,'Апрель'!orange,'Апрель'!red)));""max"",1}))"),"")</f>
        <v/>
      </c>
      <c r="J26" s="414"/>
      <c r="K26" s="482"/>
      <c r="L26" s="416"/>
      <c r="M26" s="483"/>
      <c r="N26" s="418"/>
      <c r="O26" s="483">
        <f t="shared" si="58"/>
        <v>1.5</v>
      </c>
      <c r="P26" s="416">
        <v>2.0</v>
      </c>
      <c r="Q26" s="483">
        <v>1.5</v>
      </c>
      <c r="R26" s="416">
        <v>1.0</v>
      </c>
      <c r="S26" s="484">
        <v>1.5</v>
      </c>
      <c r="T26" s="416">
        <v>1.0</v>
      </c>
      <c r="U26" s="484">
        <v>1.5</v>
      </c>
      <c r="V26" s="416">
        <v>0.0</v>
      </c>
      <c r="W26" s="485">
        <v>1.5</v>
      </c>
      <c r="X26" s="418">
        <v>0.0</v>
      </c>
      <c r="Y26" s="255">
        <f t="shared" ref="Y26:Z26" si="63">O26+Q26+S26+U26+W26</f>
        <v>7.5</v>
      </c>
      <c r="Z26" s="486">
        <f t="shared" si="63"/>
        <v>4</v>
      </c>
      <c r="AA26" s="412">
        <f t="shared" si="49"/>
        <v>0.5333333333</v>
      </c>
      <c r="AB26" s="424" t="str">
        <f>IFERROR(__xludf.DUMMYFUNCTION("IFERROR(SPARKLINE(AA26,{""charttype"",""bar"";""color1"",IF(AA26&gt;='Апрель'!green_percent,'Апрель'!green,IF(AA26&gt;='Апрель'!yellow_percent,'Апрель'!yellow,IF(AA26&gt;='Апрель'!orange_percent,'Апрель'!orange,'Апрель'!red)));""max"",1}))"),"")</f>
        <v/>
      </c>
      <c r="AC26" s="483">
        <v>1.5</v>
      </c>
      <c r="AD26" s="416">
        <v>2.0</v>
      </c>
      <c r="AE26" s="483">
        <v>1.5</v>
      </c>
      <c r="AF26" s="416">
        <v>1.0</v>
      </c>
      <c r="AG26" s="483">
        <v>1.5</v>
      </c>
      <c r="AH26" s="416">
        <v>0.0</v>
      </c>
      <c r="AI26" s="483">
        <v>1.5</v>
      </c>
      <c r="AJ26" s="416">
        <v>3.0</v>
      </c>
      <c r="AK26" s="483">
        <v>1.5</v>
      </c>
      <c r="AL26" s="416">
        <v>2.0</v>
      </c>
      <c r="AM26" s="483">
        <v>1.5</v>
      </c>
      <c r="AN26" s="416">
        <v>0.0</v>
      </c>
      <c r="AO26" s="483">
        <v>1.5</v>
      </c>
      <c r="AP26" s="416">
        <v>0.0</v>
      </c>
      <c r="AQ26" s="255">
        <f t="shared" ref="AQ26:AR26" si="64">AC26+AE26+AG26+AI26+AK26+AM26+AO26</f>
        <v>10.5</v>
      </c>
      <c r="AR26" s="486">
        <f t="shared" si="64"/>
        <v>8</v>
      </c>
      <c r="AS26" s="253">
        <f t="shared" si="51"/>
        <v>0.7619047619</v>
      </c>
      <c r="AT26" s="427" t="str">
        <f>IFERROR(__xludf.DUMMYFUNCTION("IFERROR(SPARKLINE(AS26,{""charttype"",""bar"";""color1"",IF(AS26&gt;='Апрель'!green_percent,'Апрель'!green,IF(AS26&gt;='Апрель'!yellow_percent,'Апрель'!yellow,IF(AS26&gt;='Апрель'!orange_percent,'Апрель'!orange,'Апрель'!red)));""max"",1}))"),"")</f>
        <v/>
      </c>
      <c r="AU26" s="483">
        <v>1.5</v>
      </c>
      <c r="AV26" s="416">
        <v>1.0</v>
      </c>
      <c r="AW26" s="483">
        <v>1.5</v>
      </c>
      <c r="AX26" s="416">
        <v>2.0</v>
      </c>
      <c r="AY26" s="483">
        <v>1.5</v>
      </c>
      <c r="AZ26" s="416">
        <v>3.0</v>
      </c>
      <c r="BA26" s="483">
        <v>1.5</v>
      </c>
      <c r="BB26" s="416">
        <v>0.0</v>
      </c>
      <c r="BC26" s="483">
        <v>1.5</v>
      </c>
      <c r="BD26" s="416">
        <v>2.0</v>
      </c>
      <c r="BE26" s="483">
        <v>1.5</v>
      </c>
      <c r="BF26" s="416">
        <v>0.0</v>
      </c>
      <c r="BG26" s="483">
        <v>1.5</v>
      </c>
      <c r="BH26" s="416">
        <v>1.0</v>
      </c>
      <c r="BI26" s="255">
        <v>10.5</v>
      </c>
      <c r="BJ26" s="486">
        <f t="shared" si="52"/>
        <v>9</v>
      </c>
      <c r="BK26" s="429">
        <f t="shared" si="53"/>
        <v>0.8571428571</v>
      </c>
      <c r="BL26" s="430" t="str">
        <f>IFERROR(__xludf.DUMMYFUNCTION("IFERROR(SPARKLINE(BK26,{""charttype"",""bar"";""color1"",IF(BK26&gt;='Апрель'!green_percent,'Апрель'!green,IF(BK26&gt;='Апрель'!yellow_percent,'Апрель'!yellow,IF(BK26&gt;='Апрель'!orange_percent,'Апрель'!orange,'Апрель'!red)));""max"",1}))"),"")</f>
        <v/>
      </c>
      <c r="BM26" s="483">
        <v>1.5</v>
      </c>
      <c r="BN26" s="487">
        <v>8.0</v>
      </c>
      <c r="BO26" s="483">
        <v>1.5</v>
      </c>
      <c r="BP26" s="487">
        <v>3.0</v>
      </c>
      <c r="BQ26" s="483">
        <v>1.5</v>
      </c>
      <c r="BR26" s="487">
        <v>0.0</v>
      </c>
      <c r="BS26" s="483">
        <v>1.5</v>
      </c>
      <c r="BT26" s="487">
        <v>4.0</v>
      </c>
      <c r="BU26" s="483">
        <v>1.5</v>
      </c>
      <c r="BV26" s="487">
        <v>4.0</v>
      </c>
      <c r="BW26" s="483">
        <v>1.5</v>
      </c>
      <c r="BX26" s="487">
        <v>0.0</v>
      </c>
      <c r="BY26" s="483">
        <v>1.5</v>
      </c>
      <c r="BZ26" s="487">
        <v>0.0</v>
      </c>
      <c r="CA26" s="255">
        <v>10.5</v>
      </c>
      <c r="CB26" s="486">
        <f t="shared" si="54"/>
        <v>19</v>
      </c>
      <c r="CC26" s="429">
        <f t="shared" si="55"/>
        <v>1.80952381</v>
      </c>
      <c r="CD26" s="430" t="str">
        <f>IFERROR(__xludf.DUMMYFUNCTION("IFERROR(SPARKLINE(CC26,{""charttype"",""bar"";""color1"",IF(CC26&gt;='Апрель'!green_percent,'Апрель'!green,IF(CC26&gt;='Апрель'!yellow_percent,'Апрель'!yellow,IF(CC26&gt;='Апрель'!orange_percent,'Апрель'!orange,'Апрель'!red)));""max"",1}))"),"")</f>
        <v/>
      </c>
      <c r="CE26" s="483">
        <v>1.5</v>
      </c>
      <c r="CF26" s="435">
        <v>2.0</v>
      </c>
      <c r="CG26" s="483">
        <v>1.5</v>
      </c>
      <c r="CH26" s="435">
        <v>0.0</v>
      </c>
      <c r="CI26" s="483">
        <v>1.5</v>
      </c>
      <c r="CJ26" s="435">
        <v>2.0</v>
      </c>
      <c r="CK26" s="483">
        <v>1.5</v>
      </c>
      <c r="CL26" s="435">
        <v>0.0</v>
      </c>
      <c r="CM26" s="488"/>
      <c r="CN26" s="435"/>
      <c r="CO26" s="488"/>
      <c r="CP26" s="435"/>
      <c r="CQ26" s="488"/>
      <c r="CR26" s="435"/>
      <c r="CS26" s="257">
        <f t="shared" si="61"/>
        <v>6</v>
      </c>
      <c r="CT26" s="486">
        <f>CF26+CH26+CJ26+CL26</f>
        <v>4</v>
      </c>
      <c r="CU26" s="207">
        <f t="shared" si="11"/>
        <v>0.6666666667</v>
      </c>
      <c r="CV26" s="208" t="str">
        <f>IFERROR(__xludf.DUMMYFUNCTION("IFERROR(SPARKLINE(CU26,{""charttype"",""bar"";""color1"",IF(CU26&gt;='Апрель'!green_percent,'Апрель'!green,IF(CU26&gt;='Апрель'!yellow_percent,'Апрель'!yellow,IF(CU26&gt;='Апрель'!orange_percent,'Апрель'!orange,'Апрель'!red)));""max"",1}))"),"")</f>
        <v/>
      </c>
      <c r="CW26" s="489"/>
      <c r="CX26" s="438"/>
      <c r="CY26" s="490"/>
      <c r="CZ26" s="440"/>
      <c r="DA26" s="441"/>
      <c r="DB26" s="440"/>
      <c r="DC26" s="441"/>
      <c r="DD26" s="440"/>
      <c r="DE26" s="441"/>
      <c r="DF26" s="440"/>
      <c r="DG26" s="441"/>
      <c r="DH26" s="440"/>
      <c r="DI26" s="441"/>
      <c r="DJ26" s="440"/>
      <c r="DK26" s="491">
        <f t="shared" ref="DK26:DL26" si="65">CW26+CY26+DA26+DC26+DE26+DG26+DI26</f>
        <v>0</v>
      </c>
      <c r="DL26" s="492">
        <f t="shared" si="65"/>
        <v>0</v>
      </c>
      <c r="DM26" s="493" t="str">
        <f t="shared" si="66"/>
        <v/>
      </c>
      <c r="DN26" s="494" t="str">
        <f>IFERROR(__xludf.DUMMYFUNCTION("IFERROR(SPARKLINE(DM26,{""charttype"",""bar"";""color1"",IF(DM26&gt;='Апрель'!green_percent,'Апрель'!green,IF(DM26&gt;='Апрель'!yellow_percent,'Апрель'!yellow,IF(DM26&gt;='Апрель'!orange_percent,'Апрель'!orange,'Апрель'!red)));""max"",1}))"),"")</f>
        <v/>
      </c>
      <c r="DO26" s="446"/>
      <c r="DP26" s="447"/>
    </row>
    <row r="27">
      <c r="A27" s="215"/>
      <c r="B27" s="269" t="s">
        <v>22</v>
      </c>
      <c r="C27" s="217"/>
      <c r="D27" s="217"/>
      <c r="E27" s="218"/>
      <c r="F27" s="495">
        <f t="shared" ref="F27:G27" si="67">F24/F26</f>
        <v>1111.111111</v>
      </c>
      <c r="G27" s="495">
        <f t="shared" si="67"/>
        <v>1136.363864</v>
      </c>
      <c r="H27" s="220">
        <f t="shared" si="45"/>
        <v>1.022727477</v>
      </c>
      <c r="I27" s="449" t="str">
        <f>IFERROR(__xludf.DUMMYFUNCTION("IFERROR(SPARKLINE(H27,{""charttype"",""bar"";""color1"",IF(H27&gt;='Апрель'!green_percent,'Апрель'!green,IF(H27&gt;='Апрель'!yellow_percent,'Апрель'!yellow,IF(H27&gt;='Апрель'!orange_percent,'Апрель'!orange,'Апрель'!red)));""max"",1}))"),"")</f>
        <v/>
      </c>
      <c r="J27" s="237"/>
      <c r="K27" s="482"/>
      <c r="L27" s="496"/>
      <c r="M27" s="483"/>
      <c r="N27" s="418"/>
      <c r="O27" s="497">
        <f>F27</f>
        <v>1111.111111</v>
      </c>
      <c r="P27" s="426">
        <f>P24/P26</f>
        <v>833.335</v>
      </c>
      <c r="Q27" s="497">
        <f>F27</f>
        <v>1111.111111</v>
      </c>
      <c r="R27" s="420">
        <f>R24/R26</f>
        <v>1666.67</v>
      </c>
      <c r="S27" s="419">
        <f>F27</f>
        <v>1111.111111</v>
      </c>
      <c r="T27" s="420">
        <f>T24/T26</f>
        <v>1666.67</v>
      </c>
      <c r="U27" s="419">
        <f>F27</f>
        <v>1111.111111</v>
      </c>
      <c r="V27" s="420"/>
      <c r="W27" s="421">
        <f>F27</f>
        <v>1111.111111</v>
      </c>
      <c r="X27" s="498"/>
      <c r="Y27" s="277">
        <f>F27</f>
        <v>1111.111111</v>
      </c>
      <c r="Z27" s="499">
        <f>Z24/Z26</f>
        <v>2083.335833</v>
      </c>
      <c r="AA27" s="220">
        <f t="shared" si="49"/>
        <v>1.87500225</v>
      </c>
      <c r="AB27" s="500" t="str">
        <f>IFERROR(__xludf.DUMMYFUNCTION("IFERROR(SPARKLINE(AA27,{""charttype"",""bar"";""color1"",IF(AA27&gt;='Апрель'!green_percent,'Апрель'!green,IF(AA27&gt;='Апрель'!yellow_percent,'Апрель'!yellow,IF(AA27&gt;='Апрель'!orange_percent,'Апрель'!orange,'Апрель'!red)));""max"",1}))"),"")</f>
        <v/>
      </c>
      <c r="AC27" s="419">
        <v>1111.111111111111</v>
      </c>
      <c r="AD27" s="426">
        <f>AD24/AD26</f>
        <v>833.3333333</v>
      </c>
      <c r="AE27" s="419">
        <v>1111.111111111111</v>
      </c>
      <c r="AF27" s="426">
        <f>AF24/AF26</f>
        <v>1666.666667</v>
      </c>
      <c r="AG27" s="419">
        <v>1111.111111111111</v>
      </c>
      <c r="AH27" s="426"/>
      <c r="AI27" s="419">
        <v>1111.111111111111</v>
      </c>
      <c r="AJ27" s="426">
        <f>AJ24/AJ26</f>
        <v>555.5555556</v>
      </c>
      <c r="AK27" s="419">
        <v>1111.111111111111</v>
      </c>
      <c r="AL27" s="426">
        <f>AL24/AL26</f>
        <v>833.3333333</v>
      </c>
      <c r="AM27" s="419">
        <v>1111.111111111111</v>
      </c>
      <c r="AN27" s="426"/>
      <c r="AO27" s="419">
        <v>1111.111111111111</v>
      </c>
      <c r="AP27" s="426"/>
      <c r="AQ27" s="277">
        <f t="shared" ref="AQ27:AR27" si="68">AQ24/AQ26</f>
        <v>1111.111111</v>
      </c>
      <c r="AR27" s="499">
        <f t="shared" si="68"/>
        <v>1458.333333</v>
      </c>
      <c r="AS27" s="279">
        <f t="shared" si="51"/>
        <v>1.3125</v>
      </c>
      <c r="AT27" s="501" t="str">
        <f>IFERROR(__xludf.DUMMYFUNCTION("IFERROR(SPARKLINE(AS27,{""charttype"",""bar"";""color1"",IF(AS27&gt;='Апрель'!green_percent,'Апрель'!green,IF(AS27&gt;='Апрель'!yellow_percent,'Апрель'!yellow,IF(AS27&gt;='Апрель'!orange_percent,'Апрель'!orange,'Апрель'!red)));""max"",1}))"),"")</f>
        <v/>
      </c>
      <c r="AU27" s="419">
        <v>1111.111111111111</v>
      </c>
      <c r="AV27" s="420">
        <f>AV24/AV26</f>
        <v>1666.666667</v>
      </c>
      <c r="AW27" s="419">
        <v>1111.111111111111</v>
      </c>
      <c r="AX27" s="420">
        <f>AX24/AX26</f>
        <v>833.3333333</v>
      </c>
      <c r="AY27" s="419">
        <v>1111.111111111111</v>
      </c>
      <c r="AZ27" s="420">
        <f>AZ24/AZ26</f>
        <v>555.5555556</v>
      </c>
      <c r="BA27" s="419">
        <v>1111.111111111111</v>
      </c>
      <c r="BB27" s="420"/>
      <c r="BC27" s="419">
        <v>1111.111111111111</v>
      </c>
      <c r="BD27" s="420">
        <f>BD24/BD26</f>
        <v>833.3333333</v>
      </c>
      <c r="BE27" s="419">
        <v>1111.111111111111</v>
      </c>
      <c r="BF27" s="420"/>
      <c r="BG27" s="419">
        <v>1111.111111111111</v>
      </c>
      <c r="BH27" s="420">
        <f>BH24/BH26</f>
        <v>1666.666667</v>
      </c>
      <c r="BI27" s="277">
        <v>1111.111111111111</v>
      </c>
      <c r="BJ27" s="499">
        <f>BJ24/BJ26</f>
        <v>1296.296296</v>
      </c>
      <c r="BK27" s="376">
        <f t="shared" si="53"/>
        <v>1.166666667</v>
      </c>
      <c r="BL27" s="502" t="str">
        <f>IFERROR(__xludf.DUMMYFUNCTION("IFERROR(SPARKLINE(BK27,{""charttype"",""bar"";""color1"",IF(BK27&gt;='Апрель'!green_percent,'Апрель'!green,IF(BK27&gt;='Апрель'!yellow_percent,'Апрель'!yellow,IF(BK27&gt;='Апрель'!orange_percent,'Апрель'!orange,'Апрель'!red)));""max"",1}))"),"")</f>
        <v/>
      </c>
      <c r="BM27" s="419">
        <v>1111.111111111111</v>
      </c>
      <c r="BN27" s="503">
        <f>BN24/BN26</f>
        <v>208.3333333</v>
      </c>
      <c r="BO27" s="419">
        <v>1111.111111111111</v>
      </c>
      <c r="BP27" s="503">
        <f>BP24/BP26</f>
        <v>555.5555556</v>
      </c>
      <c r="BQ27" s="419">
        <v>1111.111111111111</v>
      </c>
      <c r="BR27" s="503"/>
      <c r="BS27" s="419">
        <v>1111.111111111111</v>
      </c>
      <c r="BT27" s="503">
        <f>BT24/BT26</f>
        <v>416.6666667</v>
      </c>
      <c r="BU27" s="419">
        <v>1111.111111111111</v>
      </c>
      <c r="BV27" s="503">
        <f>BV24/BV26</f>
        <v>416.6666667</v>
      </c>
      <c r="BW27" s="419">
        <v>1111.111111111111</v>
      </c>
      <c r="BX27" s="503"/>
      <c r="BY27" s="419">
        <v>1111.111111111111</v>
      </c>
      <c r="BZ27" s="503"/>
      <c r="CA27" s="277">
        <v>1111.111111111111</v>
      </c>
      <c r="CB27" s="499">
        <f>CB24/CB26</f>
        <v>614.0350877</v>
      </c>
      <c r="CC27" s="376">
        <f t="shared" si="55"/>
        <v>0.5526315789</v>
      </c>
      <c r="CD27" s="377" t="str">
        <f>IFERROR(__xludf.DUMMYFUNCTION("IFERROR(SPARKLINE(CC27,{""charttype"",""bar"";""color1"",IF(CC27&gt;='Апрель'!green_percent,'Апрель'!green,IF(CC27&gt;='Апрель'!yellow_percent,'Апрель'!yellow,IF(CC27&gt;='Апрель'!orange_percent,'Апрель'!orange,'Апрель'!red)));""max"",1}))"),"")</f>
        <v/>
      </c>
      <c r="CE27" s="419">
        <v>1111.111111111111</v>
      </c>
      <c r="CF27" s="504">
        <f>CF24/CF26</f>
        <v>833.3333333</v>
      </c>
      <c r="CG27" s="419">
        <v>1111.111111111111</v>
      </c>
      <c r="CH27" s="505"/>
      <c r="CI27" s="419">
        <v>1111.111111111111</v>
      </c>
      <c r="CJ27" s="504">
        <f>CJ24/CJ26</f>
        <v>833.3333333</v>
      </c>
      <c r="CK27" s="419">
        <v>1111.111111111111</v>
      </c>
      <c r="CL27" s="505"/>
      <c r="CM27" s="488"/>
      <c r="CN27" s="505"/>
      <c r="CO27" s="488"/>
      <c r="CP27" s="505"/>
      <c r="CQ27" s="488"/>
      <c r="CR27" s="505"/>
      <c r="CS27" s="277">
        <f t="shared" ref="CS27:CT27" si="69">CS24/CS26</f>
        <v>1111.111111</v>
      </c>
      <c r="CT27" s="277">
        <f t="shared" si="69"/>
        <v>1666.666667</v>
      </c>
      <c r="CU27" s="469">
        <f t="shared" si="11"/>
        <v>1.5</v>
      </c>
      <c r="CV27" s="470" t="str">
        <f>IFERROR(__xludf.DUMMYFUNCTION("IFERROR(SPARKLINE(CU27,{""charttype"",""bar"";""color1"",IF(CU27&gt;='Апрель'!green_percent,'Апрель'!green,IF(CU27&gt;='Апрель'!yellow_percent,'Апрель'!yellow,IF(CU27&gt;='Апрель'!orange_percent,'Апрель'!orange,'Апрель'!red)));""max"",1}))"),"")</f>
        <v/>
      </c>
      <c r="CW27" s="489"/>
      <c r="CX27" s="400"/>
      <c r="CY27" s="490"/>
      <c r="CZ27" s="506"/>
      <c r="DA27" s="506"/>
      <c r="DB27" s="506"/>
      <c r="DC27" s="506"/>
      <c r="DD27" s="506"/>
      <c r="DE27" s="506"/>
      <c r="DF27" s="506"/>
      <c r="DG27" s="506"/>
      <c r="DH27" s="506"/>
      <c r="DI27" s="506"/>
      <c r="DJ27" s="506"/>
      <c r="DK27" s="507"/>
      <c r="DL27" s="508"/>
      <c r="DM27" s="509"/>
      <c r="DN27" s="510"/>
      <c r="DO27" s="511"/>
      <c r="DP27" s="512"/>
    </row>
    <row r="28">
      <c r="A28" s="240"/>
      <c r="B28" s="410" t="s">
        <v>34</v>
      </c>
      <c r="C28" s="242"/>
      <c r="D28" s="242"/>
      <c r="E28" s="243"/>
      <c r="F28" s="245">
        <f t="shared" ref="F28:G28" si="70">F26/F25</f>
        <v>0.009</v>
      </c>
      <c r="G28" s="245">
        <f t="shared" si="70"/>
        <v>0.01479986546</v>
      </c>
      <c r="H28" s="412">
        <f t="shared" si="45"/>
        <v>1.644429495</v>
      </c>
      <c r="I28" s="413" t="str">
        <f>IFERROR(__xludf.DUMMYFUNCTION("IFERROR(SPARKLINE(H28,{""charttype"",""bar"";""color1"",IF(H28&gt;='Апрель'!green_percent,'Апрель'!green,IF(H28&gt;='Апрель'!yellow_percent,'Апрель'!yellow,IF(H28&gt;='Апрель'!orange_percent,'Апрель'!orange,'Апрель'!red)));""max"",1}))"),"")</f>
        <v/>
      </c>
      <c r="J28" s="414"/>
      <c r="K28" s="513"/>
      <c r="L28" s="514"/>
      <c r="M28" s="515"/>
      <c r="N28" s="516"/>
      <c r="O28" s="515">
        <f t="shared" ref="O28:P28" si="71">O26/O25</f>
        <v>0.009</v>
      </c>
      <c r="P28" s="514">
        <f t="shared" si="71"/>
        <v>0.02150537634</v>
      </c>
      <c r="Q28" s="515">
        <v>0.009000000000000001</v>
      </c>
      <c r="R28" s="517">
        <f>R26/R25</f>
        <v>0.01298701299</v>
      </c>
      <c r="S28" s="518">
        <v>0.009000000000000001</v>
      </c>
      <c r="T28" s="517">
        <f>T26/T25</f>
        <v>0.01219512195</v>
      </c>
      <c r="U28" s="518">
        <v>0.009000000000000001</v>
      </c>
      <c r="V28" s="416">
        <v>0.0</v>
      </c>
      <c r="W28" s="519">
        <v>0.009000000000000001</v>
      </c>
      <c r="X28" s="520"/>
      <c r="Y28" s="316">
        <f t="shared" ref="Y28:Z28" si="72">Y26/Y25</f>
        <v>0.009</v>
      </c>
      <c r="Z28" s="253">
        <f t="shared" si="72"/>
        <v>0.0113960114</v>
      </c>
      <c r="AA28" s="412">
        <f t="shared" si="49"/>
        <v>1.266223488</v>
      </c>
      <c r="AB28" s="424" t="str">
        <f>IFERROR(__xludf.DUMMYFUNCTION("IFERROR(SPARKLINE(AA28,{""charttype"",""bar"";""color1"",IF(AA28&gt;='Апрель'!green_percent,'Апрель'!green,IF(AA28&gt;='Апрель'!yellow_percent,'Апрель'!yellow,IF(AA28&gt;='Апрель'!orange_percent,'Апрель'!orange,'Апрель'!red)));""max"",1}))"),"")</f>
        <v/>
      </c>
      <c r="AC28" s="515">
        <v>0.009000000000000001</v>
      </c>
      <c r="AD28" s="514">
        <f>AD26/AD25</f>
        <v>0.01851851852</v>
      </c>
      <c r="AE28" s="515">
        <v>0.009000000000000001</v>
      </c>
      <c r="AF28" s="514">
        <f>AF26/AF25</f>
        <v>0.007692307692</v>
      </c>
      <c r="AG28" s="515">
        <v>0.009000000000000001</v>
      </c>
      <c r="AH28" s="496"/>
      <c r="AI28" s="515">
        <v>0.009000000000000001</v>
      </c>
      <c r="AJ28" s="514">
        <f>AJ26/AJ25</f>
        <v>0.02158273381</v>
      </c>
      <c r="AK28" s="515">
        <v>0.009000000000000001</v>
      </c>
      <c r="AL28" s="514">
        <f>AL26/AL25</f>
        <v>0.01739130435</v>
      </c>
      <c r="AM28" s="515">
        <v>0.009000000000000001</v>
      </c>
      <c r="AN28" s="496"/>
      <c r="AO28" s="515">
        <v>0.009000000000000001</v>
      </c>
      <c r="AP28" s="496"/>
      <c r="AQ28" s="316">
        <f t="shared" ref="AQ28:AR28" si="73">AQ26/AQ25</f>
        <v>0.009</v>
      </c>
      <c r="AR28" s="253">
        <f t="shared" si="73"/>
        <v>0.009685230024</v>
      </c>
      <c r="AS28" s="253">
        <f t="shared" si="51"/>
        <v>1.076136669</v>
      </c>
      <c r="AT28" s="427" t="str">
        <f>IFERROR(__xludf.DUMMYFUNCTION("IFERROR(SPARKLINE(AS28,{""charttype"",""bar"";""color1"",IF(AS28&gt;='Апрель'!green_percent,'Апрель'!green,IF(AS28&gt;='Апрель'!yellow_percent,'Апрель'!yellow,IF(AS28&gt;='Апрель'!orange_percent,'Апрель'!orange,'Апрель'!red)));""max"",1}))"),"")</f>
        <v/>
      </c>
      <c r="AU28" s="515">
        <v>0.009000000000000001</v>
      </c>
      <c r="AV28" s="517">
        <f>AV26/AV25</f>
        <v>0.008474576271</v>
      </c>
      <c r="AW28" s="515">
        <v>0.009000000000000001</v>
      </c>
      <c r="AX28" s="517">
        <f>AX26/AX25</f>
        <v>0.01226993865</v>
      </c>
      <c r="AY28" s="515">
        <v>0.009000000000000001</v>
      </c>
      <c r="AZ28" s="517">
        <f>AZ26/AZ25</f>
        <v>0.01923076923</v>
      </c>
      <c r="BA28" s="515">
        <v>0.009000000000000001</v>
      </c>
      <c r="BB28" s="416"/>
      <c r="BC28" s="515">
        <v>0.009000000000000001</v>
      </c>
      <c r="BD28" s="517">
        <f>BD26/BD25</f>
        <v>0.0243902439</v>
      </c>
      <c r="BE28" s="515">
        <v>0.009000000000000001</v>
      </c>
      <c r="BF28" s="416"/>
      <c r="BG28" s="515">
        <v>0.009000000000000001</v>
      </c>
      <c r="BH28" s="517">
        <f>BH26/BH25</f>
        <v>0.02564102564</v>
      </c>
      <c r="BI28" s="316">
        <v>0.009000000000000001</v>
      </c>
      <c r="BJ28" s="253">
        <f>BJ26/BJ25</f>
        <v>0.01319648094</v>
      </c>
      <c r="BK28" s="429">
        <f t="shared" si="53"/>
        <v>1.46627566</v>
      </c>
      <c r="BL28" s="430" t="str">
        <f>IFERROR(__xludf.DUMMYFUNCTION("IFERROR(SPARKLINE(BK28,{""charttype"",""bar"";""color1"",IF(BK28&gt;='Апрель'!green_percent,'Апрель'!green,IF(BK28&gt;='Апрель'!yellow_percent,'Апрель'!yellow,IF(BK28&gt;='Апрель'!orange_percent,'Апрель'!orange,'Апрель'!red)));""max"",1}))"),"")</f>
        <v/>
      </c>
      <c r="BM28" s="515">
        <v>0.009000000000000001</v>
      </c>
      <c r="BN28" s="521">
        <f>BN26/BN25</f>
        <v>0.1</v>
      </c>
      <c r="BO28" s="515">
        <v>0.009000000000000001</v>
      </c>
      <c r="BP28" s="521">
        <f>BP26/BP25</f>
        <v>0.01714285714</v>
      </c>
      <c r="BQ28" s="515">
        <v>0.009000000000000001</v>
      </c>
      <c r="BR28" s="487"/>
      <c r="BS28" s="515">
        <v>0.009000000000000001</v>
      </c>
      <c r="BT28" s="521">
        <f>BT26/BT25</f>
        <v>0.0275862069</v>
      </c>
      <c r="BU28" s="515">
        <v>0.009000000000000001</v>
      </c>
      <c r="BV28" s="521">
        <f>BV26/BV25</f>
        <v>0.04301075269</v>
      </c>
      <c r="BW28" s="515">
        <v>0.009000000000000001</v>
      </c>
      <c r="BX28" s="487"/>
      <c r="BY28" s="515">
        <v>0.009000000000000001</v>
      </c>
      <c r="BZ28" s="487"/>
      <c r="CA28" s="316">
        <v>0.009000000000000001</v>
      </c>
      <c r="CB28" s="253">
        <f>CB26/CB25</f>
        <v>0.02613480055</v>
      </c>
      <c r="CC28" s="429">
        <f t="shared" si="55"/>
        <v>2.903866728</v>
      </c>
      <c r="CD28" s="430" t="str">
        <f>IFERROR(__xludf.DUMMYFUNCTION("IFERROR(SPARKLINE(CC28,{""charttype"",""bar"";""color1"",IF(CC28&gt;='Апрель'!green_percent,'Апрель'!green,IF(CC28&gt;='Апрель'!yellow_percent,'Апрель'!yellow,IF(CC28&gt;='Апрель'!orange_percent,'Апрель'!orange,'Апрель'!red)));""max"",1}))"),"")</f>
        <v/>
      </c>
      <c r="CE28" s="515">
        <v>0.009000000000000001</v>
      </c>
      <c r="CF28" s="522">
        <f>CF26/CF25</f>
        <v>0.01694915254</v>
      </c>
      <c r="CG28" s="515">
        <v>0.009000000000000001</v>
      </c>
      <c r="CH28" s="522">
        <f>CH26/CH25</f>
        <v>0</v>
      </c>
      <c r="CI28" s="515">
        <v>0.009000000000000001</v>
      </c>
      <c r="CJ28" s="522">
        <f>CJ26/CJ25</f>
        <v>0.02173913043</v>
      </c>
      <c r="CK28" s="515">
        <v>0.009000000000000001</v>
      </c>
      <c r="CL28" s="435"/>
      <c r="CM28" s="488"/>
      <c r="CN28" s="435"/>
      <c r="CO28" s="488"/>
      <c r="CP28" s="435"/>
      <c r="CQ28" s="488"/>
      <c r="CR28" s="435"/>
      <c r="CS28" s="316">
        <f t="shared" ref="CS28:CT28" si="74">CS26/CS25</f>
        <v>0.009</v>
      </c>
      <c r="CT28" s="253">
        <f t="shared" si="74"/>
        <v>0.01033591731</v>
      </c>
      <c r="CU28" s="207">
        <f t="shared" si="11"/>
        <v>1.148435257</v>
      </c>
      <c r="CV28" s="208" t="str">
        <f>IFERROR(__xludf.DUMMYFUNCTION("IFERROR(SPARKLINE(CU28,{""charttype"",""bar"";""color1"",IF(CU28&gt;='Апрель'!green_percent,'Апрель'!green,IF(CU28&gt;='Апрель'!yellow_percent,'Апрель'!yellow,IF(CU28&gt;='Апрель'!orange_percent,'Апрель'!orange,'Апрель'!red)));""max"",1}))"),"")</f>
        <v/>
      </c>
      <c r="CW28" s="489"/>
      <c r="CX28" s="438"/>
      <c r="CY28" s="490"/>
      <c r="CZ28" s="523"/>
      <c r="DA28" s="523"/>
      <c r="DB28" s="523"/>
      <c r="DC28" s="523"/>
      <c r="DD28" s="523"/>
      <c r="DE28" s="523"/>
      <c r="DF28" s="523"/>
      <c r="DG28" s="523"/>
      <c r="DH28" s="523"/>
      <c r="DI28" s="523"/>
      <c r="DJ28" s="523"/>
      <c r="DK28" s="491"/>
      <c r="DL28" s="524"/>
      <c r="DM28" s="525"/>
      <c r="DN28" s="494"/>
      <c r="DO28" s="446"/>
      <c r="DP28" s="447"/>
    </row>
    <row r="29">
      <c r="A29" s="215"/>
      <c r="B29" s="269" t="s">
        <v>35</v>
      </c>
      <c r="C29" s="217"/>
      <c r="D29" s="217"/>
      <c r="E29" s="218"/>
      <c r="F29" s="448">
        <v>20.0</v>
      </c>
      <c r="G29" s="448">
        <f>Z29+AR29+BJ29+CB29+CT29</f>
        <v>21</v>
      </c>
      <c r="H29" s="220">
        <f t="shared" si="45"/>
        <v>1.05</v>
      </c>
      <c r="I29" s="449" t="str">
        <f>IFERROR(__xludf.DUMMYFUNCTION("IFERROR(SPARKLINE(H29,{""charttype"",""bar"";""color1"",IF(H29&gt;='Апрель'!green_percent,'Апрель'!green,IF(H29&gt;='Апрель'!yellow_percent,'Апрель'!yellow,IF(H29&gt;='Апрель'!orange_percent,'Апрель'!orange,'Апрель'!red)));""max"",1}))"),"")</f>
        <v/>
      </c>
      <c r="J29" s="237"/>
      <c r="K29" s="482"/>
      <c r="L29" s="416"/>
      <c r="M29" s="483"/>
      <c r="N29" s="418"/>
      <c r="O29" s="483">
        <f>F29/31</f>
        <v>0.6451612903</v>
      </c>
      <c r="P29" s="416">
        <v>0.0</v>
      </c>
      <c r="Q29" s="483">
        <v>0.6451612903225806</v>
      </c>
      <c r="R29" s="416">
        <v>0.0</v>
      </c>
      <c r="S29" s="484">
        <v>0.6451612903225806</v>
      </c>
      <c r="T29" s="416">
        <v>1.0</v>
      </c>
      <c r="U29" s="484">
        <v>0.6451612903225806</v>
      </c>
      <c r="V29" s="416"/>
      <c r="W29" s="485">
        <v>0.6451612903225806</v>
      </c>
      <c r="X29" s="418">
        <v>0.0</v>
      </c>
      <c r="Y29" s="333">
        <f t="shared" ref="Y29:Z29" si="75">O29+Q29+S29+U29+W29</f>
        <v>3.225806452</v>
      </c>
      <c r="Z29" s="526">
        <f t="shared" si="75"/>
        <v>1</v>
      </c>
      <c r="AA29" s="220">
        <f t="shared" si="49"/>
        <v>0.31</v>
      </c>
      <c r="AB29" s="458" t="str">
        <f>IFERROR(__xludf.DUMMYFUNCTION("IFERROR(SPARKLINE(AA29,{""charttype"",""bar"";""color1"",IF(AA29&gt;='Апрель'!green_percent,'Апрель'!green,IF(AA29&gt;='Апрель'!yellow_percent,'Апрель'!yellow,IF(AA29&gt;='Апрель'!orange_percent,'Апрель'!orange,'Апрель'!red)));""max"",1}))"),"")</f>
        <v/>
      </c>
      <c r="AC29" s="484">
        <v>0.6451612903225806</v>
      </c>
      <c r="AD29" s="416">
        <v>1.0</v>
      </c>
      <c r="AE29" s="484">
        <v>0.6451612903225806</v>
      </c>
      <c r="AF29" s="416">
        <v>1.0</v>
      </c>
      <c r="AG29" s="484">
        <v>0.6451612903225806</v>
      </c>
      <c r="AH29" s="416">
        <v>0.0</v>
      </c>
      <c r="AI29" s="484">
        <v>0.6451612903225806</v>
      </c>
      <c r="AJ29" s="416">
        <v>2.0</v>
      </c>
      <c r="AK29" s="484">
        <v>0.6451612903225806</v>
      </c>
      <c r="AL29" s="416">
        <v>1.0</v>
      </c>
      <c r="AM29" s="484">
        <v>0.6451612903225806</v>
      </c>
      <c r="AN29" s="496"/>
      <c r="AO29" s="484">
        <v>0.6451612903225806</v>
      </c>
      <c r="AP29" s="496"/>
      <c r="AQ29" s="349">
        <f t="shared" ref="AQ29:AR29" si="76">AC29+AE29+AG29+AI29+AK29+AM29+AO29</f>
        <v>4.516129032</v>
      </c>
      <c r="AR29" s="464">
        <f t="shared" si="76"/>
        <v>5</v>
      </c>
      <c r="AS29" s="279">
        <f t="shared" si="51"/>
        <v>1.107142857</v>
      </c>
      <c r="AT29" s="462" t="str">
        <f>IFERROR(__xludf.DUMMYFUNCTION("IFERROR(SPARKLINE(AS29,{""charttype"",""bar"";""color1"",IF(AS29&gt;='Апрель'!green_percent,'Апрель'!green,IF(AS29&gt;='Апрель'!yellow_percent,'Апрель'!yellow,IF(AS29&gt;='Апрель'!orange_percent,'Апрель'!orange,'Апрель'!red)));""max"",1}))"),"")</f>
        <v/>
      </c>
      <c r="AU29" s="484">
        <v>0.6451612903225806</v>
      </c>
      <c r="AV29" s="416">
        <v>0.0</v>
      </c>
      <c r="AW29" s="484">
        <v>0.6451612903225806</v>
      </c>
      <c r="AX29" s="416">
        <v>2.0</v>
      </c>
      <c r="AY29" s="484">
        <v>0.6451612903225806</v>
      </c>
      <c r="AZ29" s="416">
        <v>1.0</v>
      </c>
      <c r="BA29" s="484">
        <v>0.6451612903225806</v>
      </c>
      <c r="BB29" s="416">
        <v>0.0</v>
      </c>
      <c r="BC29" s="484">
        <v>0.6451612903225806</v>
      </c>
      <c r="BD29" s="416">
        <v>1.0</v>
      </c>
      <c r="BE29" s="484">
        <v>0.6451612903225806</v>
      </c>
      <c r="BF29" s="416">
        <v>0.0</v>
      </c>
      <c r="BG29" s="484">
        <v>0.6451612903225806</v>
      </c>
      <c r="BH29" s="416">
        <v>0.0</v>
      </c>
      <c r="BI29" s="349">
        <v>4.516129032258064</v>
      </c>
      <c r="BJ29" s="464">
        <f>AV29+AX29+AZ29+BB29+BD29+BF29+BH29</f>
        <v>4</v>
      </c>
      <c r="BK29" s="376">
        <f t="shared" si="53"/>
        <v>0.8857142857</v>
      </c>
      <c r="BL29" s="377" t="str">
        <f>IFERROR(__xludf.DUMMYFUNCTION("IFERROR(SPARKLINE(BK29,{""charttype"",""bar"";""color1"",IF(BK29&gt;='Апрель'!green_percent,'Апрель'!green,IF(BK29&gt;='Апрель'!yellow_percent,'Апрель'!yellow,IF(BK29&gt;='Апрель'!orange_percent,'Апрель'!orange,'Апрель'!red)));""max"",1}))"),"")</f>
        <v/>
      </c>
      <c r="BM29" s="484">
        <v>0.6451612903225806</v>
      </c>
      <c r="BN29" s="527">
        <v>4.0</v>
      </c>
      <c r="BO29" s="484">
        <v>0.6451612903225806</v>
      </c>
      <c r="BP29" s="527">
        <v>2.0</v>
      </c>
      <c r="BQ29" s="484">
        <v>0.6451612903225806</v>
      </c>
      <c r="BR29" s="527">
        <v>0.0</v>
      </c>
      <c r="BS29" s="484">
        <v>0.6451612903225806</v>
      </c>
      <c r="BT29" s="527">
        <v>1.0</v>
      </c>
      <c r="BU29" s="484">
        <v>0.6451612903225806</v>
      </c>
      <c r="BV29" s="527">
        <v>3.0</v>
      </c>
      <c r="BW29" s="484">
        <v>0.6451612903225806</v>
      </c>
      <c r="BX29" s="527">
        <v>0.0</v>
      </c>
      <c r="BY29" s="484">
        <v>0.6451612903225806</v>
      </c>
      <c r="BZ29" s="527">
        <v>0.0</v>
      </c>
      <c r="CA29" s="349">
        <v>4.516129032258064</v>
      </c>
      <c r="CB29" s="464">
        <f>BN29+BP29+BR29+BT29+BV29+BX29+BZ29</f>
        <v>10</v>
      </c>
      <c r="CC29" s="376">
        <f t="shared" si="55"/>
        <v>2.214285714</v>
      </c>
      <c r="CD29" s="377" t="str">
        <f>IFERROR(__xludf.DUMMYFUNCTION("IFERROR(SPARKLINE(CC29,{""charttype"",""bar"";""color1"",IF(CC29&gt;='Апрель'!green_percent,'Апрель'!green,IF(CC29&gt;='Апрель'!yellow_percent,'Апрель'!yellow,IF(CC29&gt;='Апрель'!orange_percent,'Апрель'!orange,'Апрель'!red)));""max"",1}))"),"")</f>
        <v/>
      </c>
      <c r="CE29" s="484">
        <v>0.6451612903225806</v>
      </c>
      <c r="CF29" s="505">
        <v>1.0</v>
      </c>
      <c r="CG29" s="484">
        <v>0.6451612903225806</v>
      </c>
      <c r="CH29" s="505"/>
      <c r="CI29" s="484">
        <v>0.6451612903225806</v>
      </c>
      <c r="CJ29" s="505">
        <v>0.0</v>
      </c>
      <c r="CK29" s="484">
        <v>0.6451612903225806</v>
      </c>
      <c r="CL29" s="505">
        <v>0.0</v>
      </c>
      <c r="CM29" s="488"/>
      <c r="CN29" s="505"/>
      <c r="CO29" s="488"/>
      <c r="CP29" s="505"/>
      <c r="CQ29" s="488"/>
      <c r="CR29" s="505"/>
      <c r="CS29" s="335">
        <f t="shared" ref="CS29:CT29" si="77">CE29+CG29+CI29+CK29</f>
        <v>2.580645161</v>
      </c>
      <c r="CT29" s="464">
        <f t="shared" si="77"/>
        <v>1</v>
      </c>
      <c r="CU29" s="469">
        <f t="shared" si="11"/>
        <v>0.3875</v>
      </c>
      <c r="CV29" s="470" t="str">
        <f>IFERROR(__xludf.DUMMYFUNCTION("IFERROR(SPARKLINE(CU29,{""charttype"",""bar"";""color1"",IF(CU29&gt;='Апрель'!green_percent,'Апрель'!green,IF(CU29&gt;='Апрель'!yellow_percent,'Апрель'!yellow,IF(CU29&gt;='Апрель'!orange_percent,'Апрель'!orange,'Апрель'!red)));""max"",1}))"),"")</f>
        <v/>
      </c>
      <c r="CW29" s="489"/>
      <c r="CX29" s="400"/>
      <c r="CY29" s="490"/>
      <c r="CZ29" s="506"/>
      <c r="DA29" s="506"/>
      <c r="DB29" s="506"/>
      <c r="DC29" s="506"/>
      <c r="DD29" s="506"/>
      <c r="DE29" s="506"/>
      <c r="DF29" s="506"/>
      <c r="DG29" s="506"/>
      <c r="DH29" s="506"/>
      <c r="DI29" s="506"/>
      <c r="DJ29" s="506"/>
      <c r="DK29" s="507"/>
      <c r="DL29" s="508"/>
      <c r="DM29" s="509"/>
      <c r="DN29" s="510"/>
      <c r="DO29" s="511"/>
      <c r="DP29" s="512"/>
    </row>
    <row r="30">
      <c r="A30" s="240"/>
      <c r="B30" s="410" t="s">
        <v>25</v>
      </c>
      <c r="C30" s="242"/>
      <c r="D30" s="242"/>
      <c r="E30" s="243"/>
      <c r="F30" s="245">
        <f>F29/F26</f>
        <v>0.4444444444</v>
      </c>
      <c r="G30" s="245">
        <f>IF(G27=0,0,(G29)/G26)</f>
        <v>0.4772727273</v>
      </c>
      <c r="H30" s="412">
        <f t="shared" si="45"/>
        <v>1.073863636</v>
      </c>
      <c r="I30" s="413" t="str">
        <f>IFERROR(__xludf.DUMMYFUNCTION("IFERROR(SPARKLINE(H30,{""charttype"",""bar"";""color1"",IF(H30&gt;='Апрель'!green_percent,'Апрель'!green,IF(H30&gt;='Апрель'!yellow_percent,'Апрель'!yellow,IF(H30&gt;='Апрель'!orange_percent,'Апрель'!orange,'Апрель'!red)));""max"",1}))"),"")</f>
        <v/>
      </c>
      <c r="J30" s="414"/>
      <c r="K30" s="513"/>
      <c r="L30" s="496"/>
      <c r="M30" s="515"/>
      <c r="N30" s="418"/>
      <c r="O30" s="515">
        <f>O29/O26</f>
        <v>0.4301075269</v>
      </c>
      <c r="P30" s="496"/>
      <c r="Q30" s="515">
        <v>0.43010752688172044</v>
      </c>
      <c r="R30" s="416">
        <v>0.0</v>
      </c>
      <c r="S30" s="518">
        <v>0.43010752688172044</v>
      </c>
      <c r="T30" s="517">
        <f>T29/T26</f>
        <v>1</v>
      </c>
      <c r="U30" s="518">
        <v>0.43010752688172044</v>
      </c>
      <c r="V30" s="416"/>
      <c r="W30" s="519">
        <v>0.43010752688172044</v>
      </c>
      <c r="X30" s="520"/>
      <c r="Y30" s="316">
        <f t="shared" ref="Y30:Z30" si="78">Y29/Y26</f>
        <v>0.4301075269</v>
      </c>
      <c r="Z30" s="253">
        <f t="shared" si="78"/>
        <v>0.25</v>
      </c>
      <c r="AA30" s="412">
        <f t="shared" si="49"/>
        <v>0.58125</v>
      </c>
      <c r="AB30" s="424" t="str">
        <f>IFERROR(__xludf.DUMMYFUNCTION("IFERROR(SPARKLINE(AA30,{""charttype"",""bar"";""color1"",IF(AA30&gt;='Апрель'!green_percent,'Апрель'!green,IF(AA30&gt;='Апрель'!yellow_percent,'Апрель'!yellow,IF(AA30&gt;='Апрель'!orange_percent,'Апрель'!orange,'Апрель'!red)));""max"",1}))"),"")</f>
        <v/>
      </c>
      <c r="AC30" s="515">
        <v>0.43010752688172044</v>
      </c>
      <c r="AD30" s="514">
        <f>AD29/AD26</f>
        <v>0.5</v>
      </c>
      <c r="AE30" s="515">
        <v>0.43010752688172044</v>
      </c>
      <c r="AF30" s="514">
        <f>AF29/AF26</f>
        <v>1</v>
      </c>
      <c r="AG30" s="515">
        <v>0.43010752688172044</v>
      </c>
      <c r="AH30" s="496"/>
      <c r="AI30" s="515">
        <v>0.43010752688172044</v>
      </c>
      <c r="AJ30" s="514">
        <f>AJ29/AJ26</f>
        <v>0.6666666667</v>
      </c>
      <c r="AK30" s="515">
        <v>0.43010752688172044</v>
      </c>
      <c r="AL30" s="514">
        <f>AL29/AL26</f>
        <v>0.5</v>
      </c>
      <c r="AM30" s="515">
        <v>0.43010752688172044</v>
      </c>
      <c r="AN30" s="496"/>
      <c r="AO30" s="515">
        <v>0.43010752688172044</v>
      </c>
      <c r="AP30" s="496"/>
      <c r="AQ30" s="316">
        <f t="shared" ref="AQ30:AR30" si="79">AQ29/AQ26</f>
        <v>0.4301075269</v>
      </c>
      <c r="AR30" s="253">
        <f t="shared" si="79"/>
        <v>0.625</v>
      </c>
      <c r="AS30" s="253">
        <f t="shared" si="51"/>
        <v>1.453125</v>
      </c>
      <c r="AT30" s="427" t="str">
        <f>IFERROR(__xludf.DUMMYFUNCTION("IFERROR(SPARKLINE(AS30,{""charttype"",""bar"";""color1"",IF(AS30&gt;='Апрель'!green_percent,'Апрель'!green,IF(AS30&gt;='Апрель'!yellow_percent,'Апрель'!yellow,IF(AS30&gt;='Апрель'!orange_percent,'Апрель'!orange,'Апрель'!red)));""max"",1}))"),"")</f>
        <v/>
      </c>
      <c r="AU30" s="515">
        <v>0.43010752688172044</v>
      </c>
      <c r="AV30" s="416"/>
      <c r="AW30" s="515">
        <v>0.43010752688172044</v>
      </c>
      <c r="AX30" s="517">
        <f>AX29/AX26</f>
        <v>1</v>
      </c>
      <c r="AY30" s="515">
        <v>0.43010752688172044</v>
      </c>
      <c r="AZ30" s="517">
        <f>AZ29/AZ26</f>
        <v>0.3333333333</v>
      </c>
      <c r="BA30" s="515">
        <v>0.43010752688172044</v>
      </c>
      <c r="BB30" s="416"/>
      <c r="BC30" s="515">
        <v>0.43010752688172044</v>
      </c>
      <c r="BD30" s="517">
        <f>BD29/BD26</f>
        <v>0.5</v>
      </c>
      <c r="BE30" s="515">
        <v>0.43010752688172044</v>
      </c>
      <c r="BF30" s="416"/>
      <c r="BG30" s="515">
        <v>0.43010752688172044</v>
      </c>
      <c r="BH30" s="416"/>
      <c r="BI30" s="316">
        <v>0.4301075268817204</v>
      </c>
      <c r="BJ30" s="253">
        <f>BJ29/BJ26</f>
        <v>0.4444444444</v>
      </c>
      <c r="BK30" s="429">
        <f t="shared" si="53"/>
        <v>1.033333333</v>
      </c>
      <c r="BL30" s="430" t="str">
        <f>IFERROR(__xludf.DUMMYFUNCTION("IFERROR(SPARKLINE(BK30,{""charttype"",""bar"";""color1"",IF(BK30&gt;='Апрель'!green_percent,'Апрель'!green,IF(BK30&gt;='Апрель'!yellow_percent,'Апрель'!yellow,IF(BK30&gt;='Апрель'!orange_percent,'Апрель'!orange,'Апрель'!red)));""max"",1}))"),"")</f>
        <v/>
      </c>
      <c r="BM30" s="515">
        <v>0.43010752688172044</v>
      </c>
      <c r="BN30" s="521">
        <f>BN29/BN26</f>
        <v>0.5</v>
      </c>
      <c r="BO30" s="515">
        <v>0.43010752688172044</v>
      </c>
      <c r="BP30" s="521">
        <f>BP29/BP26</f>
        <v>0.6666666667</v>
      </c>
      <c r="BQ30" s="515">
        <v>0.43010752688172044</v>
      </c>
      <c r="BR30" s="487"/>
      <c r="BS30" s="515">
        <v>0.43010752688172044</v>
      </c>
      <c r="BT30" s="521">
        <f>BT29/BT26</f>
        <v>0.25</v>
      </c>
      <c r="BU30" s="515">
        <v>0.43010752688172044</v>
      </c>
      <c r="BV30" s="521">
        <f>BV29/BV26</f>
        <v>0.75</v>
      </c>
      <c r="BW30" s="515">
        <v>0.43010752688172044</v>
      </c>
      <c r="BX30" s="487"/>
      <c r="BY30" s="515">
        <v>0.43010752688172044</v>
      </c>
      <c r="BZ30" s="487"/>
      <c r="CA30" s="316">
        <v>0.4301075268817204</v>
      </c>
      <c r="CB30" s="253">
        <f>CB29/CB26</f>
        <v>0.5263157895</v>
      </c>
      <c r="CC30" s="429">
        <f t="shared" si="55"/>
        <v>1.223684211</v>
      </c>
      <c r="CD30" s="430" t="str">
        <f>IFERROR(__xludf.DUMMYFUNCTION("IFERROR(SPARKLINE(CC30,{""charttype"",""bar"";""color1"",IF(CC30&gt;='Апрель'!green_percent,'Апрель'!green,IF(CC30&gt;='Апрель'!yellow_percent,'Апрель'!yellow,IF(CC30&gt;='Апрель'!orange_percent,'Апрель'!orange,'Апрель'!red)));""max"",1}))"),"")</f>
        <v/>
      </c>
      <c r="CE30" s="515">
        <v>0.43010752688172044</v>
      </c>
      <c r="CF30" s="522">
        <f>CF29/CF26</f>
        <v>0.5</v>
      </c>
      <c r="CG30" s="515">
        <v>0.43010752688172044</v>
      </c>
      <c r="CH30" s="435"/>
      <c r="CI30" s="515">
        <v>0.43010752688172044</v>
      </c>
      <c r="CJ30" s="435"/>
      <c r="CK30" s="515">
        <v>0.43010752688172044</v>
      </c>
      <c r="CL30" s="435"/>
      <c r="CM30" s="488"/>
      <c r="CN30" s="435"/>
      <c r="CO30" s="488"/>
      <c r="CP30" s="435"/>
      <c r="CQ30" s="488"/>
      <c r="CR30" s="435"/>
      <c r="CS30" s="316">
        <f t="shared" ref="CS30:CT30" si="80">CS29/CS26</f>
        <v>0.4301075269</v>
      </c>
      <c r="CT30" s="253">
        <f t="shared" si="80"/>
        <v>0.25</v>
      </c>
      <c r="CU30" s="207">
        <f t="shared" si="11"/>
        <v>0.58125</v>
      </c>
      <c r="CV30" s="208" t="str">
        <f>IFERROR(__xludf.DUMMYFUNCTION("IFERROR(SPARKLINE(CU30,{""charttype"",""bar"";""color1"",IF(CU30&gt;='Апрель'!green_percent,'Апрель'!green,IF(CU30&gt;='Апрель'!yellow_percent,'Апрель'!yellow,IF(CU30&gt;='Апрель'!orange_percent,'Апрель'!orange,'Апрель'!red)));""max"",1}))"),"")</f>
        <v/>
      </c>
      <c r="CW30" s="489"/>
      <c r="CX30" s="438"/>
      <c r="CY30" s="490"/>
      <c r="CZ30" s="523"/>
      <c r="DA30" s="523"/>
      <c r="DB30" s="523"/>
      <c r="DC30" s="523"/>
      <c r="DD30" s="523"/>
      <c r="DE30" s="523"/>
      <c r="DF30" s="523"/>
      <c r="DG30" s="523"/>
      <c r="DH30" s="523"/>
      <c r="DI30" s="523"/>
      <c r="DJ30" s="523"/>
      <c r="DK30" s="491"/>
      <c r="DL30" s="524"/>
      <c r="DM30" s="525"/>
      <c r="DN30" s="494"/>
      <c r="DO30" s="446"/>
      <c r="DP30" s="447"/>
    </row>
    <row r="31">
      <c r="A31" s="215"/>
      <c r="B31" s="269" t="s">
        <v>36</v>
      </c>
      <c r="C31" s="217"/>
      <c r="D31" s="217"/>
      <c r="E31" s="218"/>
      <c r="F31" s="270">
        <f t="shared" ref="F31:G31" si="81">F24/F29</f>
        <v>2500</v>
      </c>
      <c r="G31" s="270">
        <f t="shared" si="81"/>
        <v>2380.952857</v>
      </c>
      <c r="H31" s="220">
        <f t="shared" si="45"/>
        <v>0.9523811429</v>
      </c>
      <c r="I31" s="449" t="str">
        <f>IFERROR(__xludf.DUMMYFUNCTION("IFERROR(SPARKLINE(H31,{""charttype"",""bar"";""color1"",IF(H31&gt;='Апрель'!green_percent,'Апрель'!green,IF(H31&gt;='Апрель'!yellow_percent,'Апрель'!yellow,IF(H31&gt;='Апрель'!orange_percent,'Апрель'!orange,'Апрель'!red)));""max"",1}))"),"")</f>
        <v/>
      </c>
      <c r="J31" s="237"/>
      <c r="K31" s="528"/>
      <c r="L31" s="496"/>
      <c r="M31" s="483"/>
      <c r="N31" s="418"/>
      <c r="O31" s="529">
        <v>2500.0</v>
      </c>
      <c r="P31" s="496"/>
      <c r="Q31" s="529">
        <v>2500.0</v>
      </c>
      <c r="R31" s="416"/>
      <c r="S31" s="529">
        <v>2500.0</v>
      </c>
      <c r="T31" s="420">
        <f>T24/T29</f>
        <v>1666.67</v>
      </c>
      <c r="U31" s="529">
        <v>2500.0</v>
      </c>
      <c r="V31" s="416"/>
      <c r="W31" s="529">
        <v>2500.0</v>
      </c>
      <c r="X31" s="520"/>
      <c r="Y31" s="529">
        <v>2500.0</v>
      </c>
      <c r="Z31" s="464">
        <f>Z24/Z29</f>
        <v>8333.343333</v>
      </c>
      <c r="AA31" s="220">
        <f t="shared" si="49"/>
        <v>3.333337333</v>
      </c>
      <c r="AB31" s="458" t="str">
        <f>IFERROR(__xludf.DUMMYFUNCTION("IFERROR(SPARKLINE(AA31,{""charttype"",""bar"";""color1"",IF(AA31&gt;='Апрель'!green_percent,'Апрель'!green,IF(AA31&gt;='Апрель'!yellow_percent,'Апрель'!yellow,IF(AA31&gt;='Апрель'!orange_percent,'Апрель'!orange,'Апрель'!red)));""max"",1}))"),"")</f>
        <v/>
      </c>
      <c r="AC31" s="419">
        <v>2500.0</v>
      </c>
      <c r="AD31" s="426">
        <f>AD24/AD29</f>
        <v>1666.666667</v>
      </c>
      <c r="AE31" s="419">
        <v>2500.0</v>
      </c>
      <c r="AF31" s="426">
        <f>AF24/AF29</f>
        <v>1666.666667</v>
      </c>
      <c r="AG31" s="419">
        <v>2500.0</v>
      </c>
      <c r="AH31" s="496"/>
      <c r="AI31" s="419">
        <v>2500.0</v>
      </c>
      <c r="AJ31" s="420">
        <f>AJ24/AJ29</f>
        <v>833.3333333</v>
      </c>
      <c r="AK31" s="419">
        <v>2500.0</v>
      </c>
      <c r="AL31" s="426">
        <f>AL24/AL29</f>
        <v>1666.666667</v>
      </c>
      <c r="AM31" s="419">
        <v>2500.0</v>
      </c>
      <c r="AN31" s="496"/>
      <c r="AO31" s="419">
        <v>2500.0</v>
      </c>
      <c r="AP31" s="496"/>
      <c r="AQ31" s="277">
        <f t="shared" ref="AQ31:AR31" si="82">AQ24/AQ29</f>
        <v>2583.333333</v>
      </c>
      <c r="AR31" s="499">
        <f t="shared" si="82"/>
        <v>2333.333333</v>
      </c>
      <c r="AS31" s="279">
        <f t="shared" si="51"/>
        <v>0.9032258065</v>
      </c>
      <c r="AT31" s="462" t="str">
        <f>IFERROR(__xludf.DUMMYFUNCTION("IFERROR(SPARKLINE(AS31,{""charttype"",""bar"";""color1"",IF(AS31&gt;='Апрель'!green_percent,'Апрель'!green,IF(AS31&gt;='Апрель'!yellow_percent,'Апрель'!yellow,IF(AS31&gt;='Апрель'!orange_percent,'Апрель'!orange,'Апрель'!red)));""max"",1}))"),"")</f>
        <v/>
      </c>
      <c r="AU31" s="419">
        <v>2500.0</v>
      </c>
      <c r="AV31" s="416"/>
      <c r="AW31" s="419">
        <v>2500.0</v>
      </c>
      <c r="AX31" s="420">
        <f>AX24/AX29</f>
        <v>833.3333333</v>
      </c>
      <c r="AY31" s="419">
        <v>2500.0</v>
      </c>
      <c r="AZ31" s="420">
        <f>AZ24/AZ29</f>
        <v>1666.666667</v>
      </c>
      <c r="BA31" s="419">
        <v>2500.0</v>
      </c>
      <c r="BB31" s="416"/>
      <c r="BC31" s="419">
        <v>2500.0</v>
      </c>
      <c r="BD31" s="420">
        <f>BD24/BD29</f>
        <v>1666.666667</v>
      </c>
      <c r="BE31" s="419">
        <v>2500.0</v>
      </c>
      <c r="BF31" s="416"/>
      <c r="BG31" s="419">
        <v>2500.0</v>
      </c>
      <c r="BH31" s="416"/>
      <c r="BI31" s="277">
        <v>2583.3333333333335</v>
      </c>
      <c r="BJ31" s="499">
        <f>BJ24/BJ29</f>
        <v>2916.666667</v>
      </c>
      <c r="BK31" s="376">
        <f t="shared" si="53"/>
        <v>1.129032258</v>
      </c>
      <c r="BL31" s="377" t="str">
        <f>IFERROR(__xludf.DUMMYFUNCTION("IFERROR(SPARKLINE(BK31,{""charttype"",""bar"";""color1"",IF(BK31&gt;='Апрель'!green_percent,'Апрель'!green,IF(BK31&gt;='Апрель'!yellow_percent,'Апрель'!yellow,IF(BK31&gt;='Апрель'!orange_percent,'Апрель'!orange,'Апрель'!red)));""max"",1}))"),"")</f>
        <v/>
      </c>
      <c r="BM31" s="419">
        <v>2500.0</v>
      </c>
      <c r="BN31" s="503">
        <f>BN24/BN29</f>
        <v>416.6666667</v>
      </c>
      <c r="BO31" s="419">
        <v>2500.0</v>
      </c>
      <c r="BP31" s="503">
        <f>BP24/BP29</f>
        <v>833.3333333</v>
      </c>
      <c r="BQ31" s="419">
        <v>2500.0</v>
      </c>
      <c r="BR31" s="527"/>
      <c r="BS31" s="419">
        <v>2500.0</v>
      </c>
      <c r="BT31" s="503">
        <f>BT24/BT29</f>
        <v>1666.666667</v>
      </c>
      <c r="BU31" s="419">
        <v>2500.0</v>
      </c>
      <c r="BV31" s="503">
        <f>BV24/BV29</f>
        <v>555.5555556</v>
      </c>
      <c r="BW31" s="419">
        <v>2500.0</v>
      </c>
      <c r="BX31" s="527"/>
      <c r="BY31" s="419">
        <v>2500.0</v>
      </c>
      <c r="BZ31" s="527"/>
      <c r="CA31" s="277">
        <v>2583.3333333333335</v>
      </c>
      <c r="CB31" s="499">
        <f>CB24/CB29</f>
        <v>1166.666667</v>
      </c>
      <c r="CC31" s="376">
        <f t="shared" si="55"/>
        <v>0.4516129032</v>
      </c>
      <c r="CD31" s="377" t="str">
        <f>IFERROR(__xludf.DUMMYFUNCTION("IFERROR(SPARKLINE(CC31,{""charttype"",""bar"";""color1"",IF(CC31&gt;='Апрель'!green_percent,'Апрель'!green,IF(CC31&gt;='Апрель'!yellow_percent,'Апрель'!yellow,IF(CC31&gt;='Апрель'!orange_percent,'Апрель'!orange,'Апрель'!red)));""max"",1}))"),"")</f>
        <v/>
      </c>
      <c r="CE31" s="419">
        <v>2500.0</v>
      </c>
      <c r="CF31" s="504">
        <f>CF24/CF29</f>
        <v>1666.666667</v>
      </c>
      <c r="CG31" s="419">
        <v>2500.0</v>
      </c>
      <c r="CH31" s="505"/>
      <c r="CI31" s="419">
        <v>2500.0</v>
      </c>
      <c r="CJ31" s="505"/>
      <c r="CK31" s="419">
        <v>2500.0</v>
      </c>
      <c r="CL31" s="505"/>
      <c r="CM31" s="488"/>
      <c r="CN31" s="505"/>
      <c r="CO31" s="488"/>
      <c r="CP31" s="505"/>
      <c r="CQ31" s="488"/>
      <c r="CR31" s="505"/>
      <c r="CS31" s="277">
        <f>CS24/CS29</f>
        <v>2583.333333</v>
      </c>
      <c r="CT31" s="499">
        <f>CT27/CT29</f>
        <v>1666.666667</v>
      </c>
      <c r="CU31" s="469">
        <f t="shared" si="11"/>
        <v>0.6451612903</v>
      </c>
      <c r="CV31" s="470" t="str">
        <f>IFERROR(__xludf.DUMMYFUNCTION("IFERROR(SPARKLINE(CU31,{""charttype"",""bar"";""color1"",IF(CU31&gt;='Апрель'!green_percent,'Апрель'!green,IF(CU31&gt;='Апрель'!yellow_percent,'Апрель'!yellow,IF(CU31&gt;='Апрель'!orange_percent,'Апрель'!orange,'Апрель'!red)));""max"",1}))"),"")</f>
        <v/>
      </c>
      <c r="CW31" s="489"/>
      <c r="CX31" s="400"/>
      <c r="CY31" s="490"/>
      <c r="CZ31" s="506"/>
      <c r="DA31" s="506"/>
      <c r="DB31" s="506"/>
      <c r="DC31" s="506"/>
      <c r="DD31" s="506"/>
      <c r="DE31" s="506"/>
      <c r="DF31" s="506"/>
      <c r="DG31" s="506"/>
      <c r="DH31" s="506"/>
      <c r="DI31" s="506"/>
      <c r="DJ31" s="506"/>
      <c r="DK31" s="507"/>
      <c r="DL31" s="508"/>
      <c r="DM31" s="509"/>
      <c r="DN31" s="510"/>
      <c r="DO31" s="511"/>
      <c r="DP31" s="512"/>
    </row>
    <row r="32">
      <c r="A32" s="240"/>
      <c r="B32" s="410" t="s">
        <v>37</v>
      </c>
      <c r="C32" s="242"/>
      <c r="D32" s="242"/>
      <c r="E32" s="243"/>
      <c r="F32" s="530">
        <v>16.0</v>
      </c>
      <c r="G32" s="244">
        <f>Z32+AR32+BJ32+CB32+CT32</f>
        <v>16</v>
      </c>
      <c r="H32" s="412">
        <f t="shared" si="45"/>
        <v>1</v>
      </c>
      <c r="I32" s="413" t="str">
        <f>IFERROR(__xludf.DUMMYFUNCTION("IFERROR(SPARKLINE(H32,{""charttype"",""bar"";""color1"",IF(H32&gt;='Апрель'!green_percent,'Апрель'!green,IF(H32&gt;='Апрель'!yellow_percent,'Апрель'!yellow,IF(H32&gt;='Апрель'!orange_percent,'Апрель'!orange,'Апрель'!red)));""max"",1}))"),"")</f>
        <v/>
      </c>
      <c r="J32" s="414"/>
      <c r="K32" s="482"/>
      <c r="L32" s="416"/>
      <c r="M32" s="483"/>
      <c r="N32" s="418"/>
      <c r="O32" s="483">
        <f>F32/30</f>
        <v>0.5333333333</v>
      </c>
      <c r="P32" s="416">
        <v>0.0</v>
      </c>
      <c r="Q32" s="483">
        <v>0.5333333333333333</v>
      </c>
      <c r="R32" s="416">
        <v>0.0</v>
      </c>
      <c r="S32" s="484">
        <v>0.5333333333333333</v>
      </c>
      <c r="T32" s="416">
        <v>1.0</v>
      </c>
      <c r="U32" s="484">
        <v>0.5333333333333333</v>
      </c>
      <c r="V32" s="416">
        <v>0.0</v>
      </c>
      <c r="W32" s="485">
        <v>0.5333333333333333</v>
      </c>
      <c r="X32" s="418">
        <v>0.0</v>
      </c>
      <c r="Y32" s="531">
        <f t="shared" ref="Y32:Z32" si="83">O32+Q32+S32+U32+W32</f>
        <v>2.666666667</v>
      </c>
      <c r="Z32" s="486">
        <f t="shared" si="83"/>
        <v>1</v>
      </c>
      <c r="AA32" s="412">
        <f t="shared" si="49"/>
        <v>0.375</v>
      </c>
      <c r="AB32" s="424" t="str">
        <f>IFERROR(__xludf.DUMMYFUNCTION("IFERROR(SPARKLINE(AA32,{""charttype"",""bar"";""color1"",IF(AA32&gt;='Апрель'!green_percent,'Апрель'!green,IF(AA32&gt;='Апрель'!yellow_percent,'Апрель'!yellow,IF(AA32&gt;='Апрель'!orange_percent,'Апрель'!orange,'Апрель'!red)));""max"",1}))"),"")</f>
        <v/>
      </c>
      <c r="AC32" s="483">
        <v>0.5333333333333333</v>
      </c>
      <c r="AD32" s="416">
        <v>1.0</v>
      </c>
      <c r="AE32" s="483">
        <v>0.5333333333333333</v>
      </c>
      <c r="AF32" s="416">
        <v>1.0</v>
      </c>
      <c r="AG32" s="483">
        <v>0.5333333333333333</v>
      </c>
      <c r="AH32" s="416">
        <v>0.0</v>
      </c>
      <c r="AI32" s="483">
        <v>0.5333333333333333</v>
      </c>
      <c r="AJ32" s="416">
        <v>2.0</v>
      </c>
      <c r="AK32" s="483">
        <v>0.5333333333333333</v>
      </c>
      <c r="AL32" s="416">
        <v>1.0</v>
      </c>
      <c r="AM32" s="483">
        <v>0.5333333333333333</v>
      </c>
      <c r="AN32" s="496"/>
      <c r="AO32" s="483">
        <v>0.5333333333333333</v>
      </c>
      <c r="AP32" s="496"/>
      <c r="AQ32" s="255">
        <f t="shared" ref="AQ32:AR32" si="84">AC32+AE32+AG32+AI32+AK32+AM32+AO32</f>
        <v>3.733333333</v>
      </c>
      <c r="AR32" s="486">
        <f t="shared" si="84"/>
        <v>5</v>
      </c>
      <c r="AS32" s="253">
        <f t="shared" si="51"/>
        <v>1.339285714</v>
      </c>
      <c r="AT32" s="427" t="str">
        <f>IFERROR(__xludf.DUMMYFUNCTION("IFERROR(SPARKLINE(AS32,{""charttype"",""bar"";""color1"",IF(AS32&gt;='Апрель'!green_percent,'Апрель'!green,IF(AS32&gt;='Апрель'!yellow_percent,'Апрель'!yellow,IF(AS32&gt;='Апрель'!orange_percent,'Апрель'!orange,'Апрель'!red)));""max"",1}))"),"")</f>
        <v/>
      </c>
      <c r="AU32" s="483">
        <v>0.5333333333333333</v>
      </c>
      <c r="AV32" s="416"/>
      <c r="AW32" s="483">
        <v>0.5333333333333333</v>
      </c>
      <c r="AX32" s="416">
        <v>2.0</v>
      </c>
      <c r="AY32" s="483">
        <v>0.5333333333333333</v>
      </c>
      <c r="AZ32" s="416">
        <v>0.0</v>
      </c>
      <c r="BA32" s="483">
        <v>0.5333333333333333</v>
      </c>
      <c r="BB32" s="416">
        <v>0.0</v>
      </c>
      <c r="BC32" s="483">
        <v>0.5333333333333333</v>
      </c>
      <c r="BD32" s="416">
        <v>0.0</v>
      </c>
      <c r="BE32" s="483">
        <v>0.5333333333333333</v>
      </c>
      <c r="BF32" s="416">
        <v>0.0</v>
      </c>
      <c r="BG32" s="483">
        <v>0.5333333333333333</v>
      </c>
      <c r="BH32" s="416">
        <v>0.0</v>
      </c>
      <c r="BI32" s="255">
        <v>3.733333333333333</v>
      </c>
      <c r="BJ32" s="486">
        <f>AV32+AX32+AZ32+BB32+BD32+BF32+BH32</f>
        <v>2</v>
      </c>
      <c r="BK32" s="429">
        <f t="shared" si="53"/>
        <v>0.5357142857</v>
      </c>
      <c r="BL32" s="430" t="str">
        <f>IFERROR(__xludf.DUMMYFUNCTION("IFERROR(SPARKLINE(BK32,{""charttype"",""bar"";""color1"",IF(BK32&gt;='Апрель'!green_percent,'Апрель'!green,IF(BK32&gt;='Апрель'!yellow_percent,'Апрель'!yellow,IF(BK32&gt;='Апрель'!orange_percent,'Апрель'!orange,'Апрель'!red)));""max"",1}))"),"")</f>
        <v/>
      </c>
      <c r="BM32" s="483">
        <v>0.5333333333333333</v>
      </c>
      <c r="BN32" s="487">
        <v>1.0</v>
      </c>
      <c r="BO32" s="483">
        <v>0.5333333333333333</v>
      </c>
      <c r="BP32" s="487">
        <v>2.0</v>
      </c>
      <c r="BQ32" s="483">
        <v>0.5333333333333333</v>
      </c>
      <c r="BR32" s="487">
        <v>0.0</v>
      </c>
      <c r="BS32" s="483">
        <v>0.5333333333333333</v>
      </c>
      <c r="BT32" s="487">
        <v>1.0</v>
      </c>
      <c r="BU32" s="483">
        <v>0.5333333333333333</v>
      </c>
      <c r="BV32" s="487">
        <v>3.0</v>
      </c>
      <c r="BW32" s="483">
        <v>0.5333333333333333</v>
      </c>
      <c r="BX32" s="487">
        <v>0.0</v>
      </c>
      <c r="BY32" s="483">
        <v>0.5333333333333333</v>
      </c>
      <c r="BZ32" s="487">
        <v>0.0</v>
      </c>
      <c r="CA32" s="255">
        <v>3.733333333333333</v>
      </c>
      <c r="CB32" s="486">
        <f>BN32+BP32+BR32+BT32+BV32+BX32+BZ32</f>
        <v>7</v>
      </c>
      <c r="CC32" s="429">
        <f t="shared" si="55"/>
        <v>1.875</v>
      </c>
      <c r="CD32" s="430" t="str">
        <f>IFERROR(__xludf.DUMMYFUNCTION("IFERROR(SPARKLINE(CC32,{""charttype"",""bar"";""color1"",IF(CC32&gt;='Апрель'!green_percent,'Апрель'!green,IF(CC32&gt;='Апрель'!yellow_percent,'Апрель'!yellow,IF(CC32&gt;='Апрель'!orange_percent,'Апрель'!orange,'Апрель'!red)));""max"",1}))"),"")</f>
        <v/>
      </c>
      <c r="CE32" s="483">
        <v>0.5333333333333333</v>
      </c>
      <c r="CF32" s="435">
        <v>1.0</v>
      </c>
      <c r="CG32" s="483">
        <v>0.5333333333333333</v>
      </c>
      <c r="CH32" s="435"/>
      <c r="CI32" s="483">
        <v>0.5333333333333333</v>
      </c>
      <c r="CJ32" s="435">
        <v>0.0</v>
      </c>
      <c r="CK32" s="483">
        <v>0.5333333333333333</v>
      </c>
      <c r="CL32" s="435">
        <v>0.0</v>
      </c>
      <c r="CM32" s="488"/>
      <c r="CN32" s="435"/>
      <c r="CO32" s="488"/>
      <c r="CP32" s="435"/>
      <c r="CQ32" s="488"/>
      <c r="CR32" s="435"/>
      <c r="CS32" s="257">
        <f t="shared" ref="CS32:CT32" si="85">CE32+CG32+CI32+CK32</f>
        <v>2.133333333</v>
      </c>
      <c r="CT32" s="486">
        <f t="shared" si="85"/>
        <v>1</v>
      </c>
      <c r="CU32" s="207">
        <f t="shared" si="11"/>
        <v>0.46875</v>
      </c>
      <c r="CV32" s="208" t="str">
        <f>IFERROR(__xludf.DUMMYFUNCTION("IFERROR(SPARKLINE(CU32,{""charttype"",""bar"";""color1"",IF(CU32&gt;='Апрель'!green_percent,'Апрель'!green,IF(CU32&gt;='Апрель'!yellow_percent,'Апрель'!yellow,IF(CU32&gt;='Апрель'!orange_percent,'Апрель'!orange,'Апрель'!red)));""max"",1}))"),"")</f>
        <v/>
      </c>
      <c r="CW32" s="489"/>
      <c r="CX32" s="438"/>
      <c r="CY32" s="490"/>
      <c r="CZ32" s="523"/>
      <c r="DA32" s="523"/>
      <c r="DB32" s="523"/>
      <c r="DC32" s="523"/>
      <c r="DD32" s="523"/>
      <c r="DE32" s="523"/>
      <c r="DF32" s="523"/>
      <c r="DG32" s="523"/>
      <c r="DH32" s="523"/>
      <c r="DI32" s="523"/>
      <c r="DJ32" s="523"/>
      <c r="DK32" s="491"/>
      <c r="DL32" s="524"/>
      <c r="DM32" s="525"/>
      <c r="DN32" s="494"/>
      <c r="DO32" s="446"/>
      <c r="DP32" s="447"/>
    </row>
    <row r="33">
      <c r="A33" s="215"/>
      <c r="B33" s="269" t="s">
        <v>38</v>
      </c>
      <c r="C33" s="217"/>
      <c r="D33" s="217"/>
      <c r="E33" s="218"/>
      <c r="F33" s="220">
        <f t="shared" ref="F33:G33" si="86">F32/F29</f>
        <v>0.8</v>
      </c>
      <c r="G33" s="220">
        <f t="shared" si="86"/>
        <v>0.7619047619</v>
      </c>
      <c r="H33" s="220">
        <f t="shared" si="45"/>
        <v>0.9523809524</v>
      </c>
      <c r="I33" s="449" t="str">
        <f>IFERROR(__xludf.DUMMYFUNCTION("IFERROR(SPARKLINE(H33,{""charttype"",""bar"";""color1"",IF(H33&gt;='Апрель'!green_percent,'Апрель'!green,IF(H33&gt;='Апрель'!yellow_percent,'Апрель'!yellow,IF(H33&gt;='Апрель'!orange_percent,'Апрель'!orange,'Апрель'!red)));""max"",1}))"),"")</f>
        <v/>
      </c>
      <c r="J33" s="237"/>
      <c r="K33" s="513"/>
      <c r="L33" s="496"/>
      <c r="M33" s="515"/>
      <c r="N33" s="418"/>
      <c r="O33" s="515">
        <f>O32/O29</f>
        <v>0.8266666667</v>
      </c>
      <c r="P33" s="416"/>
      <c r="Q33" s="515">
        <v>0.8266666666666667</v>
      </c>
      <c r="R33" s="416"/>
      <c r="S33" s="518">
        <v>0.8266666666666667</v>
      </c>
      <c r="T33" s="517">
        <f>T32/T29</f>
        <v>1</v>
      </c>
      <c r="U33" s="518">
        <v>0.8266666666666667</v>
      </c>
      <c r="V33" s="416"/>
      <c r="W33" s="519">
        <v>0.8266666666666667</v>
      </c>
      <c r="X33" s="520"/>
      <c r="Y33" s="348">
        <f t="shared" ref="Y33:Z33" si="87">Y32/Y29</f>
        <v>0.8266666667</v>
      </c>
      <c r="Z33" s="279">
        <f t="shared" si="87"/>
        <v>1</v>
      </c>
      <c r="AA33" s="220">
        <f t="shared" si="49"/>
        <v>1.209677419</v>
      </c>
      <c r="AB33" s="458" t="str">
        <f>IFERROR(__xludf.DUMMYFUNCTION("IFERROR(SPARKLINE(AA33,{""charttype"",""bar"";""color1"",IF(AA33&gt;='Апрель'!green_percent,'Апрель'!green,IF(AA33&gt;='Апрель'!yellow_percent,'Апрель'!yellow,IF(AA33&gt;='Апрель'!orange_percent,'Апрель'!orange,'Апрель'!red)));""max"",1}))"),"")</f>
        <v/>
      </c>
      <c r="AC33" s="518">
        <v>0.8266666666666667</v>
      </c>
      <c r="AD33" s="514">
        <f>AD32/AD29</f>
        <v>1</v>
      </c>
      <c r="AE33" s="518">
        <v>0.8266666666666667</v>
      </c>
      <c r="AF33" s="514">
        <f>AF32/AF29</f>
        <v>1</v>
      </c>
      <c r="AG33" s="518">
        <v>0.8266666666666667</v>
      </c>
      <c r="AH33" s="496"/>
      <c r="AI33" s="518">
        <v>0.8266666666666667</v>
      </c>
      <c r="AJ33" s="514">
        <f>AJ32/AJ29</f>
        <v>1</v>
      </c>
      <c r="AK33" s="518">
        <v>0.8266666666666667</v>
      </c>
      <c r="AL33" s="514">
        <f>AL32/AL29</f>
        <v>1</v>
      </c>
      <c r="AM33" s="518">
        <v>0.8266666666666667</v>
      </c>
      <c r="AN33" s="496"/>
      <c r="AO33" s="518">
        <v>0.8266666666666667</v>
      </c>
      <c r="AP33" s="496"/>
      <c r="AQ33" s="348">
        <f t="shared" ref="AQ33:AR33" si="88">AQ32/AQ29</f>
        <v>0.8266666667</v>
      </c>
      <c r="AR33" s="279">
        <f t="shared" si="88"/>
        <v>1</v>
      </c>
      <c r="AS33" s="279">
        <f t="shared" si="51"/>
        <v>1.209677419</v>
      </c>
      <c r="AT33" s="462" t="str">
        <f>IFERROR(__xludf.DUMMYFUNCTION("IFERROR(SPARKLINE(AS33,{""charttype"",""bar"";""color1"",IF(AS33&gt;='Апрель'!green_percent,'Апрель'!green,IF(AS33&gt;='Апрель'!yellow_percent,'Апрель'!yellow,IF(AS33&gt;='Апрель'!orange_percent,'Апрель'!orange,'Апрель'!red)));""max"",1}))"),"")</f>
        <v/>
      </c>
      <c r="AU33" s="518">
        <v>0.8266666666666667</v>
      </c>
      <c r="AV33" s="416"/>
      <c r="AW33" s="518">
        <v>0.8266666666666667</v>
      </c>
      <c r="AX33" s="517">
        <f>AX32/AX29</f>
        <v>1</v>
      </c>
      <c r="AY33" s="518">
        <v>0.8266666666666667</v>
      </c>
      <c r="AZ33" s="416"/>
      <c r="BA33" s="518">
        <v>0.8266666666666667</v>
      </c>
      <c r="BB33" s="416"/>
      <c r="BC33" s="518">
        <v>0.8266666666666667</v>
      </c>
      <c r="BD33" s="416"/>
      <c r="BE33" s="518">
        <v>0.8266666666666667</v>
      </c>
      <c r="BF33" s="416"/>
      <c r="BG33" s="518">
        <v>0.8266666666666667</v>
      </c>
      <c r="BH33" s="416"/>
      <c r="BI33" s="348">
        <v>0.8266666666666667</v>
      </c>
      <c r="BJ33" s="279">
        <f>BJ32/BJ29</f>
        <v>0.5</v>
      </c>
      <c r="BK33" s="376">
        <f t="shared" si="53"/>
        <v>0.6048387097</v>
      </c>
      <c r="BL33" s="377" t="str">
        <f>IFERROR(__xludf.DUMMYFUNCTION("IFERROR(SPARKLINE(BK33,{""charttype"",""bar"";""color1"",IF(BK33&gt;='Апрель'!green_percent,'Апрель'!green,IF(BK33&gt;='Апрель'!yellow_percent,'Апрель'!yellow,IF(BK33&gt;='Апрель'!orange_percent,'Апрель'!orange,'Апрель'!red)));""max"",1}))"),"")</f>
        <v/>
      </c>
      <c r="BM33" s="518">
        <v>0.8266666666666667</v>
      </c>
      <c r="BN33" s="532">
        <f>BN32/BN29</f>
        <v>0.25</v>
      </c>
      <c r="BO33" s="518">
        <v>0.8266666666666667</v>
      </c>
      <c r="BP33" s="532">
        <f>BP32/BP29</f>
        <v>1</v>
      </c>
      <c r="BQ33" s="518">
        <v>0.8266666666666667</v>
      </c>
      <c r="BR33" s="527"/>
      <c r="BS33" s="518">
        <v>0.8266666666666667</v>
      </c>
      <c r="BT33" s="532">
        <f>BT32/BT29</f>
        <v>1</v>
      </c>
      <c r="BU33" s="518">
        <v>0.8266666666666667</v>
      </c>
      <c r="BV33" s="532">
        <f>BV32/BV29</f>
        <v>1</v>
      </c>
      <c r="BW33" s="518">
        <v>0.8266666666666667</v>
      </c>
      <c r="BX33" s="527"/>
      <c r="BY33" s="518">
        <v>0.8266666666666667</v>
      </c>
      <c r="BZ33" s="527"/>
      <c r="CA33" s="348">
        <v>0.8266666666666667</v>
      </c>
      <c r="CB33" s="279">
        <f>CB32/CB29</f>
        <v>0.7</v>
      </c>
      <c r="CC33" s="376">
        <f t="shared" si="55"/>
        <v>0.8467741935</v>
      </c>
      <c r="CD33" s="377" t="str">
        <f>IFERROR(__xludf.DUMMYFUNCTION("IFERROR(SPARKLINE(CC33,{""charttype"",""bar"";""color1"",IF(CC33&gt;='Апрель'!green_percent,'Апрель'!green,IF(CC33&gt;='Апрель'!yellow_percent,'Апрель'!yellow,IF(CC33&gt;='Апрель'!orange_percent,'Апрель'!orange,'Апрель'!red)));""max"",1}))"),"")</f>
        <v/>
      </c>
      <c r="CE33" s="518">
        <v>0.8266666666666667</v>
      </c>
      <c r="CF33" s="533">
        <f>CF32/CF29</f>
        <v>1</v>
      </c>
      <c r="CG33" s="518">
        <v>0.8266666666666667</v>
      </c>
      <c r="CH33" s="505"/>
      <c r="CI33" s="518">
        <v>0.8266666666666667</v>
      </c>
      <c r="CJ33" s="505"/>
      <c r="CK33" s="518">
        <v>0.8266666666666667</v>
      </c>
      <c r="CL33" s="505"/>
      <c r="CM33" s="488"/>
      <c r="CN33" s="505"/>
      <c r="CO33" s="488"/>
      <c r="CP33" s="505"/>
      <c r="CQ33" s="488"/>
      <c r="CR33" s="505"/>
      <c r="CS33" s="348">
        <f t="shared" ref="CS33:CT33" si="89">CS32/CS29</f>
        <v>0.8266666667</v>
      </c>
      <c r="CT33" s="279">
        <f t="shared" si="89"/>
        <v>1</v>
      </c>
      <c r="CU33" s="469">
        <f t="shared" si="11"/>
        <v>1.209677419</v>
      </c>
      <c r="CV33" s="470" t="str">
        <f>IFERROR(__xludf.DUMMYFUNCTION("IFERROR(SPARKLINE(CU33,{""charttype"",""bar"";""color1"",IF(CU33&gt;='Апрель'!green_percent,'Апрель'!green,IF(CU33&gt;='Апрель'!yellow_percent,'Апрель'!yellow,IF(CU33&gt;='Апрель'!orange_percent,'Апрель'!orange,'Апрель'!red)));""max"",1}))"),"")</f>
        <v/>
      </c>
      <c r="CW33" s="489"/>
      <c r="CX33" s="400"/>
      <c r="CY33" s="490"/>
      <c r="CZ33" s="506"/>
      <c r="DA33" s="506"/>
      <c r="DB33" s="506"/>
      <c r="DC33" s="506"/>
      <c r="DD33" s="506"/>
      <c r="DE33" s="506"/>
      <c r="DF33" s="506"/>
      <c r="DG33" s="506"/>
      <c r="DH33" s="506"/>
      <c r="DI33" s="506"/>
      <c r="DJ33" s="506"/>
      <c r="DK33" s="507"/>
      <c r="DL33" s="508"/>
      <c r="DM33" s="509"/>
      <c r="DN33" s="510"/>
      <c r="DO33" s="511"/>
      <c r="DP33" s="512"/>
    </row>
    <row r="34">
      <c r="A34" s="240"/>
      <c r="B34" s="410" t="s">
        <v>26</v>
      </c>
      <c r="C34" s="242"/>
      <c r="D34" s="242"/>
      <c r="E34" s="243"/>
      <c r="F34" s="244">
        <v>1.0</v>
      </c>
      <c r="G34" s="244">
        <f t="shared" ref="G34:G35" si="93">Z34+AR34+BJ34+CB34+CT34</f>
        <v>0</v>
      </c>
      <c r="H34" s="412">
        <f t="shared" si="45"/>
        <v>0</v>
      </c>
      <c r="I34" s="413" t="str">
        <f>IFERROR(__xludf.DUMMYFUNCTION("IFERROR(SPARKLINE(H34,{""charttype"",""bar"";""color1"",IF(H34&gt;='Апрель'!green_percent,'Апрель'!green,IF(H34&gt;='Апрель'!yellow_percent,'Апрель'!yellow,IF(H34&gt;='Апрель'!orange_percent,'Апрель'!orange,'Апрель'!red)));""max"",1}))"),"")</f>
        <v/>
      </c>
      <c r="J34" s="414"/>
      <c r="K34" s="482"/>
      <c r="L34" s="416"/>
      <c r="M34" s="483"/>
      <c r="N34" s="418"/>
      <c r="O34" s="483">
        <f>F34/31</f>
        <v>0.03225806452</v>
      </c>
      <c r="P34" s="416">
        <v>0.0</v>
      </c>
      <c r="Q34" s="483">
        <v>0.03225806451612903</v>
      </c>
      <c r="R34" s="416">
        <v>0.0</v>
      </c>
      <c r="S34" s="484">
        <v>0.03225806451612903</v>
      </c>
      <c r="T34" s="416">
        <v>0.0</v>
      </c>
      <c r="U34" s="484">
        <v>0.03225806451612903</v>
      </c>
      <c r="V34" s="416">
        <v>0.0</v>
      </c>
      <c r="W34" s="485">
        <v>0.03225806451612903</v>
      </c>
      <c r="X34" s="418">
        <v>0.0</v>
      </c>
      <c r="Y34" s="531">
        <f t="shared" ref="Y34:Z34" si="90">O34+Q34+S34+U34+W34</f>
        <v>0.1612903226</v>
      </c>
      <c r="Z34" s="534">
        <f t="shared" si="90"/>
        <v>0</v>
      </c>
      <c r="AA34" s="412">
        <f t="shared" si="49"/>
        <v>0</v>
      </c>
      <c r="AB34" s="424" t="str">
        <f>IFERROR(__xludf.DUMMYFUNCTION("IFERROR(SPARKLINE(AA34,{""charttype"",""bar"";""color1"",IF(AA34&gt;='Апрель'!green_percent,'Апрель'!green,IF(AA34&gt;='Апрель'!yellow_percent,'Апрель'!yellow,IF(AA34&gt;='Апрель'!orange_percent,'Апрель'!orange,'Апрель'!red)));""max"",1}))"),"")</f>
        <v/>
      </c>
      <c r="AC34" s="483">
        <v>0.03225806451612903</v>
      </c>
      <c r="AD34" s="416">
        <v>0.0</v>
      </c>
      <c r="AE34" s="483">
        <v>0.03225806451612903</v>
      </c>
      <c r="AF34" s="416">
        <v>0.0</v>
      </c>
      <c r="AG34" s="483">
        <v>0.03225806451612903</v>
      </c>
      <c r="AH34" s="496"/>
      <c r="AI34" s="483">
        <v>0.03225806451612903</v>
      </c>
      <c r="AJ34" s="416">
        <v>0.0</v>
      </c>
      <c r="AK34" s="483">
        <v>0.03225806451612903</v>
      </c>
      <c r="AL34" s="416">
        <v>0.0</v>
      </c>
      <c r="AM34" s="483">
        <v>0.03225806451612903</v>
      </c>
      <c r="AN34" s="496"/>
      <c r="AO34" s="483">
        <v>0.03225806451612903</v>
      </c>
      <c r="AP34" s="496"/>
      <c r="AQ34" s="535">
        <f t="shared" ref="AQ34:AR34" si="91">AC34+AE34+AG34+AI34+AK34+AM34+AO34</f>
        <v>0.2258064516</v>
      </c>
      <c r="AR34" s="486">
        <f t="shared" si="91"/>
        <v>0</v>
      </c>
      <c r="AS34" s="253">
        <f t="shared" si="51"/>
        <v>0</v>
      </c>
      <c r="AT34" s="427" t="str">
        <f>IFERROR(__xludf.DUMMYFUNCTION("IFERROR(SPARKLINE(AS34,{""charttype"",""bar"";""color1"",IF(AS34&gt;='Апрель'!green_percent,'Апрель'!green,IF(AS34&gt;='Апрель'!yellow_percent,'Апрель'!yellow,IF(AS34&gt;='Апрель'!orange_percent,'Апрель'!orange,'Апрель'!red)));""max"",1}))"),"")</f>
        <v/>
      </c>
      <c r="AU34" s="483">
        <v>0.03225806451612903</v>
      </c>
      <c r="AV34" s="416"/>
      <c r="AW34" s="483">
        <v>0.03225806451612903</v>
      </c>
      <c r="AX34" s="416">
        <v>0.0</v>
      </c>
      <c r="AY34" s="483">
        <v>0.03225806451612903</v>
      </c>
      <c r="AZ34" s="416"/>
      <c r="BA34" s="483">
        <v>0.03225806451612903</v>
      </c>
      <c r="BB34" s="416">
        <v>0.0</v>
      </c>
      <c r="BC34" s="483">
        <v>0.03225806451612903</v>
      </c>
      <c r="BD34" s="416">
        <v>0.0</v>
      </c>
      <c r="BE34" s="483">
        <v>0.03225806451612903</v>
      </c>
      <c r="BF34" s="416">
        <v>0.0</v>
      </c>
      <c r="BG34" s="483">
        <v>0.03225806451612903</v>
      </c>
      <c r="BH34" s="416">
        <v>0.0</v>
      </c>
      <c r="BI34" s="535">
        <v>0.22580645161290322</v>
      </c>
      <c r="BJ34" s="486">
        <f t="shared" ref="BJ34:BJ35" si="96">AV34+AX34+AZ34+BB34+BD34+BF34+BH34</f>
        <v>0</v>
      </c>
      <c r="BK34" s="429">
        <f t="shared" si="53"/>
        <v>0</v>
      </c>
      <c r="BL34" s="430" t="str">
        <f>IFERROR(__xludf.DUMMYFUNCTION("IFERROR(SPARKLINE(BK34,{""charttype"",""bar"";""color1"",IF(BK34&gt;='Апрель'!green_percent,'Апрель'!green,IF(BK34&gt;='Апрель'!yellow_percent,'Апрель'!yellow,IF(BK34&gt;='Апрель'!orange_percent,'Апрель'!orange,'Апрель'!red)));""max"",1}))"),"")</f>
        <v/>
      </c>
      <c r="BM34" s="483">
        <v>0.03225806451612903</v>
      </c>
      <c r="BN34" s="487">
        <v>0.0</v>
      </c>
      <c r="BO34" s="483">
        <v>0.03225806451612903</v>
      </c>
      <c r="BP34" s="487">
        <v>0.0</v>
      </c>
      <c r="BQ34" s="483">
        <v>0.03225806451612903</v>
      </c>
      <c r="BR34" s="487">
        <v>0.0</v>
      </c>
      <c r="BS34" s="483">
        <v>0.03225806451612903</v>
      </c>
      <c r="BT34" s="487">
        <v>0.0</v>
      </c>
      <c r="BU34" s="483">
        <v>0.03225806451612903</v>
      </c>
      <c r="BV34" s="487">
        <v>0.0</v>
      </c>
      <c r="BW34" s="483">
        <v>0.03225806451612903</v>
      </c>
      <c r="BX34" s="487">
        <v>0.0</v>
      </c>
      <c r="BY34" s="483">
        <v>0.03225806451612903</v>
      </c>
      <c r="BZ34" s="487">
        <v>0.0</v>
      </c>
      <c r="CA34" s="535">
        <v>0.22580645161290322</v>
      </c>
      <c r="CB34" s="486">
        <f t="shared" ref="CB34:CB35" si="97">BN34+BP34+BR34+BT34+BV34+BX34+BZ34</f>
        <v>0</v>
      </c>
      <c r="CC34" s="429">
        <f t="shared" si="55"/>
        <v>0</v>
      </c>
      <c r="CD34" s="430" t="str">
        <f>IFERROR(__xludf.DUMMYFUNCTION("IFERROR(SPARKLINE(CC34,{""charttype"",""bar"";""color1"",IF(CC34&gt;='Апрель'!green_percent,'Апрель'!green,IF(CC34&gt;='Апрель'!yellow_percent,'Апрель'!yellow,IF(CC34&gt;='Апрель'!orange_percent,'Апрель'!orange,'Апрель'!red)));""max"",1}))"),"")</f>
        <v/>
      </c>
      <c r="CE34" s="483">
        <v>0.03225806451612903</v>
      </c>
      <c r="CF34" s="435">
        <v>0.0</v>
      </c>
      <c r="CG34" s="483">
        <v>0.03225806451612903</v>
      </c>
      <c r="CH34" s="435"/>
      <c r="CI34" s="483">
        <v>0.03225806451612903</v>
      </c>
      <c r="CJ34" s="435">
        <v>0.0</v>
      </c>
      <c r="CK34" s="483">
        <v>0.03225806451612903</v>
      </c>
      <c r="CL34" s="435">
        <v>0.0</v>
      </c>
      <c r="CM34" s="488"/>
      <c r="CN34" s="435"/>
      <c r="CO34" s="488"/>
      <c r="CP34" s="435"/>
      <c r="CQ34" s="488"/>
      <c r="CR34" s="435"/>
      <c r="CS34" s="257">
        <f t="shared" ref="CS34:CT34" si="92">CE34+CG34+CI34+CK34</f>
        <v>0.1290322581</v>
      </c>
      <c r="CT34" s="486">
        <f t="shared" si="92"/>
        <v>0</v>
      </c>
      <c r="CU34" s="207">
        <f t="shared" si="11"/>
        <v>0</v>
      </c>
      <c r="CV34" s="208" t="str">
        <f>IFERROR(__xludf.DUMMYFUNCTION("IFERROR(SPARKLINE(CU34,{""charttype"",""bar"";""color1"",IF(CU34&gt;='Апрель'!green_percent,'Апрель'!green,IF(CU34&gt;='Апрель'!yellow_percent,'Апрель'!yellow,IF(CU34&gt;='Апрель'!orange_percent,'Апрель'!orange,'Апрель'!red)));""max"",1}))"),"")</f>
        <v/>
      </c>
      <c r="CW34" s="489"/>
      <c r="CX34" s="438"/>
      <c r="CY34" s="490"/>
      <c r="CZ34" s="523"/>
      <c r="DA34" s="523"/>
      <c r="DB34" s="523"/>
      <c r="DC34" s="523"/>
      <c r="DD34" s="523"/>
      <c r="DE34" s="523"/>
      <c r="DF34" s="523"/>
      <c r="DG34" s="523"/>
      <c r="DH34" s="523"/>
      <c r="DI34" s="523"/>
      <c r="DJ34" s="523"/>
      <c r="DK34" s="491"/>
      <c r="DL34" s="524"/>
      <c r="DM34" s="525"/>
      <c r="DN34" s="494"/>
      <c r="DO34" s="446"/>
      <c r="DP34" s="447"/>
    </row>
    <row r="35">
      <c r="A35" s="215"/>
      <c r="B35" s="269" t="s">
        <v>39</v>
      </c>
      <c r="C35" s="217"/>
      <c r="D35" s="217"/>
      <c r="E35" s="218"/>
      <c r="F35" s="270">
        <v>200000.0</v>
      </c>
      <c r="G35" s="270">
        <f t="shared" si="93"/>
        <v>0</v>
      </c>
      <c r="H35" s="220">
        <f t="shared" si="45"/>
        <v>0</v>
      </c>
      <c r="I35" s="449" t="str">
        <f>IFERROR(__xludf.DUMMYFUNCTION("IFERROR(SPARKLINE(H35,{""charttype"",""bar"";""color1"",IF(H35&gt;='Апрель'!green_percent,'Апрель'!green,IF(H35&gt;='Апрель'!yellow_percent,'Апрель'!yellow,IF(H35&gt;='Апрель'!orange_percent,'Апрель'!orange,'Апрель'!red)));""max"",1}))"),"")</f>
        <v/>
      </c>
      <c r="J35" s="237"/>
      <c r="K35" s="536"/>
      <c r="L35" s="420"/>
      <c r="M35" s="497"/>
      <c r="N35" s="422"/>
      <c r="O35" s="497">
        <f>F35/30</f>
        <v>6666.666667</v>
      </c>
      <c r="P35" s="420">
        <v>0.0</v>
      </c>
      <c r="Q35" s="497">
        <v>6666.666666666667</v>
      </c>
      <c r="R35" s="420">
        <v>0.0</v>
      </c>
      <c r="S35" s="419">
        <v>6666.666666666667</v>
      </c>
      <c r="T35" s="420"/>
      <c r="U35" s="419">
        <v>6666.666666666667</v>
      </c>
      <c r="V35" s="420"/>
      <c r="W35" s="421">
        <v>6666.666666666667</v>
      </c>
      <c r="X35" s="498"/>
      <c r="Y35" s="349">
        <f t="shared" ref="Y35:Z35" si="94">O35+Q35+S35+U35+W35</f>
        <v>33333.33333</v>
      </c>
      <c r="Z35" s="464">
        <f t="shared" si="94"/>
        <v>0</v>
      </c>
      <c r="AA35" s="220">
        <f t="shared" si="49"/>
        <v>0</v>
      </c>
      <c r="AB35" s="458" t="str">
        <f>IFERROR(__xludf.DUMMYFUNCTION("IFERROR(SPARKLINE(AA35,{""charttype"",""bar"";""color1"",IF(AA35&gt;='Апрель'!green_percent,'Апрель'!green,IF(AA35&gt;='Апрель'!yellow_percent,'Апрель'!yellow,IF(AA35&gt;='Апрель'!orange_percent,'Апрель'!orange,'Апрель'!red)));""max"",1}))"),"")</f>
        <v/>
      </c>
      <c r="AC35" s="419">
        <v>6666.666666666667</v>
      </c>
      <c r="AD35" s="416">
        <v>0.0</v>
      </c>
      <c r="AE35" s="419">
        <v>6666.666666666667</v>
      </c>
      <c r="AF35" s="416">
        <v>0.0</v>
      </c>
      <c r="AG35" s="419">
        <v>6666.666666666667</v>
      </c>
      <c r="AH35" s="496"/>
      <c r="AI35" s="419">
        <v>6666.666666666667</v>
      </c>
      <c r="AJ35" s="496"/>
      <c r="AK35" s="419">
        <v>6666.666666666667</v>
      </c>
      <c r="AL35" s="496"/>
      <c r="AM35" s="419">
        <v>6666.666666666667</v>
      </c>
      <c r="AN35" s="496"/>
      <c r="AO35" s="419">
        <v>6666.666666666667</v>
      </c>
      <c r="AP35" s="496"/>
      <c r="AQ35" s="277">
        <f t="shared" ref="AQ35:AR35" si="95">AC35+AE35+AG35+AI35+AK35+AM35+AO35</f>
        <v>46666.66667</v>
      </c>
      <c r="AR35" s="499">
        <f t="shared" si="95"/>
        <v>0</v>
      </c>
      <c r="AS35" s="279">
        <f t="shared" si="51"/>
        <v>0</v>
      </c>
      <c r="AT35" s="462" t="str">
        <f>IFERROR(__xludf.DUMMYFUNCTION("IFERROR(SPARKLINE(AS35,{""charttype"",""bar"";""color1"",IF(AS35&gt;='Апрель'!green_percent,'Апрель'!green,IF(AS35&gt;='Апрель'!yellow_percent,'Апрель'!yellow,IF(AS35&gt;='Апрель'!orange_percent,'Апрель'!orange,'Апрель'!red)));""max"",1}))"),"")</f>
        <v/>
      </c>
      <c r="AU35" s="419">
        <v>6666.666666666667</v>
      </c>
      <c r="AV35" s="416"/>
      <c r="AW35" s="419">
        <v>6666.666666666667</v>
      </c>
      <c r="AX35" s="416"/>
      <c r="AY35" s="419">
        <v>6666.666666666667</v>
      </c>
      <c r="AZ35" s="416"/>
      <c r="BA35" s="419">
        <v>6666.666666666667</v>
      </c>
      <c r="BB35" s="416"/>
      <c r="BC35" s="419">
        <v>6666.666666666667</v>
      </c>
      <c r="BD35" s="416"/>
      <c r="BE35" s="419">
        <v>6666.666666666667</v>
      </c>
      <c r="BF35" s="416"/>
      <c r="BG35" s="419">
        <v>6666.666666666667</v>
      </c>
      <c r="BH35" s="416"/>
      <c r="BI35" s="277">
        <v>46666.666666666664</v>
      </c>
      <c r="BJ35" s="499">
        <f t="shared" si="96"/>
        <v>0</v>
      </c>
      <c r="BK35" s="376">
        <f t="shared" si="53"/>
        <v>0</v>
      </c>
      <c r="BL35" s="377" t="str">
        <f>IFERROR(__xludf.DUMMYFUNCTION("IFERROR(SPARKLINE(BK35,{""charttype"",""bar"";""color1"",IF(BK35&gt;='Апрель'!green_percent,'Апрель'!green,IF(BK35&gt;='Апрель'!yellow_percent,'Апрель'!yellow,IF(BK35&gt;='Апрель'!orange_percent,'Апрель'!orange,'Апрель'!red)));""max"",1}))"),"")</f>
        <v/>
      </c>
      <c r="BM35" s="419">
        <v>6666.666666666667</v>
      </c>
      <c r="BN35" s="527"/>
      <c r="BO35" s="419">
        <v>6666.666666666667</v>
      </c>
      <c r="BP35" s="527"/>
      <c r="BQ35" s="419">
        <v>6666.666666666667</v>
      </c>
      <c r="BR35" s="527"/>
      <c r="BS35" s="419">
        <v>6666.666666666667</v>
      </c>
      <c r="BT35" s="527"/>
      <c r="BU35" s="419">
        <v>6666.666666666667</v>
      </c>
      <c r="BV35" s="527"/>
      <c r="BW35" s="419">
        <v>6666.666666666667</v>
      </c>
      <c r="BX35" s="527"/>
      <c r="BY35" s="419">
        <v>6666.666666666667</v>
      </c>
      <c r="BZ35" s="527"/>
      <c r="CA35" s="277">
        <v>46666.666666666664</v>
      </c>
      <c r="CB35" s="499">
        <f t="shared" si="97"/>
        <v>0</v>
      </c>
      <c r="CC35" s="376">
        <f t="shared" si="55"/>
        <v>0</v>
      </c>
      <c r="CD35" s="377" t="str">
        <f>IFERROR(__xludf.DUMMYFUNCTION("IFERROR(SPARKLINE(CC35,{""charttype"",""bar"";""color1"",IF(CC35&gt;='Апрель'!green_percent,'Апрель'!green,IF(CC35&gt;='Апрель'!yellow_percent,'Апрель'!yellow,IF(CC35&gt;='Апрель'!orange_percent,'Апрель'!orange,'Апрель'!red)));""max"",1}))"),"")</f>
        <v/>
      </c>
      <c r="CE35" s="419">
        <v>6666.666666666667</v>
      </c>
      <c r="CF35" s="505"/>
      <c r="CG35" s="419">
        <v>6666.666666666667</v>
      </c>
      <c r="CH35" s="505"/>
      <c r="CI35" s="419">
        <v>6666.666666666667</v>
      </c>
      <c r="CJ35" s="505"/>
      <c r="CK35" s="419">
        <v>6666.666666666667</v>
      </c>
      <c r="CL35" s="505"/>
      <c r="CM35" s="488"/>
      <c r="CN35" s="505"/>
      <c r="CO35" s="488"/>
      <c r="CP35" s="505"/>
      <c r="CQ35" s="488"/>
      <c r="CR35" s="505"/>
      <c r="CS35" s="281">
        <v>26667.0</v>
      </c>
      <c r="CT35" s="464">
        <f>CF35+CH35+CJ35+CL35</f>
        <v>0</v>
      </c>
      <c r="CU35" s="469">
        <f t="shared" si="11"/>
        <v>0</v>
      </c>
      <c r="CV35" s="470" t="str">
        <f>IFERROR(__xludf.DUMMYFUNCTION("IFERROR(SPARKLINE(CU35,{""charttype"",""bar"";""color1"",IF(CU35&gt;='Апрель'!green_percent,'Апрель'!green,IF(CU35&gt;='Апрель'!yellow_percent,'Апрель'!yellow,IF(CU35&gt;='Апрель'!orange_percent,'Апрель'!orange,'Апрель'!red)));""max"",1}))"),"")</f>
        <v/>
      </c>
      <c r="CW35" s="489"/>
      <c r="CX35" s="400"/>
      <c r="CY35" s="490"/>
      <c r="CZ35" s="506"/>
      <c r="DA35" s="506"/>
      <c r="DB35" s="506"/>
      <c r="DC35" s="506"/>
      <c r="DD35" s="506"/>
      <c r="DE35" s="506"/>
      <c r="DF35" s="506"/>
      <c r="DG35" s="506"/>
      <c r="DH35" s="506"/>
      <c r="DI35" s="506"/>
      <c r="DJ35" s="506"/>
      <c r="DK35" s="507"/>
      <c r="DL35" s="508"/>
      <c r="DM35" s="509"/>
      <c r="DN35" s="510"/>
      <c r="DO35" s="511"/>
      <c r="DP35" s="512"/>
    </row>
    <row r="36" ht="19.5" customHeight="1">
      <c r="A36" s="240"/>
      <c r="B36" s="537" t="s">
        <v>40</v>
      </c>
      <c r="C36" s="242"/>
      <c r="D36" s="242"/>
      <c r="E36" s="243"/>
      <c r="F36" s="245">
        <f>F34/F32</f>
        <v>0.0625</v>
      </c>
      <c r="G36" s="245">
        <f>IF(G28=0,0,(G34)/G32)</f>
        <v>0</v>
      </c>
      <c r="H36" s="412">
        <f t="shared" si="45"/>
        <v>0</v>
      </c>
      <c r="I36" s="413" t="str">
        <f>IFERROR(__xludf.DUMMYFUNCTION("IFERROR(SPARKLINE(H36,{""charttype"",""bar"";""color1"",IF(H36&gt;='Апрель'!green_percent,'Апрель'!green,IF(H36&gt;='Апрель'!yellow_percent,'Апрель'!yellow,IF(H36&gt;='Апрель'!orange_percent,'Апрель'!orange,'Апрель'!red)));""max"",1}))"),"")</f>
        <v/>
      </c>
      <c r="J36" s="414"/>
      <c r="K36" s="538"/>
      <c r="L36" s="539"/>
      <c r="M36" s="515"/>
      <c r="N36" s="422"/>
      <c r="O36" s="518">
        <f>O34/O32</f>
        <v>0.06048387097</v>
      </c>
      <c r="P36" s="540"/>
      <c r="Q36" s="515">
        <v>0.06048387096774194</v>
      </c>
      <c r="R36" s="426"/>
      <c r="S36" s="518">
        <v>0.06048387096774194</v>
      </c>
      <c r="T36" s="426"/>
      <c r="U36" s="518">
        <v>0.06048387096774194</v>
      </c>
      <c r="V36" s="426"/>
      <c r="W36" s="519">
        <v>0.06048387096774194</v>
      </c>
      <c r="X36" s="498"/>
      <c r="Y36" s="316">
        <f t="shared" ref="Y36:Z36" si="98">Y34/Y32</f>
        <v>0.06048387097</v>
      </c>
      <c r="Z36" s="253">
        <f t="shared" si="98"/>
        <v>0</v>
      </c>
      <c r="AA36" s="412">
        <f t="shared" si="49"/>
        <v>0</v>
      </c>
      <c r="AB36" s="424" t="str">
        <f>IFERROR(__xludf.DUMMYFUNCTION("IFERROR(SPARKLINE(AA36,{""charttype"",""bar"";""color1"",IF(AA36&gt;='Апрель'!green_percent,'Апрель'!green,IF(AA36&gt;='Апрель'!yellow_percent,'Апрель'!yellow,IF(AA36&gt;='Апрель'!orange_percent,'Апрель'!orange,'Апрель'!red)));""max"",1}))"),"")</f>
        <v/>
      </c>
      <c r="AC36" s="541">
        <v>0.06048387096774194</v>
      </c>
      <c r="AD36" s="540"/>
      <c r="AE36" s="541">
        <v>0.06048387096774194</v>
      </c>
      <c r="AF36" s="540"/>
      <c r="AG36" s="541">
        <v>0.06048387096774194</v>
      </c>
      <c r="AH36" s="540"/>
      <c r="AI36" s="541">
        <v>0.06048387096774194</v>
      </c>
      <c r="AJ36" s="540"/>
      <c r="AK36" s="541">
        <v>0.06048387096774194</v>
      </c>
      <c r="AL36" s="540"/>
      <c r="AM36" s="541">
        <v>0.06048387096774194</v>
      </c>
      <c r="AN36" s="540"/>
      <c r="AO36" s="541">
        <v>0.06048387096774194</v>
      </c>
      <c r="AP36" s="540"/>
      <c r="AQ36" s="316">
        <f t="shared" ref="AQ36:AR36" si="99">AQ34/AQ32</f>
        <v>0.06048387097</v>
      </c>
      <c r="AR36" s="253">
        <f t="shared" si="99"/>
        <v>0</v>
      </c>
      <c r="AS36" s="253">
        <f t="shared" si="51"/>
        <v>0</v>
      </c>
      <c r="AT36" s="427" t="str">
        <f>IFERROR(__xludf.DUMMYFUNCTION("IFERROR(SPARKLINE(AS36,{""charttype"",""bar"";""color1"",IF(AS36&gt;='Апрель'!green_percent,'Апрель'!green,IF(AS36&gt;='Апрель'!yellow_percent,'Апрель'!yellow,IF(AS36&gt;='Апрель'!orange_percent,'Апрель'!orange,'Апрель'!red)));""max"",1}))"),"")</f>
        <v/>
      </c>
      <c r="AU36" s="541">
        <v>0.06048387096774194</v>
      </c>
      <c r="AV36" s="540"/>
      <c r="AW36" s="541">
        <v>0.06048387096774194</v>
      </c>
      <c r="AX36" s="540"/>
      <c r="AY36" s="541">
        <v>0.06048387096774194</v>
      </c>
      <c r="AZ36" s="540"/>
      <c r="BA36" s="541">
        <v>0.06048387096774194</v>
      </c>
      <c r="BB36" s="540"/>
      <c r="BC36" s="541">
        <v>0.06048387096774194</v>
      </c>
      <c r="BD36" s="540"/>
      <c r="BE36" s="541">
        <v>0.06048387096774194</v>
      </c>
      <c r="BF36" s="540"/>
      <c r="BG36" s="541">
        <v>0.06048387096774194</v>
      </c>
      <c r="BH36" s="540"/>
      <c r="BI36" s="518">
        <v>0.06048387096774194</v>
      </c>
      <c r="BJ36" s="542"/>
      <c r="BK36" s="429">
        <f t="shared" si="53"/>
        <v>0</v>
      </c>
      <c r="BL36" s="430" t="str">
        <f>IFERROR(__xludf.DUMMYFUNCTION("IFERROR(SPARKLINE(BK36,{""charttype"",""bar"";""color1"",IF(BK36&gt;='Апрель'!green_percent,'Апрель'!green,IF(BK36&gt;='Апрель'!yellow_percent,'Апрель'!yellow,IF(BK36&gt;='Апрель'!orange_percent,'Апрель'!orange,'Апрель'!red)));""max"",1}))"),"")</f>
        <v/>
      </c>
      <c r="BM36" s="541">
        <v>0.06048387096774194</v>
      </c>
      <c r="BN36" s="540"/>
      <c r="BO36" s="541">
        <v>0.06048387096774194</v>
      </c>
      <c r="BP36" s="540"/>
      <c r="BQ36" s="541">
        <v>0.06048387096774194</v>
      </c>
      <c r="BR36" s="540"/>
      <c r="BS36" s="541">
        <v>0.06048387096774194</v>
      </c>
      <c r="BT36" s="540"/>
      <c r="BU36" s="541">
        <v>0.06048387096774194</v>
      </c>
      <c r="BV36" s="540"/>
      <c r="BW36" s="541">
        <v>0.06048387096774194</v>
      </c>
      <c r="BX36" s="540"/>
      <c r="BY36" s="541">
        <v>0.06048387096774194</v>
      </c>
      <c r="BZ36" s="540"/>
      <c r="CA36" s="518">
        <v>0.06048387096774194</v>
      </c>
      <c r="CB36" s="543">
        <f>CB34/CB32</f>
        <v>0</v>
      </c>
      <c r="CC36" s="429">
        <f t="shared" si="55"/>
        <v>0</v>
      </c>
      <c r="CD36" s="430" t="str">
        <f>IFERROR(__xludf.DUMMYFUNCTION("IFERROR(SPARKLINE(CC36,{""charttype"",""bar"";""color1"",IF(CC36&gt;='Апрель'!green_percent,'Апрель'!green,IF(CC36&gt;='Апрель'!yellow_percent,'Апрель'!yellow,IF(CC36&gt;='Апрель'!orange_percent,'Апрель'!orange,'Апрель'!red)));""max"",1}))"),"")</f>
        <v/>
      </c>
      <c r="CE36" s="541">
        <v>0.06048387096774194</v>
      </c>
      <c r="CF36" s="540"/>
      <c r="CG36" s="541">
        <v>0.06048387096774194</v>
      </c>
      <c r="CH36" s="540"/>
      <c r="CI36" s="541">
        <v>0.06048387096774194</v>
      </c>
      <c r="CJ36" s="540"/>
      <c r="CK36" s="541">
        <v>0.06048387096774194</v>
      </c>
      <c r="CL36" s="540"/>
      <c r="CM36" s="544"/>
      <c r="CN36" s="540"/>
      <c r="CO36" s="544"/>
      <c r="CP36" s="540"/>
      <c r="CQ36" s="544"/>
      <c r="CR36" s="540"/>
      <c r="CS36" s="541">
        <v>0.06048387096774194</v>
      </c>
      <c r="CT36" s="543">
        <f>CT34/CT32</f>
        <v>0</v>
      </c>
      <c r="CU36" s="545" t="str">
        <f>IF(CS36&lt;&gt;0,IF(CT36&gt;CS36*1.04,"Не в плане","В плане"),)</f>
        <v>В плане</v>
      </c>
      <c r="CV36" s="546"/>
      <c r="CW36" s="547"/>
      <c r="CX36" s="542"/>
      <c r="CY36" s="548"/>
      <c r="CZ36" s="540"/>
      <c r="DA36" s="549" t="str">
        <f>$J$36</f>
        <v/>
      </c>
      <c r="DB36" s="540" t="str">
        <f>IFERROR(DB25/DB26,"")</f>
        <v/>
      </c>
      <c r="DC36" s="549" t="str">
        <f>$J$36</f>
        <v/>
      </c>
      <c r="DD36" s="540" t="str">
        <f>IFERROR(DD25/DD26,"")</f>
        <v/>
      </c>
      <c r="DE36" s="549" t="str">
        <f>$J$36</f>
        <v/>
      </c>
      <c r="DF36" s="540" t="str">
        <f>IFERROR(DF25/DF26,"")</f>
        <v/>
      </c>
      <c r="DG36" s="549" t="str">
        <f>$J$36</f>
        <v/>
      </c>
      <c r="DH36" s="540" t="str">
        <f>IFERROR(DH25/DH26,"")</f>
        <v/>
      </c>
      <c r="DI36" s="549" t="str">
        <f>$J$36</f>
        <v/>
      </c>
      <c r="DJ36" s="540" t="str">
        <f>IFERROR(DJ25/DJ26,"")</f>
        <v/>
      </c>
      <c r="DK36" s="550" t="str">
        <f>$J$36</f>
        <v/>
      </c>
      <c r="DL36" s="551" t="str">
        <f>IFERROR(DL25/DL26,"")</f>
        <v/>
      </c>
      <c r="DM36" s="545" t="str">
        <f>IF(DK36&lt;&gt;0,IF(DL36&gt;DK36*1.04,"Не в плане","В плане"),)</f>
        <v/>
      </c>
      <c r="DN36" s="546"/>
      <c r="DO36" s="552"/>
      <c r="DP36" s="553"/>
    </row>
    <row r="37">
      <c r="A37" s="215"/>
      <c r="B37" s="554" t="s">
        <v>27</v>
      </c>
      <c r="C37" s="217"/>
      <c r="D37" s="217"/>
      <c r="E37" s="218"/>
      <c r="F37" s="555">
        <f>F24/F34</f>
        <v>50000</v>
      </c>
      <c r="G37" s="270">
        <f>SUMIFS(O37:DN37,$O$11:$DN$11,"Факт",$O$3:$DN$3,"&gt;"&amp;EOMONTH('Апрель'!date,-1),$O$3:$DN$3,"&lt;="&amp;EOMONTH('Апрель'!date,0))</f>
        <v>0</v>
      </c>
      <c r="H37" s="220">
        <f t="shared" si="45"/>
        <v>0</v>
      </c>
      <c r="I37" s="449" t="str">
        <f>IFERROR(__xludf.DUMMYFUNCTION("IFERROR(SPARKLINE(H37,{""charttype"",""bar"";""color1"",IF(H37&gt;='Апрель'!green_percent,'Апрель'!green,IF(H37&gt;='Апрель'!yellow_percent,'Апрель'!yellow,IF(H37&gt;='Апрель'!orange_percent,'Апрель'!orange,'Апрель'!red)));""max"",1}))"),"")</f>
        <v/>
      </c>
      <c r="J37" s="237"/>
      <c r="K37" s="556"/>
      <c r="L37" s="557"/>
      <c r="M37" s="558"/>
      <c r="N37" s="559"/>
      <c r="O37" s="560">
        <v>50000.0</v>
      </c>
      <c r="P37" s="561"/>
      <c r="Q37" s="560">
        <v>50000.0</v>
      </c>
      <c r="R37" s="561"/>
      <c r="S37" s="560">
        <v>50000.0</v>
      </c>
      <c r="T37" s="561"/>
      <c r="U37" s="560">
        <v>50000.0</v>
      </c>
      <c r="V37" s="561"/>
      <c r="W37" s="560">
        <v>50000.0</v>
      </c>
      <c r="X37" s="562"/>
      <c r="Y37" s="560">
        <v>50000.0</v>
      </c>
      <c r="Z37" s="563">
        <f>P37+R37+T37+V37+X37</f>
        <v>0</v>
      </c>
      <c r="AA37" s="555">
        <f t="shared" si="49"/>
        <v>0</v>
      </c>
      <c r="AB37" s="458" t="str">
        <f>IFERROR(__xludf.DUMMYFUNCTION("IFERROR(SPARKLINE(AA37,{""charttype"",""bar"";""color1"",IF(AA37&gt;='Апрель'!green_percent,'Апрель'!green,IF(AA37&gt;='Апрель'!yellow_percent,'Апрель'!yellow,IF(AA37&gt;='Апрель'!orange_percent,'Апрель'!orange,'Апрель'!red)));""max"",1}))"),"")</f>
        <v/>
      </c>
      <c r="AC37" s="564">
        <v>50000.0</v>
      </c>
      <c r="AD37" s="561"/>
      <c r="AE37" s="564">
        <v>50000.0</v>
      </c>
      <c r="AF37" s="561"/>
      <c r="AG37" s="564">
        <v>50000.0</v>
      </c>
      <c r="AH37" s="561"/>
      <c r="AI37" s="564">
        <v>50000.0</v>
      </c>
      <c r="AJ37" s="561"/>
      <c r="AK37" s="564">
        <v>50000.0</v>
      </c>
      <c r="AL37" s="561"/>
      <c r="AM37" s="564">
        <v>50000.0</v>
      </c>
      <c r="AN37" s="561"/>
      <c r="AO37" s="564">
        <v>50000.0</v>
      </c>
      <c r="AP37" s="561"/>
      <c r="AQ37" s="564">
        <v>50000.0</v>
      </c>
      <c r="AR37" s="563" t="str">
        <f>AR24/AR34</f>
        <v>#DIV/0!</v>
      </c>
      <c r="AS37" s="279" t="str">
        <f t="shared" si="51"/>
        <v/>
      </c>
      <c r="AT37" s="462" t="str">
        <f>IFERROR(__xludf.DUMMYFUNCTION("IFERROR(SPARKLINE(AS37,{""charttype"",""bar"";""color1"",IF(AS37&gt;='Апрель'!green_percent,'Апрель'!green,IF(AS37&gt;='Апрель'!yellow_percent,'Апрель'!yellow,IF(AS37&gt;='Апрель'!orange_percent,'Апрель'!orange,'Апрель'!red)));""max"",1}))"),"")</f>
        <v/>
      </c>
      <c r="AU37" s="564">
        <v>50000.0</v>
      </c>
      <c r="AV37" s="561"/>
      <c r="AW37" s="564">
        <v>50000.0</v>
      </c>
      <c r="AX37" s="561"/>
      <c r="AY37" s="564">
        <v>50000.0</v>
      </c>
      <c r="AZ37" s="561"/>
      <c r="BA37" s="564">
        <v>50000.0</v>
      </c>
      <c r="BB37" s="561"/>
      <c r="BC37" s="564">
        <v>50000.0</v>
      </c>
      <c r="BD37" s="561"/>
      <c r="BE37" s="564">
        <v>50000.0</v>
      </c>
      <c r="BF37" s="561"/>
      <c r="BG37" s="564">
        <v>50000.0</v>
      </c>
      <c r="BH37" s="561"/>
      <c r="BI37" s="565">
        <v>50000.0</v>
      </c>
      <c r="BJ37" s="563">
        <f>AV37+AX37+AZ37+BB37+BD37+BF37+BN37</f>
        <v>0</v>
      </c>
      <c r="BK37" s="376">
        <f t="shared" si="53"/>
        <v>0</v>
      </c>
      <c r="BL37" s="377" t="str">
        <f>IFERROR(__xludf.DUMMYFUNCTION("IFERROR(SPARKLINE(BK37,{""charttype"",""bar"";""color1"",IF(BK37&gt;='Апрель'!green_percent,'Апрель'!green,IF(BK37&gt;='Апрель'!yellow_percent,'Апрель'!yellow,IF(BK37&gt;='Апрель'!orange_percent,'Апрель'!orange,'Апрель'!red)));""max"",1}))"),"")</f>
        <v/>
      </c>
      <c r="BM37" s="564">
        <v>50000.0</v>
      </c>
      <c r="BN37" s="566"/>
      <c r="BO37" s="564">
        <v>50000.0</v>
      </c>
      <c r="BP37" s="566"/>
      <c r="BQ37" s="564">
        <v>50000.0</v>
      </c>
      <c r="BR37" s="566"/>
      <c r="BS37" s="564">
        <v>50000.0</v>
      </c>
      <c r="BT37" s="566"/>
      <c r="BU37" s="564">
        <v>50000.0</v>
      </c>
      <c r="BV37" s="566"/>
      <c r="BW37" s="564">
        <v>50000.0</v>
      </c>
      <c r="BX37" s="566"/>
      <c r="BY37" s="564">
        <v>50000.0</v>
      </c>
      <c r="BZ37" s="566"/>
      <c r="CA37" s="565">
        <v>50000.0</v>
      </c>
      <c r="CB37" s="563" t="str">
        <f>CB24/CB34</f>
        <v>#DIV/0!</v>
      </c>
      <c r="CC37" s="376" t="str">
        <f t="shared" si="55"/>
        <v/>
      </c>
      <c r="CD37" s="377" t="str">
        <f>IFERROR(__xludf.DUMMYFUNCTION("IFERROR(SPARKLINE(CC37,{""charttype"",""bar"";""color1"",IF(CC37&gt;='Апрель'!green_percent,'Апрель'!green,IF(CC37&gt;='Апрель'!yellow_percent,'Апрель'!yellow,IF(CC37&gt;='Апрель'!orange_percent,'Апрель'!orange,'Апрель'!red)));""max"",1}))"),"")</f>
        <v/>
      </c>
      <c r="CE37" s="564">
        <v>50000.0</v>
      </c>
      <c r="CF37" s="561"/>
      <c r="CG37" s="564">
        <v>50000.0</v>
      </c>
      <c r="CH37" s="561"/>
      <c r="CI37" s="564">
        <v>50000.0</v>
      </c>
      <c r="CJ37" s="561"/>
      <c r="CK37" s="564">
        <v>50000.0</v>
      </c>
      <c r="CL37" s="561"/>
      <c r="CM37" s="544"/>
      <c r="CN37" s="561"/>
      <c r="CO37" s="544"/>
      <c r="CP37" s="561"/>
      <c r="CQ37" s="544"/>
      <c r="CR37" s="561"/>
      <c r="CS37" s="564">
        <v>50000.0</v>
      </c>
      <c r="CT37" s="567">
        <f>CF37+CH37+CJ37+CL37+CN37+CP37+CX37</f>
        <v>0</v>
      </c>
      <c r="CU37" s="568">
        <f>IFERROR(CT37/CS37,"")</f>
        <v>0</v>
      </c>
      <c r="CV37" s="569" t="str">
        <f>IFERROR(__xludf.DUMMYFUNCTION("IFERROR(SPARKLINE(CU37,{""charttype"",""bar"";""color1"",IF(CU37&gt;='Апрель'!green_percent,'Апрель'!green,IF(CU37&gt;='Апрель'!yellow_percent,'Апрель'!yellow,IF(CU37&gt;='Апрель'!orange_percent,'Апрель'!orange,'Апрель'!red)));""max"",1}))"),"")</f>
        <v/>
      </c>
      <c r="CW37" s="547"/>
      <c r="CX37" s="555"/>
      <c r="CY37" s="570"/>
      <c r="CZ37" s="571"/>
      <c r="DA37" s="572"/>
      <c r="DB37" s="571"/>
      <c r="DC37" s="572"/>
      <c r="DD37" s="571"/>
      <c r="DE37" s="572"/>
      <c r="DF37" s="571"/>
      <c r="DG37" s="572"/>
      <c r="DH37" s="571"/>
      <c r="DI37" s="572"/>
      <c r="DJ37" s="571"/>
      <c r="DK37" s="573">
        <f>CW37+CY37+DA37+DC37+DE37+DG37+DI37</f>
        <v>0</v>
      </c>
      <c r="DL37" s="574">
        <f>CX37+CZ37+DB37+DD37+DF37+DH37+DP37</f>
        <v>0</v>
      </c>
      <c r="DM37" s="575" t="str">
        <f>IFERROR(DL37/DK37,"")</f>
        <v/>
      </c>
      <c r="DN37" s="576" t="str">
        <f>IFERROR(__xludf.DUMMYFUNCTION("IFERROR(SPARKLINE(DM37,{""charttype"",""bar"";""color1"",IF(DM37&gt;='Апрель'!green_percent,'Апрель'!green,IF(DM37&gt;='Апрель'!yellow_percent,'Апрель'!yellow,IF(DM37&gt;='Апрель'!orange_percent,'Апрель'!orange,'Апрель'!red)));""max"",1}))"),"")</f>
        <v/>
      </c>
      <c r="DO37" s="577"/>
      <c r="DP37" s="578"/>
    </row>
    <row r="38">
      <c r="A38" s="240"/>
      <c r="B38" s="579" t="s">
        <v>28</v>
      </c>
      <c r="C38" s="242"/>
      <c r="D38" s="242"/>
      <c r="E38" s="243"/>
      <c r="F38" s="580"/>
      <c r="G38" s="581"/>
      <c r="H38" s="412"/>
      <c r="I38" s="413"/>
      <c r="J38" s="414"/>
      <c r="K38" s="582"/>
      <c r="L38" s="583"/>
      <c r="M38" s="584"/>
      <c r="N38" s="583"/>
      <c r="O38" s="585"/>
      <c r="P38" s="586"/>
      <c r="Q38" s="587"/>
      <c r="R38" s="586"/>
      <c r="S38" s="588"/>
      <c r="T38" s="586"/>
      <c r="U38" s="588"/>
      <c r="V38" s="586"/>
      <c r="W38" s="589"/>
      <c r="X38" s="590"/>
      <c r="Y38" s="591"/>
      <c r="Z38" s="592"/>
      <c r="AA38" s="580"/>
      <c r="AB38" s="424"/>
      <c r="AC38" s="593"/>
      <c r="AD38" s="586"/>
      <c r="AE38" s="593"/>
      <c r="AF38" s="586"/>
      <c r="AG38" s="593"/>
      <c r="AH38" s="586"/>
      <c r="AI38" s="593"/>
      <c r="AJ38" s="586"/>
      <c r="AK38" s="593"/>
      <c r="AL38" s="586"/>
      <c r="AM38" s="593"/>
      <c r="AN38" s="586"/>
      <c r="AO38" s="593"/>
      <c r="AP38" s="586"/>
      <c r="AQ38" s="591"/>
      <c r="AR38" s="592"/>
      <c r="AS38" s="253"/>
      <c r="AT38" s="427"/>
      <c r="AU38" s="593"/>
      <c r="AV38" s="586"/>
      <c r="AW38" s="593"/>
      <c r="AX38" s="586"/>
      <c r="AY38" s="593"/>
      <c r="AZ38" s="586"/>
      <c r="BA38" s="593"/>
      <c r="BB38" s="586"/>
      <c r="BC38" s="593"/>
      <c r="BD38" s="586"/>
      <c r="BE38" s="593"/>
      <c r="BF38" s="586"/>
      <c r="BG38" s="593"/>
      <c r="BH38" s="586"/>
      <c r="BI38" s="591"/>
      <c r="BJ38" s="592"/>
      <c r="BK38" s="253"/>
      <c r="BL38" s="427"/>
      <c r="BM38" s="593"/>
      <c r="BN38" s="594"/>
      <c r="BO38" s="593"/>
      <c r="BP38" s="594"/>
      <c r="BQ38" s="593"/>
      <c r="BR38" s="594"/>
      <c r="BS38" s="593"/>
      <c r="BT38" s="594"/>
      <c r="BU38" s="593"/>
      <c r="BV38" s="594"/>
      <c r="BW38" s="593"/>
      <c r="BX38" s="594"/>
      <c r="BY38" s="593"/>
      <c r="BZ38" s="594"/>
      <c r="CA38" s="591"/>
      <c r="CB38" s="592"/>
      <c r="CC38" s="595"/>
      <c r="CD38" s="596"/>
      <c r="CE38" s="593"/>
      <c r="CF38" s="586"/>
      <c r="CG38" s="593"/>
      <c r="CH38" s="586"/>
      <c r="CI38" s="593"/>
      <c r="CJ38" s="586"/>
      <c r="CK38" s="593"/>
      <c r="CL38" s="586"/>
      <c r="CM38" s="544"/>
      <c r="CN38" s="586"/>
      <c r="CO38" s="544"/>
      <c r="CP38" s="586"/>
      <c r="CQ38" s="544"/>
      <c r="CR38" s="586"/>
      <c r="CS38" s="597"/>
      <c r="CT38" s="598"/>
      <c r="CU38" s="599"/>
      <c r="CV38" s="600"/>
      <c r="CW38" s="547"/>
      <c r="CX38" s="580"/>
      <c r="CY38" s="601"/>
      <c r="CZ38" s="583"/>
      <c r="DA38" s="583"/>
      <c r="DB38" s="583"/>
      <c r="DC38" s="583"/>
      <c r="DD38" s="583"/>
      <c r="DE38" s="583"/>
      <c r="DF38" s="583"/>
      <c r="DG38" s="583"/>
      <c r="DH38" s="583"/>
      <c r="DI38" s="583"/>
      <c r="DJ38" s="583"/>
      <c r="DK38" s="602"/>
      <c r="DL38" s="603"/>
      <c r="DM38" s="604"/>
      <c r="DN38" s="605"/>
      <c r="DO38" s="583"/>
      <c r="DP38" s="583"/>
    </row>
    <row r="39">
      <c r="A39" s="606"/>
      <c r="B39" s="607" t="s">
        <v>41</v>
      </c>
      <c r="C39" s="608"/>
      <c r="D39" s="608"/>
      <c r="E39" s="609"/>
      <c r="F39" s="610"/>
      <c r="G39" s="611"/>
      <c r="H39" s="612"/>
      <c r="I39" s="613"/>
      <c r="J39" s="614"/>
      <c r="K39" s="615"/>
      <c r="L39" s="616"/>
      <c r="M39" s="617"/>
      <c r="N39" s="616"/>
      <c r="O39" s="618"/>
      <c r="P39" s="619"/>
      <c r="Q39" s="620"/>
      <c r="R39" s="557"/>
      <c r="S39" s="621"/>
      <c r="T39" s="557"/>
      <c r="U39" s="621"/>
      <c r="V39" s="557"/>
      <c r="W39" s="622"/>
      <c r="X39" s="559"/>
      <c r="Y39" s="623"/>
      <c r="Z39" s="624"/>
      <c r="AA39" s="610"/>
      <c r="AB39" s="625"/>
      <c r="AC39" s="626"/>
      <c r="AD39" s="619"/>
      <c r="AE39" s="626"/>
      <c r="AF39" s="619"/>
      <c r="AG39" s="626"/>
      <c r="AH39" s="619"/>
      <c r="AI39" s="626"/>
      <c r="AJ39" s="619"/>
      <c r="AK39" s="626"/>
      <c r="AL39" s="619"/>
      <c r="AM39" s="626"/>
      <c r="AN39" s="619"/>
      <c r="AO39" s="626"/>
      <c r="AP39" s="619"/>
      <c r="AQ39" s="627"/>
      <c r="AR39" s="628"/>
      <c r="AS39" s="629"/>
      <c r="AT39" s="630"/>
      <c r="AU39" s="626"/>
      <c r="AV39" s="619"/>
      <c r="AW39" s="626"/>
      <c r="AX39" s="619"/>
      <c r="AY39" s="626"/>
      <c r="AZ39" s="619"/>
      <c r="BA39" s="626"/>
      <c r="BB39" s="619"/>
      <c r="BC39" s="626"/>
      <c r="BD39" s="619"/>
      <c r="BE39" s="626"/>
      <c r="BF39" s="619"/>
      <c r="BG39" s="626"/>
      <c r="BH39" s="619"/>
      <c r="BI39" s="627"/>
      <c r="BJ39" s="628"/>
      <c r="BK39" s="629"/>
      <c r="BL39" s="630"/>
      <c r="BM39" s="626"/>
      <c r="BN39" s="631"/>
      <c r="BO39" s="626"/>
      <c r="BP39" s="631"/>
      <c r="BQ39" s="626"/>
      <c r="BR39" s="631"/>
      <c r="BS39" s="626"/>
      <c r="BT39" s="631"/>
      <c r="BU39" s="626"/>
      <c r="BV39" s="631"/>
      <c r="BW39" s="626"/>
      <c r="BX39" s="631"/>
      <c r="BY39" s="626"/>
      <c r="BZ39" s="631"/>
      <c r="CA39" s="627"/>
      <c r="CB39" s="628"/>
      <c r="CC39" s="632"/>
      <c r="CD39" s="633"/>
      <c r="CE39" s="626"/>
      <c r="CF39" s="619"/>
      <c r="CG39" s="626"/>
      <c r="CH39" s="619"/>
      <c r="CI39" s="626"/>
      <c r="CJ39" s="619"/>
      <c r="CK39" s="626"/>
      <c r="CL39" s="619"/>
      <c r="CM39" s="634"/>
      <c r="CN39" s="557"/>
      <c r="CO39" s="635"/>
      <c r="CP39" s="619"/>
      <c r="CQ39" s="635"/>
      <c r="CR39" s="619"/>
      <c r="CS39" s="636"/>
      <c r="CT39" s="637"/>
      <c r="CU39" s="638"/>
      <c r="CV39" s="639"/>
      <c r="CW39" s="547"/>
      <c r="CX39" s="555"/>
      <c r="CY39" s="601"/>
      <c r="CZ39" s="616"/>
      <c r="DA39" s="616"/>
      <c r="DB39" s="616"/>
      <c r="DC39" s="616"/>
      <c r="DD39" s="616"/>
      <c r="DE39" s="616"/>
      <c r="DF39" s="616"/>
      <c r="DG39" s="616"/>
      <c r="DH39" s="616"/>
      <c r="DI39" s="616"/>
      <c r="DJ39" s="616"/>
      <c r="DK39" s="640"/>
      <c r="DL39" s="641"/>
      <c r="DM39" s="642"/>
      <c r="DN39" s="643"/>
      <c r="DO39" s="616"/>
      <c r="DP39" s="616"/>
    </row>
    <row r="40">
      <c r="A40" s="644" t="s">
        <v>42</v>
      </c>
      <c r="B40" s="645" t="s">
        <v>20</v>
      </c>
      <c r="C40" s="646"/>
      <c r="D40" s="646"/>
      <c r="E40" s="647"/>
      <c r="F40" s="648">
        <f>F41/(F52+F56)</f>
        <v>0.04444444444</v>
      </c>
      <c r="G40" s="648">
        <f>G41/G52</f>
        <v>0.8022269034</v>
      </c>
      <c r="H40" s="649" t="str">
        <f>IF(F40&lt;&gt;0,IF(G40&gt;F40*1.1,"Не в плане","В плане"),)</f>
        <v>Не в плане</v>
      </c>
      <c r="I40" s="650"/>
      <c r="J40" s="651"/>
      <c r="K40" s="652"/>
      <c r="L40" s="652"/>
      <c r="M40" s="652"/>
      <c r="N40" s="653"/>
      <c r="O40" s="654">
        <f t="shared" ref="O40:P40" si="100">O41/O52</f>
        <v>0.04444444444</v>
      </c>
      <c r="P40" s="655" t="str">
        <f t="shared" si="100"/>
        <v>#DIV/0!</v>
      </c>
      <c r="Q40" s="654">
        <v>0.04444444444444444</v>
      </c>
      <c r="R40" s="655" t="str">
        <f>R41/R52</f>
        <v>#DIV/0!</v>
      </c>
      <c r="S40" s="654">
        <v>0.04444444444444444</v>
      </c>
      <c r="T40" s="655" t="str">
        <f>T41/T52</f>
        <v>#DIV/0!</v>
      </c>
      <c r="U40" s="654">
        <v>0.04444444444444444</v>
      </c>
      <c r="V40" s="655" t="str">
        <f>V41/V52</f>
        <v>#DIV/0!</v>
      </c>
      <c r="W40" s="654">
        <v>0.04444444444444444</v>
      </c>
      <c r="X40" s="655" t="str">
        <f t="shared" ref="X40:Z40" si="101">X41/X52</f>
        <v>#DIV/0!</v>
      </c>
      <c r="Y40" s="656">
        <f t="shared" si="101"/>
        <v>0.04444444444</v>
      </c>
      <c r="Z40" s="656" t="str">
        <f t="shared" si="101"/>
        <v>#DIV/0!</v>
      </c>
      <c r="AA40" s="657" t="str">
        <f>IF(Y40&lt;&gt;0,IF(Z40&gt;Y40,"Не в плане","В плане"),)</f>
        <v>#DIV/0!</v>
      </c>
      <c r="AB40" s="658"/>
      <c r="AC40" s="656">
        <v>0.04444444444444444</v>
      </c>
      <c r="AD40" s="659"/>
      <c r="AE40" s="656">
        <v>0.04444444444444444</v>
      </c>
      <c r="AF40" s="659"/>
      <c r="AG40" s="656">
        <v>0.04444444444444444</v>
      </c>
      <c r="AH40" s="659"/>
      <c r="AI40" s="656">
        <v>0.04444444444444444</v>
      </c>
      <c r="AJ40" s="659"/>
      <c r="AK40" s="656">
        <v>0.04444444444444444</v>
      </c>
      <c r="AL40" s="659"/>
      <c r="AM40" s="656">
        <v>0.04444444444444444</v>
      </c>
      <c r="AN40" s="659"/>
      <c r="AO40" s="656">
        <v>0.04444444444444444</v>
      </c>
      <c r="AP40" s="659"/>
      <c r="AQ40" s="656">
        <f>AQ41/AQ52</f>
        <v>0.04444444444</v>
      </c>
      <c r="AR40" s="660">
        <f>IFERROR(AR41/AR45,"")</f>
        <v>10091456.25</v>
      </c>
      <c r="AS40" s="657" t="str">
        <f>IF(AQ40&lt;&gt;0,IF(AR40&gt;AQ40,"Не в плане","В плане"),)</f>
        <v>Не в плане</v>
      </c>
      <c r="AT40" s="658"/>
      <c r="AU40" s="656">
        <v>0.04444444444444444</v>
      </c>
      <c r="AV40" s="659"/>
      <c r="AW40" s="656">
        <v>0.04444444444444444</v>
      </c>
      <c r="AX40" s="659"/>
      <c r="AY40" s="656">
        <v>0.04444444444444444</v>
      </c>
      <c r="AZ40" s="659"/>
      <c r="BA40" s="656">
        <v>0.04444444444444444</v>
      </c>
      <c r="BB40" s="659"/>
      <c r="BC40" s="656">
        <v>0.04444444444444444</v>
      </c>
      <c r="BD40" s="659"/>
      <c r="BE40" s="656">
        <v>0.04444444444444444</v>
      </c>
      <c r="BF40" s="659"/>
      <c r="BG40" s="656">
        <v>0.04444444444444444</v>
      </c>
      <c r="BH40" s="659"/>
      <c r="BI40" s="654" t="str">
        <f>$J$40</f>
        <v/>
      </c>
      <c r="BJ40" s="660">
        <f>IFERROR(BJ41/BJ45,"")</f>
        <v>1585504.294</v>
      </c>
      <c r="BK40" s="657" t="str">
        <f>IF(BI40&lt;&gt;0,IF(BJ40&gt;BI40,"Не в плане","В плане"),)</f>
        <v/>
      </c>
      <c r="BL40" s="658"/>
      <c r="BM40" s="656">
        <v>0.04444444444444444</v>
      </c>
      <c r="BN40" s="659"/>
      <c r="BO40" s="656">
        <v>0.04444444444444444</v>
      </c>
      <c r="BP40" s="659"/>
      <c r="BQ40" s="661">
        <v>0.04444444444444444</v>
      </c>
      <c r="BR40" s="659"/>
      <c r="BS40" s="661">
        <v>0.04444444444444444</v>
      </c>
      <c r="BT40" s="659"/>
      <c r="BU40" s="661">
        <v>0.04444444444444444</v>
      </c>
      <c r="BV40" s="659"/>
      <c r="BW40" s="661">
        <v>0.04444444444444444</v>
      </c>
      <c r="BX40" s="659"/>
      <c r="BY40" s="661">
        <v>0.04444444444444444</v>
      </c>
      <c r="BZ40" s="659"/>
      <c r="CA40" s="661">
        <v>0.04444444444444444</v>
      </c>
      <c r="CB40" s="660">
        <f>CB52/CB41</f>
        <v>4.412663002</v>
      </c>
      <c r="CC40" s="657">
        <f t="shared" ref="CC40:CC54" si="105">IFERROR(CB40/CA40,"")</f>
        <v>99.28491754</v>
      </c>
      <c r="CD40" s="662"/>
      <c r="CE40" s="661">
        <v>0.04444444444444444</v>
      </c>
      <c r="CF40" s="659"/>
      <c r="CG40" s="661">
        <v>0.04444444444444444</v>
      </c>
      <c r="CH40" s="659"/>
      <c r="CI40" s="661">
        <v>0.04444444444444444</v>
      </c>
      <c r="CJ40" s="659"/>
      <c r="CK40" s="661">
        <v>0.04444444444444444</v>
      </c>
      <c r="CL40" s="659"/>
      <c r="CM40" s="654"/>
      <c r="CN40" s="657"/>
      <c r="CO40" s="654"/>
      <c r="CP40" s="657"/>
      <c r="CQ40" s="654"/>
      <c r="CR40" s="659"/>
      <c r="CS40" s="663">
        <f>CS41/(CS52+CS56)</f>
        <v>0.04444444444</v>
      </c>
      <c r="CT40" s="664" t="str">
        <f>CT41/CT52</f>
        <v>#DIV/0!</v>
      </c>
      <c r="CU40" s="657" t="str">
        <f>IF(CS40&lt;&gt;0,IF(CT40&gt;CS40,"Не в плане","В плане"),)</f>
        <v>#DIV/0!</v>
      </c>
      <c r="CV40" s="658"/>
      <c r="CW40" s="665"/>
      <c r="CX40" s="666"/>
      <c r="CY40" s="667"/>
      <c r="CZ40" s="659"/>
      <c r="DA40" s="667" t="str">
        <f>$J$40</f>
        <v/>
      </c>
      <c r="DB40" s="659" t="str">
        <f>IFERROR(DB41/DB45,"")</f>
        <v/>
      </c>
      <c r="DC40" s="667" t="str">
        <f>$J$40</f>
        <v/>
      </c>
      <c r="DD40" s="659" t="str">
        <f>IFERROR(DD41/DD45,"")</f>
        <v/>
      </c>
      <c r="DE40" s="667" t="str">
        <f>$J$40</f>
        <v/>
      </c>
      <c r="DF40" s="659" t="str">
        <f>IFERROR(DF41/DF45,"")</f>
        <v/>
      </c>
      <c r="DG40" s="667" t="str">
        <f>$J$40</f>
        <v/>
      </c>
      <c r="DH40" s="659" t="str">
        <f>IFERROR(DH41/DH45,"")</f>
        <v/>
      </c>
      <c r="DI40" s="667" t="str">
        <f>$J$40</f>
        <v/>
      </c>
      <c r="DJ40" s="659" t="str">
        <f>IFERROR(DJ41/DJ45,"")</f>
        <v/>
      </c>
      <c r="DK40" s="668" t="str">
        <f>$J$40</f>
        <v/>
      </c>
      <c r="DL40" s="669" t="str">
        <f>IFERROR(DL41/DL45,"")</f>
        <v/>
      </c>
      <c r="DM40" s="649" t="str">
        <f>IF(DK40&lt;&gt;0,IF(DL40&gt;DK40,"Не в плане","В плане"),)</f>
        <v/>
      </c>
      <c r="DN40" s="670"/>
      <c r="DO40" s="671"/>
      <c r="DP40" s="672"/>
    </row>
    <row r="41" ht="19.5" customHeight="1">
      <c r="A41" s="673"/>
      <c r="B41" s="674" t="s">
        <v>43</v>
      </c>
      <c r="C41" s="217"/>
      <c r="D41" s="217"/>
      <c r="E41" s="218"/>
      <c r="F41" s="495">
        <v>160000.0</v>
      </c>
      <c r="G41" s="495">
        <f t="shared" ref="G41:G43" si="109">Z41+AR41+BJ41+CB41+CT41</f>
        <v>133290</v>
      </c>
      <c r="H41" s="543">
        <f t="shared" ref="H41:H56" si="110">IFERROR(G41/F41,"")</f>
        <v>0.8330625</v>
      </c>
      <c r="I41" s="675" t="str">
        <f>IFERROR(__xludf.DUMMYFUNCTION("IFERROR(SPARKLINE(H41,{""charttype"",""bar"";""color1"",IF(H41&gt;='Апрель'!green_percent,'Апрель'!green,IF(H41&gt;='Апрель'!yellow_percent,'Апрель'!yellow,IF(H41&gt;='Апрель'!orange_percent,'Апрель'!orange,'Апрель'!red)));""max"",1}))"),"")</f>
        <v/>
      </c>
      <c r="K41" s="676"/>
      <c r="L41" s="677"/>
      <c r="M41" s="676"/>
      <c r="N41" s="677"/>
      <c r="O41" s="676">
        <f t="shared" ref="O41:O43" si="111">F41/30</f>
        <v>5333.333333</v>
      </c>
      <c r="P41" s="678">
        <v>2821.0</v>
      </c>
      <c r="Q41" s="676">
        <v>5333.333333333333</v>
      </c>
      <c r="R41" s="678">
        <v>3602.0</v>
      </c>
      <c r="S41" s="676">
        <v>5333.333333333333</v>
      </c>
      <c r="T41" s="678">
        <v>3955.0</v>
      </c>
      <c r="U41" s="676">
        <v>5333.333333333333</v>
      </c>
      <c r="V41" s="678">
        <v>4608.0</v>
      </c>
      <c r="W41" s="679">
        <v>5333.333333333333</v>
      </c>
      <c r="X41" s="680">
        <v>4631.0</v>
      </c>
      <c r="Y41" s="681">
        <f t="shared" ref="Y41:Z41" si="102">O41+Q41+S41+U41+W41</f>
        <v>26666.66667</v>
      </c>
      <c r="Z41" s="682">
        <f t="shared" si="102"/>
        <v>19617</v>
      </c>
      <c r="AA41" s="219">
        <f t="shared" ref="AA41:AA54" si="113">IFERROR(Z41/Y41,"")</f>
        <v>0.7356375</v>
      </c>
      <c r="AB41" s="683" t="str">
        <f>IFERROR(__xludf.DUMMYFUNCTION("IFERROR(SPARKLINE(AA41,{""charttype"",""bar"";""color1"",IF(AA41&gt;='Апрель'!green_percent,'Апрель'!green,IF(AA41&gt;='Апрель'!yellow_percent,'Апрель'!yellow,IF(AA41&gt;='Апрель'!orange_percent,'Апрель'!orange,'Апрель'!red)));""max"",1}))"),"")</f>
        <v/>
      </c>
      <c r="AC41" s="684">
        <v>5333.333333333333</v>
      </c>
      <c r="AD41" s="680">
        <v>2081.0</v>
      </c>
      <c r="AE41" s="685">
        <v>5333.333333333333</v>
      </c>
      <c r="AF41" s="686">
        <v>2376.0</v>
      </c>
      <c r="AG41" s="685">
        <v>5333.333333333333</v>
      </c>
      <c r="AH41" s="686">
        <v>2715.0</v>
      </c>
      <c r="AI41" s="685">
        <v>5333.333333333333</v>
      </c>
      <c r="AJ41" s="686">
        <v>2629.0</v>
      </c>
      <c r="AK41" s="685">
        <v>5333.333333333333</v>
      </c>
      <c r="AL41" s="686">
        <v>3461.0</v>
      </c>
      <c r="AM41" s="687">
        <v>5333.333333333333</v>
      </c>
      <c r="AN41" s="686">
        <v>3784.0</v>
      </c>
      <c r="AO41" s="685">
        <v>5333.333333333333</v>
      </c>
      <c r="AP41" s="686">
        <v>2384.0</v>
      </c>
      <c r="AQ41" s="681">
        <f t="shared" ref="AQ41:AR41" si="103">AC41+AE41+AG41+AI41+AK41+AM41+AO41</f>
        <v>37333.33333</v>
      </c>
      <c r="AR41" s="682">
        <f t="shared" si="103"/>
        <v>19430</v>
      </c>
      <c r="AS41" s="688">
        <f t="shared" ref="AS41:AS54" si="115">IFERROR(AR41/AQ41,"")</f>
        <v>0.5204464286</v>
      </c>
      <c r="AT41" s="689" t="str">
        <f>IFERROR(__xludf.DUMMYFUNCTION("IFERROR(SPARKLINE(AS41,{""charttype"",""bar"";""color1"",IF(AS41&gt;='Апрель'!green_percent,'Апрель'!green,IF(AS41&gt;='Апрель'!yellow_percent,'Апрель'!yellow,IF(AS41&gt;='Апрель'!orange_percent,'Апрель'!orange,'Апрель'!red)));""max"",1}))"),"")</f>
        <v/>
      </c>
      <c r="AU41" s="685">
        <v>5333.333333333333</v>
      </c>
      <c r="AV41" s="686">
        <v>4224.0</v>
      </c>
      <c r="AW41" s="690">
        <v>5333.333333333333</v>
      </c>
      <c r="AX41" s="680">
        <v>5111.0</v>
      </c>
      <c r="AY41" s="690">
        <v>5333.333333333333</v>
      </c>
      <c r="AZ41" s="680">
        <v>5076.0</v>
      </c>
      <c r="BA41" s="690">
        <v>5333.333333333333</v>
      </c>
      <c r="BB41" s="680">
        <v>4750.0</v>
      </c>
      <c r="BC41" s="690">
        <v>5333.333333333333</v>
      </c>
      <c r="BD41" s="680">
        <v>5036.0</v>
      </c>
      <c r="BE41" s="690">
        <v>5333.333333333333</v>
      </c>
      <c r="BF41" s="680">
        <v>5425.0</v>
      </c>
      <c r="BG41" s="690">
        <v>5333.333333333333</v>
      </c>
      <c r="BH41" s="680">
        <v>5891.0</v>
      </c>
      <c r="BI41" s="681">
        <f t="shared" ref="BI41:BJ41" si="104">AU41+AW41+AY41+BA41+BC41+BE41+BG41</f>
        <v>37333.33333</v>
      </c>
      <c r="BJ41" s="682">
        <f t="shared" si="104"/>
        <v>35513</v>
      </c>
      <c r="BK41" s="688">
        <f t="shared" ref="BK41:BK54" si="117">IFERROR(BJ41/BI41,"")</f>
        <v>0.9512410714</v>
      </c>
      <c r="BL41" s="689" t="str">
        <f>IFERROR(__xludf.DUMMYFUNCTION("IFERROR(SPARKLINE(BK41,{""charttype"",""bar"";""color1"",IF(BK41&gt;='Апрель'!green_percent,'Апрель'!green,IF(BK41&gt;='Апрель'!yellow_percent,'Апрель'!yellow,IF(BK41&gt;='Апрель'!orange_percent,'Апрель'!orange,'Апрель'!red)));""max"",1}))"),"")</f>
        <v/>
      </c>
      <c r="BM41" s="685">
        <v>5333.333333333333</v>
      </c>
      <c r="BN41" s="678">
        <v>5003.0</v>
      </c>
      <c r="BO41" s="691">
        <v>5333.333333333333</v>
      </c>
      <c r="BP41" s="678">
        <v>4473.0</v>
      </c>
      <c r="BQ41" s="691">
        <v>5333.333333333333</v>
      </c>
      <c r="BR41" s="678">
        <v>4635.0</v>
      </c>
      <c r="BS41" s="691">
        <v>5333.333333333333</v>
      </c>
      <c r="BT41" s="678">
        <v>5757.0</v>
      </c>
      <c r="BU41" s="691">
        <v>5333.333333333333</v>
      </c>
      <c r="BV41" s="678">
        <v>5411.0</v>
      </c>
      <c r="BW41" s="691">
        <v>5333.333333333333</v>
      </c>
      <c r="BX41" s="678">
        <v>6547.0</v>
      </c>
      <c r="BY41" s="691">
        <v>5333.333333333333</v>
      </c>
      <c r="BZ41" s="678">
        <v>5827.0</v>
      </c>
      <c r="CA41" s="681">
        <v>37333.33333333333</v>
      </c>
      <c r="CB41" s="682">
        <f t="shared" ref="CB41:CB46" si="118">BN41+BP41+BR41+BT41+BV41+BX41+BZ41</f>
        <v>37653</v>
      </c>
      <c r="CC41" s="688">
        <f t="shared" si="105"/>
        <v>1.0085625</v>
      </c>
      <c r="CD41" s="689" t="str">
        <f>IFERROR(__xludf.DUMMYFUNCTION("IFERROR(SPARKLINE(CC41,{""charttype"",""bar"";""color1"",IF(CC41&gt;='Апрель'!green_percent,'Апрель'!green,IF(CC41&gt;='Апрель'!yellow_percent,'Апрель'!yellow,IF(CC41&gt;='Апрель'!orange_percent,'Апрель'!orange,'Апрель'!red)));""max"",1}))"),"")</f>
        <v/>
      </c>
      <c r="CE41" s="691">
        <v>5333.333333333333</v>
      </c>
      <c r="CF41" s="678">
        <v>4722.0</v>
      </c>
      <c r="CG41" s="691">
        <v>5333.333333333333</v>
      </c>
      <c r="CH41" s="678">
        <v>6770.0</v>
      </c>
      <c r="CI41" s="691">
        <v>5333.333333333333</v>
      </c>
      <c r="CJ41" s="678">
        <v>3753.0</v>
      </c>
      <c r="CK41" s="691">
        <v>5333.333333333333</v>
      </c>
      <c r="CL41" s="678">
        <v>5832.0</v>
      </c>
      <c r="CM41" s="676"/>
      <c r="CN41" s="677"/>
      <c r="CO41" s="676"/>
      <c r="CP41" s="677"/>
      <c r="CQ41" s="676"/>
      <c r="CR41" s="678"/>
      <c r="CS41" s="692">
        <f t="shared" ref="CS41:CS43" si="119">CE41+CG41+CI41+CK41+CM41+CO41+CQ41</f>
        <v>21333.33333</v>
      </c>
      <c r="CT41" s="693">
        <f t="shared" ref="CT41:CT43" si="120">CF41+CH41+CJ41+CL41</f>
        <v>21077</v>
      </c>
      <c r="CU41" s="231">
        <f t="shared" ref="CU41:CU54" si="121">IFERROR(CT41/CS41,"")</f>
        <v>0.987984375</v>
      </c>
      <c r="CV41" s="232" t="str">
        <f>IFERROR(__xludf.DUMMYFUNCTION("IFERROR(SPARKLINE(CU41,{""charttype"",""bar"";""color1"",IF(CU41&gt;='Апрель'!green_percent,'Апрель'!green,IF(CU41&gt;='Апрель'!yellow_percent,'Апрель'!yellow,IF(CU41&gt;='Апрель'!orange_percent,'Апрель'!orange,'Апрель'!red)));""max"",1}))"),"")</f>
        <v/>
      </c>
      <c r="CW41" s="694"/>
      <c r="CX41" s="695"/>
      <c r="CY41" s="695"/>
      <c r="CZ41" s="695"/>
      <c r="DA41" s="696" t="str">
        <f t="shared" ref="DA41:DJ41" si="106">DA158</f>
        <v/>
      </c>
      <c r="DB41" s="697" t="str">
        <f t="shared" si="106"/>
        <v/>
      </c>
      <c r="DC41" s="696" t="str">
        <f t="shared" si="106"/>
        <v/>
      </c>
      <c r="DD41" s="697" t="str">
        <f t="shared" si="106"/>
        <v/>
      </c>
      <c r="DE41" s="696" t="str">
        <f t="shared" si="106"/>
        <v/>
      </c>
      <c r="DF41" s="697" t="str">
        <f t="shared" si="106"/>
        <v/>
      </c>
      <c r="DG41" s="696" t="str">
        <f t="shared" si="106"/>
        <v/>
      </c>
      <c r="DH41" s="697" t="str">
        <f t="shared" si="106"/>
        <v/>
      </c>
      <c r="DI41" s="696" t="str">
        <f t="shared" si="106"/>
        <v/>
      </c>
      <c r="DJ41" s="697" t="str">
        <f t="shared" si="106"/>
        <v/>
      </c>
      <c r="DK41" s="698">
        <f t="shared" ref="DK41:DL41" si="107">CW41+CY41+DA41+DC41+DE41+DG41+DI41</f>
        <v>0</v>
      </c>
      <c r="DL41" s="699">
        <f t="shared" si="107"/>
        <v>0</v>
      </c>
      <c r="DM41" s="700" t="str">
        <f t="shared" ref="DM41:DM45" si="123">IFERROR(DL41/DK41,"")</f>
        <v/>
      </c>
      <c r="DN41" s="701" t="str">
        <f>IFERROR(__xludf.DUMMYFUNCTION("IFERROR(SPARKLINE(DM41,{""charttype"",""bar"";""color1"",IF(DM41&gt;='Апрель'!green_percent,'Апрель'!green,IF(DM41&gt;='Апрель'!yellow_percent,'Апрель'!yellow,IF(DM41&gt;='Апрель'!orange_percent,'Апрель'!orange,'Апрель'!red)));""max"",1}))"),"")</f>
        <v/>
      </c>
      <c r="DO41" s="702" t="str">
        <f t="shared" ref="DO41:DP41" si="108">DO158</f>
        <v/>
      </c>
      <c r="DP41" s="702" t="str">
        <f t="shared" si="108"/>
        <v/>
      </c>
    </row>
    <row r="42">
      <c r="A42" s="703"/>
      <c r="B42" s="579" t="s">
        <v>44</v>
      </c>
      <c r="C42" s="242"/>
      <c r="D42" s="242"/>
      <c r="E42" s="243"/>
      <c r="F42" s="244">
        <v>1700.0</v>
      </c>
      <c r="G42" s="244">
        <f t="shared" si="109"/>
        <v>22097</v>
      </c>
      <c r="H42" s="704">
        <f t="shared" si="110"/>
        <v>12.99823529</v>
      </c>
      <c r="I42" s="705" t="str">
        <f>IFERROR(__xludf.DUMMYFUNCTION("IFERROR(SPARKLINE(H42,{""charttype"",""bar"";""color1"",IF(H42&gt;='Апрель'!green_percent,'Апрель'!green,IF(H42&gt;='Апрель'!yellow_percent,'Апрель'!yellow,IF(H42&gt;='Апрель'!orange_percent,'Апрель'!orange,'Апрель'!red)));""max"",1}))"),"")</f>
        <v/>
      </c>
      <c r="K42" s="706"/>
      <c r="L42" s="707"/>
      <c r="M42" s="706"/>
      <c r="N42" s="708"/>
      <c r="O42" s="709">
        <f t="shared" si="111"/>
        <v>56.66666667</v>
      </c>
      <c r="P42" s="710">
        <v>415.0</v>
      </c>
      <c r="Q42" s="709">
        <v>56.666666666666664</v>
      </c>
      <c r="R42" s="710">
        <v>401.0</v>
      </c>
      <c r="S42" s="709">
        <v>56.666666666666664</v>
      </c>
      <c r="T42" s="710">
        <v>1030.0</v>
      </c>
      <c r="U42" s="709">
        <v>56.666666666666664</v>
      </c>
      <c r="V42" s="710">
        <v>2377.0</v>
      </c>
      <c r="W42" s="251">
        <v>56.666666666666664</v>
      </c>
      <c r="X42" s="710">
        <v>2638.0</v>
      </c>
      <c r="Y42" s="535">
        <f t="shared" ref="Y42:Z42" si="112">O42+Q42+S42+U42+W42</f>
        <v>283.3333333</v>
      </c>
      <c r="Z42" s="486">
        <f t="shared" si="112"/>
        <v>6861</v>
      </c>
      <c r="AA42" s="412">
        <f t="shared" si="113"/>
        <v>24.21529412</v>
      </c>
      <c r="AB42" s="424" t="str">
        <f>IFERROR(__xludf.DUMMYFUNCTION("IFERROR(SPARKLINE(AA42,{""charttype"",""bar"";""color1"",IF(AA42&gt;='Апрель'!green_percent,'Апрель'!green,IF(AA42&gt;='Апрель'!yellow_percent,'Апрель'!yellow,IF(AA42&gt;='Апрель'!orange_percent,'Апрель'!orange,'Апрель'!red)));""max"",1}))"),"")</f>
        <v/>
      </c>
      <c r="AC42" s="711">
        <v>56.666666666666664</v>
      </c>
      <c r="AD42" s="712">
        <v>719.0</v>
      </c>
      <c r="AE42" s="711">
        <v>56.666666666666664</v>
      </c>
      <c r="AF42" s="713">
        <v>506.0</v>
      </c>
      <c r="AG42" s="711">
        <v>56.666666666666664</v>
      </c>
      <c r="AH42" s="714">
        <v>990.0</v>
      </c>
      <c r="AI42" s="711">
        <v>56.666666666666664</v>
      </c>
      <c r="AJ42" s="713">
        <v>582.0</v>
      </c>
      <c r="AK42" s="711">
        <v>56.666666666666664</v>
      </c>
      <c r="AL42" s="713">
        <v>370.0</v>
      </c>
      <c r="AM42" s="711">
        <v>56.666666666666664</v>
      </c>
      <c r="AN42" s="713">
        <v>386.0</v>
      </c>
      <c r="AO42" s="711">
        <v>56.666666666666664</v>
      </c>
      <c r="AP42" s="713">
        <v>602.0</v>
      </c>
      <c r="AQ42" s="535">
        <f t="shared" ref="AQ42:AR42" si="114">AC42+AE42+AG42+AI42+AK42+AM42+AO42</f>
        <v>396.6666667</v>
      </c>
      <c r="AR42" s="486">
        <f t="shared" si="114"/>
        <v>4155</v>
      </c>
      <c r="AS42" s="253">
        <f t="shared" si="115"/>
        <v>10.47478992</v>
      </c>
      <c r="AT42" s="427" t="str">
        <f>IFERROR(__xludf.DUMMYFUNCTION("IFERROR(SPARKLINE(AS42,{""charttype"",""bar"";""color1"",IF(AS42&gt;='Апрель'!green_percent,'Апрель'!green,IF(AS42&gt;='Апрель'!yellow_percent,'Апрель'!yellow,IF(AS42&gt;='Апрель'!orange_percent,'Апрель'!orange,'Апрель'!red)));""max"",1}))"),"")</f>
        <v/>
      </c>
      <c r="AU42" s="711">
        <v>56.666666666666664</v>
      </c>
      <c r="AV42" s="715">
        <v>633.0</v>
      </c>
      <c r="AW42" s="711">
        <v>56.666666666666664</v>
      </c>
      <c r="AX42" s="712">
        <v>854.0</v>
      </c>
      <c r="AY42" s="711">
        <v>56.666666666666664</v>
      </c>
      <c r="AZ42" s="710">
        <v>376.0</v>
      </c>
      <c r="BA42" s="711">
        <v>56.666666666666664</v>
      </c>
      <c r="BB42" s="710">
        <v>474.0</v>
      </c>
      <c r="BC42" s="711">
        <v>56.666666666666664</v>
      </c>
      <c r="BD42" s="710">
        <v>565.0</v>
      </c>
      <c r="BE42" s="711">
        <v>56.666666666666664</v>
      </c>
      <c r="BF42" s="710">
        <v>841.0</v>
      </c>
      <c r="BG42" s="711">
        <v>56.666666666666664</v>
      </c>
      <c r="BH42" s="710">
        <v>696.0</v>
      </c>
      <c r="BI42" s="535">
        <f t="shared" ref="BI42:BJ42" si="116">AU42+AW42+AY42+BA42+BC42+BE42+BG42</f>
        <v>396.6666667</v>
      </c>
      <c r="BJ42" s="486">
        <f t="shared" si="116"/>
        <v>4439</v>
      </c>
      <c r="BK42" s="253">
        <f t="shared" si="117"/>
        <v>11.1907563</v>
      </c>
      <c r="BL42" s="427" t="str">
        <f>IFERROR(__xludf.DUMMYFUNCTION("IFERROR(SPARKLINE(BK42,{""charttype"",""bar"";""color1"",IF(BK42&gt;='Апрель'!green_percent,'Апрель'!green,IF(BK42&gt;='Апрель'!yellow_percent,'Апрель'!yellow,IF(BK42&gt;='Апрель'!orange_percent,'Апрель'!orange,'Апрель'!red)));""max"",1}))"),"")</f>
        <v/>
      </c>
      <c r="BM42" s="711">
        <v>56.666666666666664</v>
      </c>
      <c r="BN42" s="710">
        <v>231.0</v>
      </c>
      <c r="BO42" s="711">
        <v>56.666666666666664</v>
      </c>
      <c r="BP42" s="716">
        <v>483.0</v>
      </c>
      <c r="BQ42" s="711">
        <v>56.666666666666664</v>
      </c>
      <c r="BR42" s="716">
        <v>539.0</v>
      </c>
      <c r="BS42" s="711">
        <v>56.666666666666664</v>
      </c>
      <c r="BT42" s="716">
        <v>1028.0</v>
      </c>
      <c r="BU42" s="711">
        <v>56.666666666666664</v>
      </c>
      <c r="BV42" s="716">
        <v>622.0</v>
      </c>
      <c r="BW42" s="711">
        <v>56.666666666666664</v>
      </c>
      <c r="BX42" s="716">
        <v>989.0</v>
      </c>
      <c r="BY42" s="711">
        <v>56.666666666666664</v>
      </c>
      <c r="BZ42" s="716">
        <v>496.0</v>
      </c>
      <c r="CA42" s="535">
        <v>396.6666666666667</v>
      </c>
      <c r="CB42" s="486">
        <f t="shared" si="118"/>
        <v>4388</v>
      </c>
      <c r="CC42" s="253">
        <f t="shared" si="105"/>
        <v>11.06218487</v>
      </c>
      <c r="CD42" s="427" t="str">
        <f>IFERROR(__xludf.DUMMYFUNCTION("IFERROR(SPARKLINE(CC42,{""charttype"",""bar"";""color1"",IF(CC42&gt;='Апрель'!green_percent,'Апрель'!green,IF(CC42&gt;='Апрель'!yellow_percent,'Апрель'!yellow,IF(CC42&gt;='Апрель'!orange_percent,'Апрель'!orange,'Апрель'!red)));""max"",1}))"),"")</f>
        <v/>
      </c>
      <c r="CE42" s="711">
        <v>56.666666666666664</v>
      </c>
      <c r="CF42" s="710">
        <v>275.0</v>
      </c>
      <c r="CG42" s="711">
        <v>56.666666666666664</v>
      </c>
      <c r="CH42" s="710">
        <v>619.0</v>
      </c>
      <c r="CI42" s="711">
        <v>56.666666666666664</v>
      </c>
      <c r="CJ42" s="710">
        <v>470.0</v>
      </c>
      <c r="CK42" s="711">
        <v>56.666666666666664</v>
      </c>
      <c r="CL42" s="710">
        <v>890.0</v>
      </c>
      <c r="CM42" s="256"/>
      <c r="CN42" s="708"/>
      <c r="CO42" s="256"/>
      <c r="CP42" s="708"/>
      <c r="CQ42" s="256"/>
      <c r="CR42" s="710"/>
      <c r="CS42" s="717">
        <f t="shared" si="119"/>
        <v>226.6666667</v>
      </c>
      <c r="CT42" s="258">
        <f t="shared" si="120"/>
        <v>2254</v>
      </c>
      <c r="CU42" s="259">
        <f t="shared" si="121"/>
        <v>9.944117647</v>
      </c>
      <c r="CV42" s="260" t="str">
        <f>IFERROR(__xludf.DUMMYFUNCTION("IFERROR(SPARKLINE(CU42,{""charttype"",""bar"";""color1"",IF(CU42&gt;='Апрель'!green_percent,'Апрель'!green,IF(CU42&gt;='Апрель'!yellow_percent,'Апрель'!yellow,IF(CU42&gt;='Апрель'!orange_percent,'Апрель'!orange,'Апрель'!red)));""max"",1}))"),"")</f>
        <v/>
      </c>
      <c r="CW42" s="261"/>
      <c r="CX42" s="718"/>
      <c r="CY42" s="719"/>
      <c r="CZ42" s="718"/>
      <c r="DA42" s="720"/>
      <c r="DB42" s="721"/>
      <c r="DC42" s="720"/>
      <c r="DD42" s="721"/>
      <c r="DE42" s="720"/>
      <c r="DF42" s="721"/>
      <c r="DG42" s="720"/>
      <c r="DH42" s="721"/>
      <c r="DI42" s="720"/>
      <c r="DJ42" s="721"/>
      <c r="DK42" s="722">
        <f t="shared" ref="DK42:DL42" si="122">CW42+CY42+DA42+DC42+DE42+DG42+DI42</f>
        <v>0</v>
      </c>
      <c r="DL42" s="264">
        <f t="shared" si="122"/>
        <v>0</v>
      </c>
      <c r="DM42" s="300" t="str">
        <f t="shared" si="123"/>
        <v/>
      </c>
      <c r="DN42" s="445" t="str">
        <f>IFERROR(__xludf.DUMMYFUNCTION("IFERROR(SPARKLINE(DM42,{""charttype"",""bar"";""color1"",IF(DM42&gt;='Апрель'!green_percent,'Апрель'!green,IF(DM42&gt;='Апрель'!yellow_percent,'Апрель'!yellow,IF(DM42&gt;='Апрель'!orange_percent,'Апрель'!orange,'Апрель'!red)));""max"",1}))"),"")</f>
        <v/>
      </c>
      <c r="DO42" s="723"/>
      <c r="DP42" s="723"/>
    </row>
    <row r="43">
      <c r="A43" s="673"/>
      <c r="B43" s="724" t="s">
        <v>45</v>
      </c>
      <c r="C43" s="217"/>
      <c r="D43" s="217"/>
      <c r="E43" s="218"/>
      <c r="F43" s="448">
        <v>40.0</v>
      </c>
      <c r="G43" s="448">
        <f t="shared" si="109"/>
        <v>58</v>
      </c>
      <c r="H43" s="543">
        <f t="shared" si="110"/>
        <v>1.45</v>
      </c>
      <c r="I43" s="675" t="str">
        <f>IFERROR(__xludf.DUMMYFUNCTION("IFERROR(SPARKLINE(H43,{""charttype"",""bar"";""color1"",IF(H43&gt;='Апрель'!green_percent,'Апрель'!green,IF(H43&gt;='Апрель'!yellow_percent,'Апрель'!yellow,IF(H43&gt;='Апрель'!orange_percent,'Апрель'!orange,'Апрель'!red)));""max"",1}))"),"")</f>
        <v/>
      </c>
      <c r="K43" s="725"/>
      <c r="L43" s="726"/>
      <c r="M43" s="725"/>
      <c r="N43" s="726"/>
      <c r="O43" s="727">
        <f t="shared" si="111"/>
        <v>1.333333333</v>
      </c>
      <c r="P43" s="466">
        <v>3.0</v>
      </c>
      <c r="Q43" s="727">
        <v>1.3333333333333333</v>
      </c>
      <c r="R43" s="466">
        <v>5.0</v>
      </c>
      <c r="S43" s="727">
        <v>1.3333333333333333</v>
      </c>
      <c r="T43" s="466">
        <v>1.0</v>
      </c>
      <c r="U43" s="727">
        <v>1.3333333333333333</v>
      </c>
      <c r="V43" s="466">
        <v>2.0</v>
      </c>
      <c r="W43" s="728">
        <v>1.3333333333333333</v>
      </c>
      <c r="X43" s="466">
        <v>2.0</v>
      </c>
      <c r="Y43" s="460">
        <f>K43+M43+O43+Q43+S43+U43+W43</f>
        <v>6.666666667</v>
      </c>
      <c r="Z43" s="464">
        <f>P43+R43+T43+V43+X43</f>
        <v>13</v>
      </c>
      <c r="AA43" s="220">
        <f t="shared" si="113"/>
        <v>1.95</v>
      </c>
      <c r="AB43" s="458" t="str">
        <f>IFERROR(__xludf.DUMMYFUNCTION("IFERROR(SPARKLINE(AA43,{""charttype"",""bar"";""color1"",IF(AA43&gt;='Апрель'!green_percent,'Апрель'!green,IF(AA43&gt;='Апрель'!yellow_percent,'Апрель'!yellow,IF(AA43&gt;='Апрель'!orange_percent,'Апрель'!orange,'Апрель'!red)));""max"",1}))"),"")</f>
        <v/>
      </c>
      <c r="AC43" s="729">
        <v>1.3333333333333333</v>
      </c>
      <c r="AD43" s="459">
        <v>0.0</v>
      </c>
      <c r="AE43" s="729">
        <v>1.3333333333333333</v>
      </c>
      <c r="AF43" s="712">
        <v>2.0</v>
      </c>
      <c r="AG43" s="729">
        <v>1.3333333333333333</v>
      </c>
      <c r="AH43" s="712">
        <v>2.0</v>
      </c>
      <c r="AI43" s="729">
        <v>1.3333333333333333</v>
      </c>
      <c r="AJ43" s="730">
        <v>1.0</v>
      </c>
      <c r="AK43" s="729">
        <v>1.3333333333333333</v>
      </c>
      <c r="AL43" s="712">
        <v>3.0</v>
      </c>
      <c r="AM43" s="729">
        <v>1.3333333333333333</v>
      </c>
      <c r="AN43" s="712">
        <v>0.0</v>
      </c>
      <c r="AO43" s="729">
        <v>1.3333333333333333</v>
      </c>
      <c r="AP43" s="712">
        <v>0.0</v>
      </c>
      <c r="AQ43" s="460">
        <f t="shared" ref="AQ43:AR43" si="124">AC43+AE43+AG43+AI43+AK43+AM43+AO43</f>
        <v>9.333333333</v>
      </c>
      <c r="AR43" s="464">
        <f t="shared" si="124"/>
        <v>8</v>
      </c>
      <c r="AS43" s="279">
        <f t="shared" si="115"/>
        <v>0.8571428571</v>
      </c>
      <c r="AT43" s="462" t="str">
        <f>IFERROR(__xludf.DUMMYFUNCTION("IFERROR(SPARKLINE(AS43,{""charttype"",""bar"";""color1"",IF(AS43&gt;='Апрель'!green_percent,'Апрель'!green,IF(AS43&gt;='Апрель'!yellow_percent,'Апрель'!yellow,IF(AS43&gt;='Апрель'!orange_percent,'Апрель'!orange,'Апрель'!red)));""max"",1}))"),"")</f>
        <v/>
      </c>
      <c r="AU43" s="729">
        <v>1.3333333333333333</v>
      </c>
      <c r="AV43" s="466">
        <v>5.0</v>
      </c>
      <c r="AW43" s="729">
        <v>1.3333333333333333</v>
      </c>
      <c r="AX43" s="731">
        <v>2.0</v>
      </c>
      <c r="AY43" s="729">
        <v>1.3333333333333333</v>
      </c>
      <c r="AZ43" s="466">
        <v>2.0</v>
      </c>
      <c r="BA43" s="729">
        <v>1.3333333333333333</v>
      </c>
      <c r="BB43" s="466">
        <v>1.0</v>
      </c>
      <c r="BC43" s="729">
        <v>1.3333333333333333</v>
      </c>
      <c r="BD43" s="466">
        <v>2.0</v>
      </c>
      <c r="BE43" s="729">
        <v>1.3333333333333333</v>
      </c>
      <c r="BF43" s="466">
        <v>1.0</v>
      </c>
      <c r="BG43" s="729">
        <v>1.3333333333333333</v>
      </c>
      <c r="BH43" s="466">
        <v>0.0</v>
      </c>
      <c r="BI43" s="460">
        <f t="shared" ref="BI43:BJ43" si="125">AU43+AW43+AY43+BA43+BC43+BE43+BG43</f>
        <v>9.333333333</v>
      </c>
      <c r="BJ43" s="464">
        <f t="shared" si="125"/>
        <v>13</v>
      </c>
      <c r="BK43" s="279">
        <f t="shared" si="117"/>
        <v>1.392857143</v>
      </c>
      <c r="BL43" s="462" t="str">
        <f>IFERROR(__xludf.DUMMYFUNCTION("IFERROR(SPARKLINE(BK43,{""charttype"",""bar"";""color1"",IF(BK43&gt;='Апрель'!green_percent,'Апрель'!green,IF(BK43&gt;='Апрель'!yellow_percent,'Апрель'!yellow,IF(BK43&gt;='Апрель'!orange_percent,'Апрель'!orange,'Апрель'!red)));""max"",1}))"),"")</f>
        <v/>
      </c>
      <c r="BM43" s="729">
        <v>1.3333333333333333</v>
      </c>
      <c r="BN43" s="466">
        <v>3.0</v>
      </c>
      <c r="BO43" s="729">
        <v>1.3333333333333333</v>
      </c>
      <c r="BP43" s="271">
        <v>3.0</v>
      </c>
      <c r="BQ43" s="729">
        <v>1.3333333333333333</v>
      </c>
      <c r="BR43" s="465">
        <v>2.0</v>
      </c>
      <c r="BS43" s="729">
        <v>1.3333333333333333</v>
      </c>
      <c r="BT43" s="465">
        <v>0.0</v>
      </c>
      <c r="BU43" s="729">
        <v>1.3333333333333333</v>
      </c>
      <c r="BV43" s="465">
        <v>3.0</v>
      </c>
      <c r="BW43" s="729">
        <v>1.3333333333333333</v>
      </c>
      <c r="BX43" s="465">
        <v>0.0</v>
      </c>
      <c r="BY43" s="729">
        <v>1.3333333333333333</v>
      </c>
      <c r="BZ43" s="465">
        <v>0.0</v>
      </c>
      <c r="CA43" s="460">
        <v>9.333333333333332</v>
      </c>
      <c r="CB43" s="464">
        <f t="shared" si="118"/>
        <v>11</v>
      </c>
      <c r="CC43" s="279">
        <f t="shared" si="105"/>
        <v>1.178571429</v>
      </c>
      <c r="CD43" s="462" t="str">
        <f>IFERROR(__xludf.DUMMYFUNCTION("IFERROR(SPARKLINE(CC43,{""charttype"",""bar"";""color1"",IF(CC43&gt;='Апрель'!green_percent,'Апрель'!green,IF(CC43&gt;='Апрель'!yellow_percent,'Апрель'!yellow,IF(CC43&gt;='Апрель'!orange_percent,'Апрель'!orange,'Апрель'!red)));""max"",1}))"),"")</f>
        <v/>
      </c>
      <c r="CE43" s="729">
        <v>1.3333333333333333</v>
      </c>
      <c r="CF43" s="466">
        <v>1.0</v>
      </c>
      <c r="CG43" s="729">
        <v>1.3333333333333333</v>
      </c>
      <c r="CH43" s="466">
        <v>3.0</v>
      </c>
      <c r="CI43" s="729">
        <v>1.3333333333333333</v>
      </c>
      <c r="CJ43" s="466">
        <v>7.0</v>
      </c>
      <c r="CK43" s="729">
        <v>1.3333333333333333</v>
      </c>
      <c r="CL43" s="466">
        <v>2.0</v>
      </c>
      <c r="CM43" s="256"/>
      <c r="CN43" s="726"/>
      <c r="CO43" s="256"/>
      <c r="CP43" s="726"/>
      <c r="CQ43" s="256"/>
      <c r="CR43" s="466"/>
      <c r="CS43" s="732">
        <f t="shared" si="119"/>
        <v>5.333333333</v>
      </c>
      <c r="CT43" s="733">
        <f t="shared" si="120"/>
        <v>13</v>
      </c>
      <c r="CU43" s="231">
        <f t="shared" si="121"/>
        <v>2.4375</v>
      </c>
      <c r="CV43" s="232" t="str">
        <f>IFERROR(__xludf.DUMMYFUNCTION("IFERROR(SPARKLINE(CU43,{""charttype"",""bar"";""color1"",IF(CU43&gt;='Апрель'!green_percent,'Апрель'!green,IF(CU43&gt;='Апрель'!yellow_percent,'Апрель'!yellow,IF(CU43&gt;='Апрель'!orange_percent,'Апрель'!orange,'Апрель'!red)));""max"",1}))"),"")</f>
        <v/>
      </c>
      <c r="CW43" s="261"/>
      <c r="CX43" s="734"/>
      <c r="CY43" s="719"/>
      <c r="CZ43" s="734"/>
      <c r="DA43" s="735"/>
      <c r="DB43" s="736"/>
      <c r="DC43" s="735"/>
      <c r="DD43" s="736"/>
      <c r="DE43" s="735"/>
      <c r="DF43" s="736"/>
      <c r="DG43" s="735"/>
      <c r="DH43" s="736"/>
      <c r="DI43" s="735"/>
      <c r="DJ43" s="736"/>
      <c r="DK43" s="737">
        <f t="shared" ref="DK43:DL43" si="126">CW43+CY43+DA43+DC43+DE43+DG43+DI43</f>
        <v>0</v>
      </c>
      <c r="DL43" s="290">
        <f t="shared" si="126"/>
        <v>0</v>
      </c>
      <c r="DM43" s="478" t="str">
        <f t="shared" si="123"/>
        <v/>
      </c>
      <c r="DN43" s="479" t="str">
        <f>IFERROR(__xludf.DUMMYFUNCTION("IFERROR(SPARKLINE(DM43,{""charttype"",""bar"";""color1"",IF(DM43&gt;='Апрель'!green_percent,'Апрель'!green,IF(DM43&gt;='Апрель'!yellow_percent,'Апрель'!yellow,IF(DM43&gt;='Апрель'!orange_percent,'Апрель'!orange,'Апрель'!red)));""max"",1}))"),"")</f>
        <v/>
      </c>
      <c r="DO43" s="738"/>
      <c r="DP43" s="738"/>
    </row>
    <row r="44">
      <c r="A44" s="703"/>
      <c r="B44" s="579" t="s">
        <v>22</v>
      </c>
      <c r="C44" s="242"/>
      <c r="D44" s="242"/>
      <c r="E44" s="243"/>
      <c r="F44" s="411">
        <f t="shared" ref="F44:G44" si="127">F41/F43</f>
        <v>4000</v>
      </c>
      <c r="G44" s="411">
        <f t="shared" si="127"/>
        <v>2298.103448</v>
      </c>
      <c r="H44" s="704">
        <f t="shared" si="110"/>
        <v>0.5745258621</v>
      </c>
      <c r="I44" s="705" t="str">
        <f>IFERROR(__xludf.DUMMYFUNCTION("IFERROR(SPARKLINE(H44,{""charttype"",""bar"";""color1"",IF(H44&gt;='Апрель'!green_percent,'Апрель'!green,IF(H44&gt;='Апрель'!yellow_percent,'Апрель'!yellow,IF(H44&gt;='Апрель'!orange_percent,'Апрель'!orange,'Апрель'!red)));""max"",1}))"),"")</f>
        <v/>
      </c>
      <c r="K44" s="706"/>
      <c r="L44" s="708"/>
      <c r="M44" s="706"/>
      <c r="N44" s="708"/>
      <c r="O44" s="676">
        <f>F44</f>
        <v>4000</v>
      </c>
      <c r="P44" s="710">
        <f>P41/P43</f>
        <v>940.3333333</v>
      </c>
      <c r="Q44" s="676">
        <f>F44</f>
        <v>4000</v>
      </c>
      <c r="R44" s="710">
        <f>R41/R43</f>
        <v>720.4</v>
      </c>
      <c r="S44" s="676">
        <f>F44</f>
        <v>4000</v>
      </c>
      <c r="T44" s="739">
        <f>T41/T43</f>
        <v>3955</v>
      </c>
      <c r="U44" s="676">
        <f>F44</f>
        <v>4000</v>
      </c>
      <c r="V44" s="710">
        <f>V41/V43</f>
        <v>2304</v>
      </c>
      <c r="W44" s="679">
        <f>F44</f>
        <v>4000</v>
      </c>
      <c r="X44" s="739">
        <f>X41/X43</f>
        <v>2315.5</v>
      </c>
      <c r="Y44" s="423">
        <f>F44</f>
        <v>4000</v>
      </c>
      <c r="Z44" s="428">
        <f>Z41/Z43</f>
        <v>1509</v>
      </c>
      <c r="AA44" s="412">
        <f t="shared" si="113"/>
        <v>0.37725</v>
      </c>
      <c r="AB44" s="424" t="str">
        <f>IFERROR(__xludf.DUMMYFUNCTION("IFERROR(SPARKLINE(AA44,{""charttype"",""bar"";""color1"",IF(AA44&gt;='Апрель'!green_percent,'Апрель'!green,IF(AA44&gt;='Апрель'!yellow_percent,'Апрель'!yellow,IF(AA44&gt;='Апрель'!orange_percent,'Апрель'!orange,'Апрель'!red)));""max"",1}))"),"")</f>
        <v/>
      </c>
      <c r="AC44" s="740">
        <v>4000.0</v>
      </c>
      <c r="AD44" s="741"/>
      <c r="AE44" s="740">
        <v>4000.0</v>
      </c>
      <c r="AF44" s="742">
        <f>AF41/AF43</f>
        <v>1188</v>
      </c>
      <c r="AG44" s="740">
        <v>4000.0</v>
      </c>
      <c r="AH44" s="742">
        <f>AH41/AH43</f>
        <v>1357.5</v>
      </c>
      <c r="AI44" s="740">
        <v>4000.0</v>
      </c>
      <c r="AJ44" s="742">
        <f>AJ41/AJ43</f>
        <v>2629</v>
      </c>
      <c r="AK44" s="740">
        <v>4000.0</v>
      </c>
      <c r="AL44" s="742">
        <f>AL41/AL43</f>
        <v>1153.666667</v>
      </c>
      <c r="AM44" s="740">
        <v>4000.0</v>
      </c>
      <c r="AN44" s="459"/>
      <c r="AO44" s="740">
        <v>4000.0</v>
      </c>
      <c r="AP44" s="459"/>
      <c r="AQ44" s="343">
        <v>4000.0</v>
      </c>
      <c r="AR44" s="428">
        <f>AR41/AR43</f>
        <v>2428.75</v>
      </c>
      <c r="AS44" s="253">
        <f t="shared" si="115"/>
        <v>0.6071875</v>
      </c>
      <c r="AT44" s="427" t="str">
        <f>IFERROR(__xludf.DUMMYFUNCTION("IFERROR(SPARKLINE(AS44,{""charttype"",""bar"";""color1"",IF(AS44&gt;='Апрель'!green_percent,'Апрель'!green,IF(AS44&gt;='Апрель'!yellow_percent,'Апрель'!yellow,IF(AS44&gt;='Апрель'!orange_percent,'Апрель'!orange,'Апрель'!red)));""max"",1}))"),"")</f>
        <v/>
      </c>
      <c r="AU44" s="740">
        <v>4000.0</v>
      </c>
      <c r="AV44" s="739">
        <f>AV41/AV43</f>
        <v>844.8</v>
      </c>
      <c r="AW44" s="740">
        <v>4000.0</v>
      </c>
      <c r="AX44" s="743">
        <f>AX41/AX43</f>
        <v>2555.5</v>
      </c>
      <c r="AY44" s="740">
        <v>4000.0</v>
      </c>
      <c r="AZ44" s="739">
        <f>AZ41/AZ43</f>
        <v>2538</v>
      </c>
      <c r="BA44" s="740">
        <v>4000.0</v>
      </c>
      <c r="BB44" s="739">
        <f>BB41/BB43</f>
        <v>4750</v>
      </c>
      <c r="BC44" s="740">
        <v>4000.0</v>
      </c>
      <c r="BD44" s="739">
        <f>BD41/BD43</f>
        <v>2518</v>
      </c>
      <c r="BE44" s="740">
        <v>4000.0</v>
      </c>
      <c r="BF44" s="739">
        <f>BF41/BF43</f>
        <v>5425</v>
      </c>
      <c r="BG44" s="740">
        <v>4000.0</v>
      </c>
      <c r="BH44" s="710"/>
      <c r="BI44" s="343">
        <v>4000.0</v>
      </c>
      <c r="BJ44" s="428">
        <f>BJ41/BJ43</f>
        <v>2731.769231</v>
      </c>
      <c r="BK44" s="253">
        <f t="shared" si="117"/>
        <v>0.6829423077</v>
      </c>
      <c r="BL44" s="427" t="str">
        <f>IFERROR(__xludf.DUMMYFUNCTION("IFERROR(SPARKLINE(BK44,{""charttype"",""bar"";""color1"",IF(BK44&gt;='Апрель'!green_percent,'Апрель'!green,IF(BK44&gt;='Апрель'!yellow_percent,'Апрель'!yellow,IF(BK44&gt;='Апрель'!orange_percent,'Апрель'!orange,'Апрель'!red)));""max"",1}))"),"")</f>
        <v/>
      </c>
      <c r="BM44" s="740">
        <v>4000.0</v>
      </c>
      <c r="BN44" s="739">
        <f>BN41/BN43</f>
        <v>1667.666667</v>
      </c>
      <c r="BO44" s="740">
        <v>4000.0</v>
      </c>
      <c r="BP44" s="342">
        <f>BP41/BP43</f>
        <v>1491</v>
      </c>
      <c r="BQ44" s="740">
        <v>4000.0</v>
      </c>
      <c r="BR44" s="744">
        <f>BR41/BR43</f>
        <v>2317.5</v>
      </c>
      <c r="BS44" s="740">
        <v>4000.0</v>
      </c>
      <c r="BT44" s="716"/>
      <c r="BU44" s="740">
        <v>4000.0</v>
      </c>
      <c r="BV44" s="744">
        <f>BV41/BV43</f>
        <v>1803.666667</v>
      </c>
      <c r="BW44" s="740">
        <v>4000.0</v>
      </c>
      <c r="BX44" s="716"/>
      <c r="BY44" s="740">
        <v>4000.0</v>
      </c>
      <c r="BZ44" s="716"/>
      <c r="CA44" s="343">
        <v>4000.0</v>
      </c>
      <c r="CB44" s="486">
        <f t="shared" si="118"/>
        <v>7279.833333</v>
      </c>
      <c r="CC44" s="253">
        <f t="shared" si="105"/>
        <v>1.819958333</v>
      </c>
      <c r="CD44" s="427" t="str">
        <f>IFERROR(__xludf.DUMMYFUNCTION("IFERROR(SPARKLINE(CC44,{""charttype"",""bar"";""color1"",IF(CC44&gt;='Апрель'!green_percent,'Апрель'!green,IF(CC44&gt;='Апрель'!yellow_percent,'Апрель'!yellow,IF(CC44&gt;='Апрель'!orange_percent,'Апрель'!orange,'Апрель'!red)));""max"",1}))"),"")</f>
        <v/>
      </c>
      <c r="CE44" s="740">
        <v>4000.0</v>
      </c>
      <c r="CF44" s="739">
        <f>CF41/CF43</f>
        <v>4722</v>
      </c>
      <c r="CG44" s="740">
        <v>4000.0</v>
      </c>
      <c r="CH44" s="739">
        <f>CH41/CH43</f>
        <v>2256.666667</v>
      </c>
      <c r="CI44" s="740">
        <v>4000.0</v>
      </c>
      <c r="CJ44" s="739">
        <f>CJ41/CJ43</f>
        <v>536.1428571</v>
      </c>
      <c r="CK44" s="740">
        <v>4000.0</v>
      </c>
      <c r="CL44" s="739">
        <f>CL41/CL43</f>
        <v>2916</v>
      </c>
      <c r="CM44" s="256"/>
      <c r="CN44" s="708"/>
      <c r="CO44" s="256"/>
      <c r="CP44" s="708"/>
      <c r="CQ44" s="256"/>
      <c r="CR44" s="710"/>
      <c r="CS44" s="745">
        <f>CE44+CG44+CI44+CK44</f>
        <v>16000</v>
      </c>
      <c r="CT44" s="437">
        <f>CT41/CT43</f>
        <v>1621.307692</v>
      </c>
      <c r="CU44" s="259">
        <f t="shared" si="121"/>
        <v>0.1013317308</v>
      </c>
      <c r="CV44" s="260" t="str">
        <f>IFERROR(__xludf.DUMMYFUNCTION("IFERROR(SPARKLINE(CU44,{""charttype"",""bar"";""color1"",IF(CU44&gt;='Апрель'!green_percent,'Апрель'!green,IF(CU44&gt;='Апрель'!yellow_percent,'Апрель'!yellow,IF(CU44&gt;='Апрель'!orange_percent,'Апрель'!orange,'Апрель'!red)));""max"",1}))"),"")</f>
        <v/>
      </c>
      <c r="CW44" s="261"/>
      <c r="CX44" s="746"/>
      <c r="CY44" s="719"/>
      <c r="CZ44" s="746"/>
      <c r="DA44" s="747"/>
      <c r="DB44" s="748"/>
      <c r="DC44" s="747"/>
      <c r="DD44" s="748"/>
      <c r="DE44" s="747"/>
      <c r="DF44" s="748"/>
      <c r="DG44" s="747"/>
      <c r="DH44" s="748"/>
      <c r="DI44" s="747"/>
      <c r="DJ44" s="748"/>
      <c r="DK44" s="722">
        <f t="shared" ref="DK44:DL44" si="128">CW44+CY44+DA44+DC44+DE44+DG44+DI44</f>
        <v>0</v>
      </c>
      <c r="DL44" s="749">
        <f t="shared" si="128"/>
        <v>0</v>
      </c>
      <c r="DM44" s="444" t="str">
        <f t="shared" si="123"/>
        <v/>
      </c>
      <c r="DN44" s="445" t="str">
        <f>IFERROR(__xludf.DUMMYFUNCTION("IFERROR(SPARKLINE(DM44,{""charttype"",""bar"";""color1"",IF(DM44&gt;='Апрель'!green_percent,'Апрель'!green,IF(DM44&gt;='Апрель'!yellow_percent,'Апрель'!yellow,IF(DM44&gt;='Апрель'!orange_percent,'Апрель'!orange,'Апрель'!red)));""max"",1}))"),"")</f>
        <v/>
      </c>
      <c r="DO44" s="750"/>
      <c r="DP44" s="750"/>
    </row>
    <row r="45">
      <c r="A45" s="673"/>
      <c r="B45" s="724" t="s">
        <v>46</v>
      </c>
      <c r="C45" s="217"/>
      <c r="D45" s="217"/>
      <c r="E45" s="218"/>
      <c r="F45" s="219">
        <f t="shared" ref="F45:G45" si="129">F43/F42</f>
        <v>0.02352941176</v>
      </c>
      <c r="G45" s="219">
        <f t="shared" si="129"/>
        <v>0.002624790696</v>
      </c>
      <c r="H45" s="543">
        <f t="shared" si="110"/>
        <v>0.1115536046</v>
      </c>
      <c r="I45" s="675" t="str">
        <f>IFERROR(__xludf.DUMMYFUNCTION("IFERROR(SPARKLINE(H45,{""charttype"",""bar"";""color1"",IF(H45&gt;='Апрель'!green_percent,'Апрель'!green,IF(H45&gt;='Апрель'!yellow_percent,'Апрель'!yellow,IF(H45&gt;='Апрель'!orange_percent,'Апрель'!orange,'Апрель'!red)));""max"",1}))"),"")</f>
        <v/>
      </c>
      <c r="K45" s="751"/>
      <c r="L45" s="752"/>
      <c r="M45" s="751"/>
      <c r="N45" s="753"/>
      <c r="O45" s="754">
        <f t="shared" ref="O45:P45" si="130">O43/O42</f>
        <v>0.02352941176</v>
      </c>
      <c r="P45" s="755">
        <f t="shared" si="130"/>
        <v>0.007228915663</v>
      </c>
      <c r="Q45" s="754">
        <v>0.023529411764705882</v>
      </c>
      <c r="R45" s="755">
        <f>R43/R42</f>
        <v>0.01246882793</v>
      </c>
      <c r="S45" s="754">
        <v>0.023529411764705882</v>
      </c>
      <c r="T45" s="755">
        <f>T43/T42</f>
        <v>0.0009708737864</v>
      </c>
      <c r="U45" s="754">
        <v>0.023529411764705882</v>
      </c>
      <c r="V45" s="755">
        <f>V43/V42</f>
        <v>0.0008413967186</v>
      </c>
      <c r="W45" s="315">
        <v>0.023529411764705882</v>
      </c>
      <c r="X45" s="756">
        <f t="shared" ref="X45:Z45" si="131">X43/X42</f>
        <v>0.0007581501137</v>
      </c>
      <c r="Y45" s="348">
        <f t="shared" si="131"/>
        <v>0.02352941176</v>
      </c>
      <c r="Z45" s="757">
        <f t="shared" si="131"/>
        <v>0.001894767527</v>
      </c>
      <c r="AA45" s="220">
        <f t="shared" si="113"/>
        <v>0.08052761988</v>
      </c>
      <c r="AB45" s="458" t="str">
        <f>IFERROR(__xludf.DUMMYFUNCTION("IFERROR(SPARKLINE(AA45,{""charttype"",""bar"";""color1"",IF(AA45&gt;='Апрель'!green_percent,'Апрель'!green,IF(AA45&gt;='Апрель'!yellow_percent,'Апрель'!yellow,IF(AA45&gt;='Апрель'!orange_percent,'Апрель'!orange,'Апрель'!red)));""max"",1}))"),"")</f>
        <v/>
      </c>
      <c r="AC45" s="519">
        <v>0.023529411764705882</v>
      </c>
      <c r="AD45" s="758"/>
      <c r="AE45" s="519">
        <v>0.023529411764705882</v>
      </c>
      <c r="AF45" s="759">
        <f>AF43/AF42</f>
        <v>0.00395256917</v>
      </c>
      <c r="AG45" s="519">
        <v>0.023529411764705882</v>
      </c>
      <c r="AH45" s="759">
        <f>AH43/AH42</f>
        <v>0.00202020202</v>
      </c>
      <c r="AI45" s="519">
        <v>0.023529411764705882</v>
      </c>
      <c r="AJ45" s="759">
        <f>AJ43/AJ42</f>
        <v>0.001718213058</v>
      </c>
      <c r="AK45" s="519">
        <v>0.023529411764705882</v>
      </c>
      <c r="AL45" s="759">
        <f>AL43/AL42</f>
        <v>0.008108108108</v>
      </c>
      <c r="AM45" s="519">
        <v>0.023529411764705882</v>
      </c>
      <c r="AN45" s="760"/>
      <c r="AO45" s="519">
        <v>0.023529411764705882</v>
      </c>
      <c r="AP45" s="760"/>
      <c r="AQ45" s="761">
        <f t="shared" ref="AQ45:AR45" si="132">AQ43/AQ42</f>
        <v>0.02352941176</v>
      </c>
      <c r="AR45" s="762">
        <f t="shared" si="132"/>
        <v>0.001925391095</v>
      </c>
      <c r="AS45" s="279">
        <f t="shared" si="115"/>
        <v>0.08182912154</v>
      </c>
      <c r="AT45" s="462" t="str">
        <f>IFERROR(__xludf.DUMMYFUNCTION("IFERROR(SPARKLINE(AS45,{""charttype"",""bar"";""color1"",IF(AS45&gt;='Апрель'!green_percent,'Апрель'!green,IF(AS45&gt;='Апрель'!yellow_percent,'Апрель'!yellow,IF(AS45&gt;='Апрель'!orange_percent,'Апрель'!orange,'Апрель'!red)));""max"",1}))"),"")</f>
        <v/>
      </c>
      <c r="AU45" s="519">
        <v>0.023529411764705882</v>
      </c>
      <c r="AV45" s="539">
        <f>AV43/AV42</f>
        <v>0.007898894155</v>
      </c>
      <c r="AW45" s="519">
        <v>0.023529411764705882</v>
      </c>
      <c r="AX45" s="539">
        <f>AX43/AX42</f>
        <v>0.002341920375</v>
      </c>
      <c r="AY45" s="519">
        <v>0.023529411764705882</v>
      </c>
      <c r="AZ45" s="755">
        <f>AZ43/AZ42</f>
        <v>0.005319148936</v>
      </c>
      <c r="BA45" s="519">
        <v>0.023529411764705882</v>
      </c>
      <c r="BB45" s="755">
        <f>BB43/BB42</f>
        <v>0.002109704641</v>
      </c>
      <c r="BC45" s="519">
        <v>0.023529411764705882</v>
      </c>
      <c r="BD45" s="755">
        <f>BD43/BD42</f>
        <v>0.003539823009</v>
      </c>
      <c r="BE45" s="519">
        <v>0.023529411764705882</v>
      </c>
      <c r="BF45" s="755">
        <f>BF43/BF42</f>
        <v>0.001189060642</v>
      </c>
      <c r="BG45" s="519">
        <v>0.023529411764705882</v>
      </c>
      <c r="BH45" s="763"/>
      <c r="BI45" s="348">
        <v>0.02352941176470588</v>
      </c>
      <c r="BJ45" s="279">
        <f t="shared" ref="BJ45:BJ46" si="138">AV45+AX45+AZ45+BB45+BD45+BF45+BH45</f>
        <v>0.02239855176</v>
      </c>
      <c r="BK45" s="279">
        <f t="shared" si="117"/>
        <v>0.9519384497</v>
      </c>
      <c r="BL45" s="462" t="str">
        <f>IFERROR(__xludf.DUMMYFUNCTION("IFERROR(SPARKLINE(BK45,{""charttype"",""bar"";""color1"",IF(BK45&gt;='Апрель'!green_percent,'Апрель'!green,IF(BK45&gt;='Апрель'!yellow_percent,'Апрель'!yellow,IF(BK45&gt;='Апрель'!orange_percent,'Апрель'!orange,'Апрель'!red)));""max"",1}))"),"")</f>
        <v/>
      </c>
      <c r="BM45" s="519">
        <v>0.023529411764705882</v>
      </c>
      <c r="BN45" s="533">
        <f>BN43/BN42</f>
        <v>0.01298701299</v>
      </c>
      <c r="BO45" s="519">
        <v>0.023529411764705882</v>
      </c>
      <c r="BP45" s="532">
        <f>BP43/BP42</f>
        <v>0.006211180124</v>
      </c>
      <c r="BQ45" s="519">
        <v>0.023529411764705882</v>
      </c>
      <c r="BR45" s="532">
        <f>BR43/BR42</f>
        <v>0.003710575139</v>
      </c>
      <c r="BS45" s="519">
        <v>0.023529411764705882</v>
      </c>
      <c r="BT45" s="503"/>
      <c r="BU45" s="519">
        <v>0.023529411764705882</v>
      </c>
      <c r="BV45" s="532">
        <f>BV43/BV42</f>
        <v>0.004823151125</v>
      </c>
      <c r="BW45" s="519">
        <v>0.023529411764705882</v>
      </c>
      <c r="BX45" s="503"/>
      <c r="BY45" s="519">
        <v>0.023529411764705882</v>
      </c>
      <c r="BZ45" s="503"/>
      <c r="CA45" s="348">
        <v>0.02352941176470588</v>
      </c>
      <c r="CB45" s="279">
        <f t="shared" si="118"/>
        <v>0.02773191938</v>
      </c>
      <c r="CC45" s="279">
        <f t="shared" si="105"/>
        <v>1.178606573</v>
      </c>
      <c r="CD45" s="462" t="str">
        <f>IFERROR(__xludf.DUMMYFUNCTION("IFERROR(SPARKLINE(CC45,{""charttype"",""bar"";""color1"",IF(CC45&gt;='Апрель'!green_percent,'Апрель'!green,IF(CC45&gt;='Апрель'!yellow_percent,'Апрель'!yellow,IF(CC45&gt;='Апрель'!orange_percent,'Апрель'!orange,'Апрель'!red)));""max"",1}))"),"")</f>
        <v/>
      </c>
      <c r="CE45" s="519">
        <v>0.023529411764705882</v>
      </c>
      <c r="CF45" s="533">
        <f>CF43/CF42</f>
        <v>0.003636363636</v>
      </c>
      <c r="CG45" s="519">
        <v>0.023529411764705882</v>
      </c>
      <c r="CH45" s="533">
        <f>CH43/CH42</f>
        <v>0.004846526656</v>
      </c>
      <c r="CI45" s="519">
        <v>0.023529411764705882</v>
      </c>
      <c r="CJ45" s="533">
        <f>CJ43/CJ42</f>
        <v>0.01489361702</v>
      </c>
      <c r="CK45" s="519">
        <v>0.023529411764705882</v>
      </c>
      <c r="CL45" s="533">
        <f>CL43/CL42</f>
        <v>0.002247191011</v>
      </c>
      <c r="CM45" s="467"/>
      <c r="CN45" s="500"/>
      <c r="CO45" s="467"/>
      <c r="CP45" s="500"/>
      <c r="CQ45" s="467"/>
      <c r="CR45" s="504"/>
      <c r="CS45" s="764">
        <v>0.023529411764705882</v>
      </c>
      <c r="CT45" s="230">
        <f>CF45+CH45+CJ45+CL45+CN45+CP45+CR45</f>
        <v>0.02562369832</v>
      </c>
      <c r="CU45" s="231">
        <f t="shared" si="121"/>
        <v>1.089007179</v>
      </c>
      <c r="CV45" s="232" t="str">
        <f>IFERROR(__xludf.DUMMYFUNCTION("IFERROR(SPARKLINE(CU45,{""charttype"",""bar"";""color1"",IF(CU45&gt;='Апрель'!green_percent,'Апрель'!green,IF(CU45&gt;='Апрель'!yellow_percent,'Апрель'!yellow,IF(CU45&gt;='Апрель'!orange_percent,'Апрель'!orange,'Апрель'!red)));""max"",1}))"),"")</f>
        <v/>
      </c>
      <c r="CW45" s="473"/>
      <c r="CX45" s="765"/>
      <c r="CY45" s="766"/>
      <c r="CZ45" s="765"/>
      <c r="DA45" s="767" t="str">
        <f t="shared" ref="DA45:DJ45" si="133">DA158</f>
        <v/>
      </c>
      <c r="DB45" s="765" t="str">
        <f t="shared" si="133"/>
        <v/>
      </c>
      <c r="DC45" s="767" t="str">
        <f t="shared" si="133"/>
        <v/>
      </c>
      <c r="DD45" s="765" t="str">
        <f t="shared" si="133"/>
        <v/>
      </c>
      <c r="DE45" s="767" t="str">
        <f t="shared" si="133"/>
        <v/>
      </c>
      <c r="DF45" s="765" t="str">
        <f t="shared" si="133"/>
        <v/>
      </c>
      <c r="DG45" s="767" t="str">
        <f t="shared" si="133"/>
        <v/>
      </c>
      <c r="DH45" s="765" t="str">
        <f t="shared" si="133"/>
        <v/>
      </c>
      <c r="DI45" s="767" t="str">
        <f t="shared" si="133"/>
        <v/>
      </c>
      <c r="DJ45" s="765" t="str">
        <f t="shared" si="133"/>
        <v/>
      </c>
      <c r="DK45" s="476">
        <f t="shared" ref="DK45:DL45" si="134">CW45+CY45+DA45+DC45+DE45+DG45+DI45</f>
        <v>0</v>
      </c>
      <c r="DL45" s="768">
        <f t="shared" si="134"/>
        <v>0</v>
      </c>
      <c r="DM45" s="769" t="str">
        <f t="shared" si="123"/>
        <v/>
      </c>
      <c r="DN45" s="770" t="str">
        <f>IFERROR(__xludf.DUMMYFUNCTION("IFERROR(SPARKLINE(DM45,{""charttype"",""bar"";""color1"",IF(DM45&gt;='Апрель'!green_percent,'Апрель'!green,IF(DM45&gt;='Апрель'!yellow_percent,'Апрель'!yellow,IF(DM45&gt;='Апрель'!orange_percent,'Апрель'!orange,'Апрель'!red)));""max"",1}))"),"")</f>
        <v/>
      </c>
      <c r="DO45" s="771" t="str">
        <f t="shared" ref="DO45:DP45" si="135">DO158</f>
        <v/>
      </c>
      <c r="DP45" s="771" t="str">
        <f t="shared" si="135"/>
        <v/>
      </c>
    </row>
    <row r="46">
      <c r="A46" s="703"/>
      <c r="B46" s="579" t="s">
        <v>35</v>
      </c>
      <c r="C46" s="242"/>
      <c r="D46" s="242"/>
      <c r="E46" s="243"/>
      <c r="F46" s="244">
        <v>13.0</v>
      </c>
      <c r="G46" s="244">
        <f>Z46+AR46+BJ46+CB46+CT46</f>
        <v>24</v>
      </c>
      <c r="H46" s="704">
        <f t="shared" si="110"/>
        <v>1.846153846</v>
      </c>
      <c r="I46" s="705" t="str">
        <f>IFERROR(__xludf.DUMMYFUNCTION("IFERROR(SPARKLINE(H46,{""charttype"",""bar"";""color1"",IF(H46&gt;='Апрель'!green_percent,'Апрель'!green,IF(H46&gt;='Апрель'!yellow_percent,'Апрель'!yellow,IF(H46&gt;='Апрель'!orange_percent,'Апрель'!orange,'Апрель'!red)));""max"",1}))"),"")</f>
        <v/>
      </c>
      <c r="K46" s="772"/>
      <c r="L46" s="773"/>
      <c r="M46" s="772"/>
      <c r="N46" s="774"/>
      <c r="O46" s="772">
        <f>F46/30</f>
        <v>0.4333333333</v>
      </c>
      <c r="P46" s="775">
        <v>1.0</v>
      </c>
      <c r="Q46" s="772">
        <v>0.43333333333333335</v>
      </c>
      <c r="R46" s="776">
        <v>1.0</v>
      </c>
      <c r="S46" s="727">
        <v>0.43333333333333335</v>
      </c>
      <c r="T46" s="776">
        <v>1.0</v>
      </c>
      <c r="U46" s="727">
        <v>0.43333333333333335</v>
      </c>
      <c r="V46" s="776">
        <v>2.0</v>
      </c>
      <c r="W46" s="728">
        <v>0.43333333333333335</v>
      </c>
      <c r="X46" s="777">
        <v>1.0</v>
      </c>
      <c r="Y46" s="531">
        <f t="shared" ref="Y46:Z46" si="136">O46+Q46+S46+U46+W46</f>
        <v>2.166666667</v>
      </c>
      <c r="Z46" s="486">
        <f t="shared" si="136"/>
        <v>6</v>
      </c>
      <c r="AA46" s="412">
        <f t="shared" si="113"/>
        <v>2.769230769</v>
      </c>
      <c r="AB46" s="424" t="str">
        <f>IFERROR(__xludf.DUMMYFUNCTION("IFERROR(SPARKLINE(AA46,{""charttype"",""bar"";""color1"",IF(AA46&gt;='Апрель'!green_percent,'Апрель'!green,IF(AA46&gt;='Апрель'!yellow_percent,'Апрель'!yellow,IF(AA46&gt;='Апрель'!orange_percent,'Апрель'!orange,'Апрель'!red)));""max"",1}))"),"")</f>
        <v/>
      </c>
      <c r="AC46" s="778">
        <v>0.43333333333333335</v>
      </c>
      <c r="AD46" s="459">
        <v>0.0</v>
      </c>
      <c r="AE46" s="778">
        <v>0.43333333333333335</v>
      </c>
      <c r="AF46" s="712">
        <v>2.0</v>
      </c>
      <c r="AG46" s="778">
        <v>0.43333333333333335</v>
      </c>
      <c r="AH46" s="712">
        <v>1.0</v>
      </c>
      <c r="AI46" s="778">
        <v>0.43333333333333335</v>
      </c>
      <c r="AJ46" s="712">
        <v>0.0</v>
      </c>
      <c r="AK46" s="778">
        <v>0.43333333333333335</v>
      </c>
      <c r="AL46" s="712">
        <v>1.0</v>
      </c>
      <c r="AM46" s="778">
        <v>0.43333333333333335</v>
      </c>
      <c r="AN46" s="760"/>
      <c r="AO46" s="778">
        <v>0.43333333333333335</v>
      </c>
      <c r="AP46" s="760"/>
      <c r="AQ46" s="779">
        <f t="shared" ref="AQ46:AR46" si="137">AC46+AE46+AG46+AI46+AK46+AM46+AO46</f>
        <v>3.033333333</v>
      </c>
      <c r="AR46" s="486">
        <f t="shared" si="137"/>
        <v>4</v>
      </c>
      <c r="AS46" s="253">
        <f t="shared" si="115"/>
        <v>1.318681319</v>
      </c>
      <c r="AT46" s="427" t="str">
        <f>IFERROR(__xludf.DUMMYFUNCTION("IFERROR(SPARKLINE(AS46,{""charttype"",""bar"";""color1"",IF(AS46&gt;='Апрель'!green_percent,'Апрель'!green,IF(AS46&gt;='Апрель'!yellow_percent,'Апрель'!yellow,IF(AS46&gt;='Апрель'!orange_percent,'Апрель'!orange,'Апрель'!red)));""max"",1}))"),"")</f>
        <v/>
      </c>
      <c r="AU46" s="778">
        <v>0.43333333333333335</v>
      </c>
      <c r="AV46" s="463">
        <v>0.0</v>
      </c>
      <c r="AW46" s="778">
        <v>0.43333333333333335</v>
      </c>
      <c r="AX46" s="463">
        <v>0.0</v>
      </c>
      <c r="AY46" s="778">
        <v>0.43333333333333335</v>
      </c>
      <c r="AZ46" s="776">
        <v>0.0</v>
      </c>
      <c r="BA46" s="778">
        <v>0.43333333333333335</v>
      </c>
      <c r="BB46" s="776">
        <v>1.0</v>
      </c>
      <c r="BC46" s="778">
        <v>0.43333333333333335</v>
      </c>
      <c r="BD46" s="776">
        <v>1.0</v>
      </c>
      <c r="BE46" s="778">
        <v>0.43333333333333335</v>
      </c>
      <c r="BF46" s="776">
        <v>0.0</v>
      </c>
      <c r="BG46" s="778">
        <v>0.43333333333333335</v>
      </c>
      <c r="BH46" s="463">
        <v>0.0</v>
      </c>
      <c r="BI46" s="535">
        <v>3.033333333333334</v>
      </c>
      <c r="BJ46" s="486">
        <f t="shared" si="138"/>
        <v>2</v>
      </c>
      <c r="BK46" s="253">
        <f t="shared" si="117"/>
        <v>0.6593406593</v>
      </c>
      <c r="BL46" s="427" t="str">
        <f>IFERROR(__xludf.DUMMYFUNCTION("IFERROR(SPARKLINE(BK46,{""charttype"",""bar"";""color1"",IF(BK46&gt;='Апрель'!green_percent,'Апрель'!green,IF(BK46&gt;='Апрель'!yellow_percent,'Апрель'!yellow,IF(BK46&gt;='Апрель'!orange_percent,'Апрель'!orange,'Апрель'!red)));""max"",1}))"),"")</f>
        <v/>
      </c>
      <c r="BM46" s="778">
        <v>0.43333333333333335</v>
      </c>
      <c r="BN46" s="710">
        <v>1.0</v>
      </c>
      <c r="BO46" s="778">
        <v>0.43333333333333335</v>
      </c>
      <c r="BP46" s="465">
        <v>1.0</v>
      </c>
      <c r="BQ46" s="778">
        <v>0.43333333333333335</v>
      </c>
      <c r="BR46" s="716">
        <v>1.0</v>
      </c>
      <c r="BS46" s="778">
        <v>0.43333333333333335</v>
      </c>
      <c r="BT46" s="465">
        <v>0.0</v>
      </c>
      <c r="BU46" s="778">
        <v>0.43333333333333335</v>
      </c>
      <c r="BV46" s="716">
        <v>1.0</v>
      </c>
      <c r="BW46" s="778">
        <v>0.43333333333333335</v>
      </c>
      <c r="BX46" s="716">
        <v>0.0</v>
      </c>
      <c r="BY46" s="778">
        <v>0.43333333333333335</v>
      </c>
      <c r="BZ46" s="716">
        <v>0.0</v>
      </c>
      <c r="CA46" s="535">
        <v>3.033333333333334</v>
      </c>
      <c r="CB46" s="486">
        <f t="shared" si="118"/>
        <v>4</v>
      </c>
      <c r="CC46" s="253">
        <f t="shared" si="105"/>
        <v>1.318681319</v>
      </c>
      <c r="CD46" s="427" t="str">
        <f>IFERROR(__xludf.DUMMYFUNCTION("IFERROR(SPARKLINE(CC46,{""charttype"",""bar"";""color1"",IF(CC46&gt;='Апрель'!green_percent,'Апрель'!green,IF(CC46&gt;='Апрель'!yellow_percent,'Апрель'!yellow,IF(CC46&gt;='Апрель'!orange_percent,'Апрель'!orange,'Апрель'!red)));""max"",1}))"),"")</f>
        <v/>
      </c>
      <c r="CE46" s="778">
        <v>0.43333333333333335</v>
      </c>
      <c r="CF46" s="710">
        <v>1.0</v>
      </c>
      <c r="CG46" s="778">
        <v>0.43333333333333335</v>
      </c>
      <c r="CH46" s="710">
        <v>2.0</v>
      </c>
      <c r="CI46" s="778">
        <v>0.43333333333333335</v>
      </c>
      <c r="CJ46" s="710">
        <v>4.0</v>
      </c>
      <c r="CK46" s="778">
        <v>0.43333333333333335</v>
      </c>
      <c r="CL46" s="710">
        <v>1.0</v>
      </c>
      <c r="CM46" s="467"/>
      <c r="CN46" s="780"/>
      <c r="CO46" s="467"/>
      <c r="CP46" s="780"/>
      <c r="CQ46" s="467"/>
      <c r="CR46" s="739"/>
      <c r="CS46" s="781">
        <v>1.73</v>
      </c>
      <c r="CT46" s="258">
        <f>CF46+CH46+CJ46+CL46</f>
        <v>8</v>
      </c>
      <c r="CU46" s="259">
        <f t="shared" si="121"/>
        <v>4.624277457</v>
      </c>
      <c r="CV46" s="260" t="str">
        <f>IFERROR(__xludf.DUMMYFUNCTION("IFERROR(SPARKLINE(CU46,{""charttype"",""bar"";""color1"",IF(CU46&gt;='Апрель'!green_percent,'Апрель'!green,IF(CU46&gt;='Апрель'!yellow_percent,'Апрель'!yellow,IF(CU46&gt;='Апрель'!orange_percent,'Апрель'!orange,'Апрель'!red)));""max"",1}))"),"")</f>
        <v/>
      </c>
      <c r="CW46" s="473"/>
      <c r="CX46" s="552"/>
      <c r="CY46" s="766"/>
      <c r="CZ46" s="552"/>
      <c r="DA46" s="552"/>
      <c r="DB46" s="552"/>
      <c r="DC46" s="552"/>
      <c r="DD46" s="552"/>
      <c r="DE46" s="552"/>
      <c r="DF46" s="552"/>
      <c r="DG46" s="552"/>
      <c r="DH46" s="552"/>
      <c r="DI46" s="552"/>
      <c r="DJ46" s="552"/>
      <c r="DK46" s="782"/>
      <c r="DL46" s="783"/>
      <c r="DM46" s="784"/>
      <c r="DN46" s="785"/>
      <c r="DO46" s="552"/>
      <c r="DP46" s="552"/>
    </row>
    <row r="47">
      <c r="A47" s="673"/>
      <c r="B47" s="724" t="s">
        <v>25</v>
      </c>
      <c r="C47" s="217"/>
      <c r="D47" s="217"/>
      <c r="E47" s="218"/>
      <c r="F47" s="219">
        <f t="shared" ref="F47:G47" si="139">F46/F43</f>
        <v>0.325</v>
      </c>
      <c r="G47" s="219">
        <f t="shared" si="139"/>
        <v>0.4137931034</v>
      </c>
      <c r="H47" s="543">
        <f t="shared" si="110"/>
        <v>1.273209549</v>
      </c>
      <c r="I47" s="675" t="str">
        <f>IFERROR(__xludf.DUMMYFUNCTION("IFERROR(SPARKLINE(H47,{""charttype"",""bar"";""color1"",IF(H47&gt;='Апрель'!green_percent,'Апрель'!green,IF(H47&gt;='Апрель'!yellow_percent,'Апрель'!yellow,IF(H47&gt;='Апрель'!orange_percent,'Апрель'!orange,'Апрель'!red)));""max"",1}))"),"")</f>
        <v/>
      </c>
      <c r="K47" s="751"/>
      <c r="L47" s="752"/>
      <c r="M47" s="751"/>
      <c r="N47" s="753"/>
      <c r="O47" s="751">
        <f>O46/O42</f>
        <v>0.007647058824</v>
      </c>
      <c r="P47" s="755">
        <f>P46/P43</f>
        <v>0.3333333333</v>
      </c>
      <c r="Q47" s="751">
        <v>0.007647058823529412</v>
      </c>
      <c r="R47" s="755">
        <f>R46/R43</f>
        <v>0.2</v>
      </c>
      <c r="S47" s="754">
        <v>0.007647058823529412</v>
      </c>
      <c r="T47" s="755">
        <f>T46/T43</f>
        <v>1</v>
      </c>
      <c r="U47" s="754">
        <v>0.007647058823529412</v>
      </c>
      <c r="V47" s="755">
        <f>V46/V43</f>
        <v>1</v>
      </c>
      <c r="W47" s="315">
        <v>0.007647058823529412</v>
      </c>
      <c r="X47" s="756">
        <f t="shared" ref="X47:Z47" si="140">X46/X43</f>
        <v>0.5</v>
      </c>
      <c r="Y47" s="348">
        <f t="shared" si="140"/>
        <v>0.325</v>
      </c>
      <c r="Z47" s="279">
        <f t="shared" si="140"/>
        <v>0.4615384615</v>
      </c>
      <c r="AA47" s="220">
        <f t="shared" si="113"/>
        <v>1.420118343</v>
      </c>
      <c r="AB47" s="458" t="str">
        <f>IFERROR(__xludf.DUMMYFUNCTION("IFERROR(SPARKLINE(AA47,{""charttype"",""bar"";""color1"",IF(AA47&gt;='Апрель'!green_percent,'Апрель'!green,IF(AA47&gt;='Апрель'!yellow_percent,'Апрель'!yellow,IF(AA47&gt;='Апрель'!orange_percent,'Апрель'!orange,'Апрель'!red)));""max"",1}))"),"")</f>
        <v/>
      </c>
      <c r="AC47" s="519">
        <v>0.007647058823529412</v>
      </c>
      <c r="AD47" s="758"/>
      <c r="AE47" s="519">
        <v>0.007647058823529412</v>
      </c>
      <c r="AF47" s="759">
        <f>AF46/AF43</f>
        <v>1</v>
      </c>
      <c r="AG47" s="519">
        <v>0.007647058823529412</v>
      </c>
      <c r="AH47" s="759">
        <f>AH46/AH43</f>
        <v>0.5</v>
      </c>
      <c r="AI47" s="519">
        <v>0.007647058823529412</v>
      </c>
      <c r="AJ47" s="760"/>
      <c r="AK47" s="519">
        <v>0.007647058823529412</v>
      </c>
      <c r="AL47" s="759">
        <f>AL46/AL43</f>
        <v>0.3333333333</v>
      </c>
      <c r="AM47" s="519">
        <v>0.007647058823529412</v>
      </c>
      <c r="AN47" s="760"/>
      <c r="AO47" s="519">
        <v>0.007647058823529412</v>
      </c>
      <c r="AP47" s="760"/>
      <c r="AQ47" s="761">
        <f t="shared" ref="AQ47:AR47" si="141">AQ46/AQ43</f>
        <v>0.325</v>
      </c>
      <c r="AR47" s="279">
        <f t="shared" si="141"/>
        <v>0.5</v>
      </c>
      <c r="AS47" s="279">
        <f t="shared" si="115"/>
        <v>1.538461538</v>
      </c>
      <c r="AT47" s="462" t="str">
        <f>IFERROR(__xludf.DUMMYFUNCTION("IFERROR(SPARKLINE(AS47,{""charttype"",""bar"";""color1"",IF(AS47&gt;='Апрель'!green_percent,'Апрель'!green,IF(AS47&gt;='Апрель'!yellow_percent,'Апрель'!yellow,IF(AS47&gt;='Апрель'!orange_percent,'Апрель'!orange,'Апрель'!red)));""max"",1}))"),"")</f>
        <v/>
      </c>
      <c r="AU47" s="519">
        <v>0.007647058823529412</v>
      </c>
      <c r="AV47" s="763"/>
      <c r="AW47" s="519">
        <v>0.007647058823529412</v>
      </c>
      <c r="AX47" s="763"/>
      <c r="AY47" s="519">
        <v>0.007647058823529412</v>
      </c>
      <c r="AZ47" s="786"/>
      <c r="BA47" s="519">
        <v>0.007647058823529412</v>
      </c>
      <c r="BB47" s="755">
        <f>BB46/BB43</f>
        <v>1</v>
      </c>
      <c r="BC47" s="519">
        <v>0.007647058823529412</v>
      </c>
      <c r="BD47" s="755">
        <f>BD46/BD43</f>
        <v>0.5</v>
      </c>
      <c r="BE47" s="519">
        <v>0.007647058823529412</v>
      </c>
      <c r="BF47" s="786"/>
      <c r="BG47" s="519">
        <v>0.007647058823529412</v>
      </c>
      <c r="BH47" s="463"/>
      <c r="BI47" s="348">
        <v>0.3250000000000001</v>
      </c>
      <c r="BJ47" s="279">
        <f>BJ46/BJ43</f>
        <v>0.1538461538</v>
      </c>
      <c r="BK47" s="279">
        <f t="shared" si="117"/>
        <v>0.4733727811</v>
      </c>
      <c r="BL47" s="462" t="str">
        <f>IFERROR(__xludf.DUMMYFUNCTION("IFERROR(SPARKLINE(BK47,{""charttype"",""bar"";""color1"",IF(BK47&gt;='Апрель'!green_percent,'Апрель'!green,IF(BK47&gt;='Апрель'!yellow_percent,'Апрель'!yellow,IF(BK47&gt;='Апрель'!orange_percent,'Апрель'!orange,'Апрель'!red)));""max"",1}))"),"")</f>
        <v/>
      </c>
      <c r="BM47" s="519">
        <v>0.007647058823529412</v>
      </c>
      <c r="BN47" s="533">
        <f>BN46/BN43</f>
        <v>0.3333333333</v>
      </c>
      <c r="BO47" s="519">
        <v>0.007647058823529412</v>
      </c>
      <c r="BP47" s="532">
        <f>BP46/BP43</f>
        <v>0.3333333333</v>
      </c>
      <c r="BQ47" s="519">
        <v>0.007647058823529412</v>
      </c>
      <c r="BR47" s="532">
        <f>BR46/BR43</f>
        <v>0.5</v>
      </c>
      <c r="BS47" s="519">
        <v>0.007647058823529412</v>
      </c>
      <c r="BT47" s="503"/>
      <c r="BU47" s="519">
        <v>0.007647058823529412</v>
      </c>
      <c r="BV47" s="532">
        <f>BV46/BV43</f>
        <v>0.3333333333</v>
      </c>
      <c r="BW47" s="519">
        <v>0.007647058823529412</v>
      </c>
      <c r="BX47" s="503"/>
      <c r="BY47" s="519">
        <v>0.007647058823529412</v>
      </c>
      <c r="BZ47" s="503"/>
      <c r="CA47" s="348">
        <v>0.3250000000000001</v>
      </c>
      <c r="CB47" s="279">
        <f>CB46/CB43</f>
        <v>0.3636363636</v>
      </c>
      <c r="CC47" s="279">
        <f t="shared" si="105"/>
        <v>1.118881119</v>
      </c>
      <c r="CD47" s="462" t="str">
        <f>IFERROR(__xludf.DUMMYFUNCTION("IFERROR(SPARKLINE(CC47,{""charttype"",""bar"";""color1"",IF(CC47&gt;='Апрель'!green_percent,'Апрель'!green,IF(CC47&gt;='Апрель'!yellow_percent,'Апрель'!yellow,IF(CC47&gt;='Апрель'!orange_percent,'Апрель'!orange,'Апрель'!red)));""max"",1}))"),"")</f>
        <v/>
      </c>
      <c r="CE47" s="519">
        <v>0.007647058823529412</v>
      </c>
      <c r="CF47" s="533">
        <f>CF46/CF43</f>
        <v>1</v>
      </c>
      <c r="CG47" s="519">
        <v>0.007647058823529412</v>
      </c>
      <c r="CH47" s="533">
        <f>CH46/CH43</f>
        <v>0.6666666667</v>
      </c>
      <c r="CI47" s="519">
        <v>0.007647058823529412</v>
      </c>
      <c r="CJ47" s="533">
        <f>CJ46/CJ43</f>
        <v>0.5714285714</v>
      </c>
      <c r="CK47" s="519">
        <v>0.007647058823529412</v>
      </c>
      <c r="CL47" s="533">
        <f>CL46/CL43</f>
        <v>0.5</v>
      </c>
      <c r="CM47" s="467"/>
      <c r="CN47" s="500"/>
      <c r="CO47" s="467"/>
      <c r="CP47" s="500"/>
      <c r="CQ47" s="467"/>
      <c r="CR47" s="504"/>
      <c r="CS47" s="787">
        <v>0.325</v>
      </c>
      <c r="CT47" s="230">
        <f>CT46/CT43</f>
        <v>0.6153846154</v>
      </c>
      <c r="CU47" s="231">
        <f t="shared" si="121"/>
        <v>1.893491124</v>
      </c>
      <c r="CV47" s="232" t="str">
        <f>IFERROR(__xludf.DUMMYFUNCTION("IFERROR(SPARKLINE(CU47,{""charttype"",""bar"";""color1"",IF(CU47&gt;='Апрель'!green_percent,'Апрель'!green,IF(CU47&gt;='Апрель'!yellow_percent,'Апрель'!yellow,IF(CU47&gt;='Апрель'!orange_percent,'Апрель'!orange,'Апрель'!red)));""max"",1}))"),"")</f>
        <v/>
      </c>
      <c r="CW47" s="473"/>
      <c r="CX47" s="771"/>
      <c r="CY47" s="766"/>
      <c r="CZ47" s="771"/>
      <c r="DA47" s="771"/>
      <c r="DB47" s="771"/>
      <c r="DC47" s="771"/>
      <c r="DD47" s="771"/>
      <c r="DE47" s="771"/>
      <c r="DF47" s="771"/>
      <c r="DG47" s="771"/>
      <c r="DH47" s="771"/>
      <c r="DI47" s="771"/>
      <c r="DJ47" s="771"/>
      <c r="DK47" s="788"/>
      <c r="DL47" s="789"/>
      <c r="DM47" s="790"/>
      <c r="DN47" s="791"/>
      <c r="DO47" s="771"/>
      <c r="DP47" s="771"/>
    </row>
    <row r="48">
      <c r="A48" s="703"/>
      <c r="B48" s="579" t="s">
        <v>36</v>
      </c>
      <c r="C48" s="242"/>
      <c r="D48" s="242"/>
      <c r="E48" s="243"/>
      <c r="F48" s="581">
        <f t="shared" ref="F48:G48" si="142">F41/F46</f>
        <v>12307.69231</v>
      </c>
      <c r="G48" s="581">
        <f t="shared" si="142"/>
        <v>5553.75</v>
      </c>
      <c r="H48" s="704">
        <f t="shared" si="110"/>
        <v>0.4512421875</v>
      </c>
      <c r="I48" s="705" t="str">
        <f>IFERROR(__xludf.DUMMYFUNCTION("IFERROR(SPARKLINE(H48,{""charttype"",""bar"";""color1"",IF(H48&gt;='Апрель'!green_percent,'Апрель'!green,IF(H48&gt;='Апрель'!yellow_percent,'Апрель'!yellow,IF(H48&gt;='Апрель'!orange_percent,'Апрель'!orange,'Апрель'!red)));""max"",1}))"),"")</f>
        <v/>
      </c>
      <c r="K48" s="772"/>
      <c r="L48" s="753"/>
      <c r="M48" s="278"/>
      <c r="N48" s="753"/>
      <c r="O48" s="278">
        <f>F48</f>
        <v>12307.69231</v>
      </c>
      <c r="P48" s="786">
        <f>P41/P46</f>
        <v>2821</v>
      </c>
      <c r="Q48" s="278">
        <f>F48</f>
        <v>12307.69231</v>
      </c>
      <c r="R48" s="786">
        <f>R41/R46</f>
        <v>3602</v>
      </c>
      <c r="S48" s="792">
        <f>F48</f>
        <v>12307.69231</v>
      </c>
      <c r="T48" s="786">
        <f>T41/T46</f>
        <v>3955</v>
      </c>
      <c r="U48" s="792">
        <f>F48</f>
        <v>12307.69231</v>
      </c>
      <c r="V48" s="786">
        <f>V41/V46</f>
        <v>2304</v>
      </c>
      <c r="W48" s="276">
        <f>F48</f>
        <v>12307.69231</v>
      </c>
      <c r="X48" s="793">
        <f>X41/X46</f>
        <v>4631</v>
      </c>
      <c r="Y48" s="276">
        <v>12307.692307692309</v>
      </c>
      <c r="Z48" s="428">
        <f>P48+R48+T48+V48+X48</f>
        <v>17313</v>
      </c>
      <c r="AA48" s="412">
        <f t="shared" si="113"/>
        <v>1.40668125</v>
      </c>
      <c r="AB48" s="424" t="str">
        <f>IFERROR(__xludf.DUMMYFUNCTION("IFERROR(SPARKLINE(AA48,{""charttype"",""bar"";""color1"",IF(AA48&gt;='Апрель'!green_percent,'Апрель'!green,IF(AA48&gt;='Апрель'!yellow_percent,'Апрель'!yellow,IF(AA48&gt;='Апрель'!orange_percent,'Апрель'!orange,'Апрель'!red)));""max"",1}))"),"")</f>
        <v/>
      </c>
      <c r="AC48" s="794">
        <v>12307.692307692309</v>
      </c>
      <c r="AD48" s="758"/>
      <c r="AE48" s="794">
        <v>12307.692307692309</v>
      </c>
      <c r="AF48" s="760">
        <f>AF41/AF46</f>
        <v>1188</v>
      </c>
      <c r="AG48" s="794">
        <v>12307.692307692309</v>
      </c>
      <c r="AH48" s="760">
        <f>AH41/AH46</f>
        <v>2715</v>
      </c>
      <c r="AI48" s="794">
        <v>12307.692307692309</v>
      </c>
      <c r="AJ48" s="760"/>
      <c r="AK48" s="794">
        <v>12307.692307692309</v>
      </c>
      <c r="AL48" s="760">
        <f>AL41/AL46</f>
        <v>3461</v>
      </c>
      <c r="AM48" s="794">
        <v>12307.692307692309</v>
      </c>
      <c r="AN48" s="760"/>
      <c r="AO48" s="794">
        <v>12307.692307692309</v>
      </c>
      <c r="AP48" s="760"/>
      <c r="AQ48" s="467">
        <f t="shared" ref="AQ48:AR48" si="143">AQ41/AQ46</f>
        <v>12307.69231</v>
      </c>
      <c r="AR48" s="428">
        <f t="shared" si="143"/>
        <v>4857.5</v>
      </c>
      <c r="AS48" s="253">
        <f t="shared" si="115"/>
        <v>0.394671875</v>
      </c>
      <c r="AT48" s="427" t="str">
        <f>IFERROR(__xludf.DUMMYFUNCTION("IFERROR(SPARKLINE(AS48,{""charttype"",""bar"";""color1"",IF(AS48&gt;='Апрель'!green_percent,'Апрель'!green,IF(AS48&gt;='Апрель'!yellow_percent,'Апрель'!yellow,IF(AS48&gt;='Апрель'!orange_percent,'Апрель'!orange,'Апрель'!red)));""max"",1}))"),"")</f>
        <v/>
      </c>
      <c r="AU48" s="794">
        <v>12307.692307692309</v>
      </c>
      <c r="AV48" s="763"/>
      <c r="AW48" s="794">
        <v>12307.692307692309</v>
      </c>
      <c r="AX48" s="763"/>
      <c r="AY48" s="794">
        <v>12307.692307692309</v>
      </c>
      <c r="AZ48" s="786"/>
      <c r="BA48" s="794">
        <v>12307.692307692309</v>
      </c>
      <c r="BB48" s="786">
        <f>BB41/BB46</f>
        <v>4750</v>
      </c>
      <c r="BC48" s="794">
        <v>12307.692307692309</v>
      </c>
      <c r="BD48" s="786">
        <f>BD41/BD46</f>
        <v>5036</v>
      </c>
      <c r="BE48" s="794">
        <v>12307.692307692309</v>
      </c>
      <c r="BF48" s="786"/>
      <c r="BG48" s="794">
        <v>12307.692307692309</v>
      </c>
      <c r="BH48" s="463"/>
      <c r="BI48" s="467">
        <v>12307.692307692303</v>
      </c>
      <c r="BJ48" s="428">
        <f>BJ41/BJ46</f>
        <v>17756.5</v>
      </c>
      <c r="BK48" s="253">
        <f t="shared" si="117"/>
        <v>1.442715625</v>
      </c>
      <c r="BL48" s="427" t="str">
        <f>IFERROR(__xludf.DUMMYFUNCTION("IFERROR(SPARKLINE(BK48,{""charttype"",""bar"";""color1"",IF(BK48&gt;='Апрель'!green_percent,'Апрель'!green,IF(BK48&gt;='Апрель'!yellow_percent,'Апрель'!yellow,IF(BK48&gt;='Апрель'!orange_percent,'Апрель'!orange,'Апрель'!red)));""max"",1}))"),"")</f>
        <v/>
      </c>
      <c r="BM48" s="794">
        <v>12307.692307692309</v>
      </c>
      <c r="BN48" s="739">
        <f>BN41/BN46</f>
        <v>5003</v>
      </c>
      <c r="BO48" s="794">
        <v>12307.692307692309</v>
      </c>
      <c r="BP48" s="503">
        <f>BP41/BP46</f>
        <v>4473</v>
      </c>
      <c r="BQ48" s="794">
        <v>12307.692307692309</v>
      </c>
      <c r="BR48" s="744">
        <f>BR41/BR46</f>
        <v>4635</v>
      </c>
      <c r="BS48" s="794">
        <v>12307.692307692309</v>
      </c>
      <c r="BT48" s="503"/>
      <c r="BU48" s="794">
        <v>12307.692307692309</v>
      </c>
      <c r="BV48" s="744">
        <f>BV41/BV46</f>
        <v>5411</v>
      </c>
      <c r="BW48" s="794">
        <v>12307.692307692309</v>
      </c>
      <c r="BX48" s="744"/>
      <c r="BY48" s="794">
        <v>12307.692307692309</v>
      </c>
      <c r="BZ48" s="744"/>
      <c r="CA48" s="423">
        <v>12307.692307692303</v>
      </c>
      <c r="CB48" s="428">
        <f>CB41/CB46</f>
        <v>9413.25</v>
      </c>
      <c r="CC48" s="253">
        <f t="shared" si="105"/>
        <v>0.7648265625</v>
      </c>
      <c r="CD48" s="427" t="str">
        <f>IFERROR(__xludf.DUMMYFUNCTION("IFERROR(SPARKLINE(CC48,{""charttype"",""bar"";""color1"",IF(CC48&gt;='Апрель'!green_percent,'Апрель'!green,IF(CC48&gt;='Апрель'!yellow_percent,'Апрель'!yellow,IF(CC48&gt;='Апрель'!orange_percent,'Апрель'!orange,'Апрель'!red)));""max"",1}))"),"")</f>
        <v/>
      </c>
      <c r="CE48" s="794">
        <v>12307.692307692309</v>
      </c>
      <c r="CF48" s="739">
        <f>CF41/CF46</f>
        <v>4722</v>
      </c>
      <c r="CG48" s="794">
        <v>12307.692307692309</v>
      </c>
      <c r="CH48" s="739">
        <f>CH41/CH46</f>
        <v>3385</v>
      </c>
      <c r="CI48" s="794">
        <v>12307.692307692309</v>
      </c>
      <c r="CJ48" s="739">
        <f>CJ41/CJ46</f>
        <v>938.25</v>
      </c>
      <c r="CK48" s="794">
        <v>12307.692307692309</v>
      </c>
      <c r="CL48" s="739">
        <f>CL41/CL46</f>
        <v>5832</v>
      </c>
      <c r="CM48" s="467"/>
      <c r="CN48" s="780"/>
      <c r="CO48" s="467"/>
      <c r="CP48" s="780"/>
      <c r="CQ48" s="467"/>
      <c r="CR48" s="739"/>
      <c r="CS48" s="795">
        <v>12307.692307692309</v>
      </c>
      <c r="CT48" s="437">
        <f>CT41/CT46</f>
        <v>2634.625</v>
      </c>
      <c r="CU48" s="259">
        <f t="shared" si="121"/>
        <v>0.2140632813</v>
      </c>
      <c r="CV48" s="260" t="str">
        <f>IFERROR(__xludf.DUMMYFUNCTION("IFERROR(SPARKLINE(CU48,{""charttype"",""bar"";""color1"",IF(CU48&gt;='Апрель'!green_percent,'Апрель'!green,IF(CU48&gt;='Апрель'!yellow_percent,'Апрель'!yellow,IF(CU48&gt;='Апрель'!orange_percent,'Апрель'!orange,'Апрель'!red)));""max"",1}))"),"")</f>
        <v/>
      </c>
      <c r="CW48" s="473"/>
      <c r="CX48" s="552"/>
      <c r="CY48" s="766"/>
      <c r="CZ48" s="552"/>
      <c r="DA48" s="552"/>
      <c r="DB48" s="552"/>
      <c r="DC48" s="552"/>
      <c r="DD48" s="552"/>
      <c r="DE48" s="552"/>
      <c r="DF48" s="552"/>
      <c r="DG48" s="552"/>
      <c r="DH48" s="552"/>
      <c r="DI48" s="552"/>
      <c r="DJ48" s="552"/>
      <c r="DK48" s="782"/>
      <c r="DL48" s="783"/>
      <c r="DM48" s="784"/>
      <c r="DN48" s="785"/>
      <c r="DO48" s="552"/>
      <c r="DP48" s="552"/>
    </row>
    <row r="49">
      <c r="A49" s="673"/>
      <c r="B49" s="724" t="s">
        <v>37</v>
      </c>
      <c r="C49" s="217"/>
      <c r="D49" s="217"/>
      <c r="E49" s="218"/>
      <c r="F49" s="796">
        <v>10.0</v>
      </c>
      <c r="G49" s="448">
        <f>Z49+AR49+BJ49+CB49+CT49</f>
        <v>20</v>
      </c>
      <c r="H49" s="543">
        <f t="shared" si="110"/>
        <v>2</v>
      </c>
      <c r="I49" s="675" t="str">
        <f>IFERROR(__xludf.DUMMYFUNCTION("IFERROR(SPARKLINE(H49,{""charttype"",""bar"";""color1"",IF(H49&gt;='Апрель'!green_percent,'Апрель'!green,IF(H49&gt;='Апрель'!yellow_percent,'Апрель'!yellow,IF(H49&gt;='Апрель'!orange_percent,'Апрель'!orange,'Апрель'!red)));""max"",1}))"),"")</f>
        <v/>
      </c>
      <c r="K49" s="772"/>
      <c r="L49" s="773"/>
      <c r="M49" s="772"/>
      <c r="N49" s="774"/>
      <c r="O49" s="772">
        <f>F49/30</f>
        <v>0.3333333333</v>
      </c>
      <c r="P49" s="775">
        <v>1.0</v>
      </c>
      <c r="Q49" s="772">
        <v>0.3333333333333333</v>
      </c>
      <c r="R49" s="776">
        <v>1.0</v>
      </c>
      <c r="S49" s="727">
        <v>0.3333333333333333</v>
      </c>
      <c r="T49" s="776">
        <v>1.0</v>
      </c>
      <c r="U49" s="727">
        <v>0.3333333333333333</v>
      </c>
      <c r="V49" s="776">
        <v>1.0</v>
      </c>
      <c r="W49" s="728">
        <v>0.3333333333333333</v>
      </c>
      <c r="X49" s="777">
        <v>1.0</v>
      </c>
      <c r="Y49" s="333">
        <f t="shared" ref="Y49:Z49" si="144">O49+Q49+S49+U49+W49</f>
        <v>1.666666667</v>
      </c>
      <c r="Z49" s="464">
        <f t="shared" si="144"/>
        <v>5</v>
      </c>
      <c r="AA49" s="220">
        <f t="shared" si="113"/>
        <v>3</v>
      </c>
      <c r="AB49" s="458" t="str">
        <f>IFERROR(__xludf.DUMMYFUNCTION("IFERROR(SPARKLINE(AA49,{""charttype"",""bar"";""color1"",IF(AA49&gt;='Апрель'!green_percent,'Апрель'!green,IF(AA49&gt;='Апрель'!yellow_percent,'Апрель'!yellow,IF(AA49&gt;='Апрель'!orange_percent,'Апрель'!orange,'Апрель'!red)));""max"",1}))"),"")</f>
        <v/>
      </c>
      <c r="AC49" s="797">
        <v>0.3333333333333333</v>
      </c>
      <c r="AD49" s="459">
        <v>0.0</v>
      </c>
      <c r="AE49" s="797">
        <v>0.3333333333333333</v>
      </c>
      <c r="AF49" s="712">
        <v>2.0</v>
      </c>
      <c r="AG49" s="797">
        <v>0.3333333333333333</v>
      </c>
      <c r="AH49" s="760">
        <v>1.0</v>
      </c>
      <c r="AI49" s="797">
        <v>0.3333333333333333</v>
      </c>
      <c r="AJ49" s="760"/>
      <c r="AK49" s="797">
        <v>0.3333333333333333</v>
      </c>
      <c r="AL49" s="712">
        <v>1.0</v>
      </c>
      <c r="AM49" s="797">
        <v>0.3333333333333333</v>
      </c>
      <c r="AN49" s="760"/>
      <c r="AO49" s="797">
        <v>0.3333333333333333</v>
      </c>
      <c r="AP49" s="760"/>
      <c r="AQ49" s="779">
        <f t="shared" ref="AQ49:AR49" si="145">AC49+AE49+AG49+AI49+AK49+AM49+AO49</f>
        <v>2.333333333</v>
      </c>
      <c r="AR49" s="464">
        <f t="shared" si="145"/>
        <v>4</v>
      </c>
      <c r="AS49" s="279">
        <f t="shared" si="115"/>
        <v>1.714285714</v>
      </c>
      <c r="AT49" s="462" t="str">
        <f>IFERROR(__xludf.DUMMYFUNCTION("IFERROR(SPARKLINE(AS49,{""charttype"",""bar"";""color1"",IF(AS49&gt;='Апрель'!green_percent,'Апрель'!green,IF(AS49&gt;='Апрель'!yellow_percent,'Апрель'!yellow,IF(AS49&gt;='Апрель'!orange_percent,'Апрель'!orange,'Апрель'!red)));""max"",1}))"),"")</f>
        <v/>
      </c>
      <c r="AU49" s="797">
        <v>0.3333333333333333</v>
      </c>
      <c r="AV49" s="463">
        <v>0.0</v>
      </c>
      <c r="AW49" s="797">
        <v>0.3333333333333333</v>
      </c>
      <c r="AX49" s="463">
        <v>0.0</v>
      </c>
      <c r="AY49" s="797">
        <v>0.3333333333333333</v>
      </c>
      <c r="AZ49" s="786"/>
      <c r="BA49" s="797">
        <v>0.3333333333333333</v>
      </c>
      <c r="BB49" s="776">
        <v>1.0</v>
      </c>
      <c r="BC49" s="797">
        <v>0.3333333333333333</v>
      </c>
      <c r="BD49" s="776">
        <v>1.0</v>
      </c>
      <c r="BE49" s="797">
        <v>0.3333333333333333</v>
      </c>
      <c r="BF49" s="776">
        <v>0.0</v>
      </c>
      <c r="BG49" s="797">
        <v>0.3333333333333333</v>
      </c>
      <c r="BH49" s="463">
        <v>0.0</v>
      </c>
      <c r="BI49" s="779">
        <v>2.333333333333333</v>
      </c>
      <c r="BJ49" s="464">
        <f>AV49+AX49+AZ49+BB49+BD49+BF49+BH49</f>
        <v>2</v>
      </c>
      <c r="BK49" s="279">
        <f t="shared" si="117"/>
        <v>0.8571428571</v>
      </c>
      <c r="BL49" s="462" t="str">
        <f>IFERROR(__xludf.DUMMYFUNCTION("IFERROR(SPARKLINE(BK49,{""charttype"",""bar"";""color1"",IF(BK49&gt;='Апрель'!green_percent,'Апрель'!green,IF(BK49&gt;='Апрель'!yellow_percent,'Апрель'!yellow,IF(BK49&gt;='Апрель'!orange_percent,'Апрель'!orange,'Апрель'!red)));""max"",1}))"),"")</f>
        <v/>
      </c>
      <c r="BM49" s="797">
        <v>0.3333333333333333</v>
      </c>
      <c r="BN49" s="533">
        <v>0.0</v>
      </c>
      <c r="BO49" s="797">
        <v>0.3333333333333333</v>
      </c>
      <c r="BP49" s="465">
        <v>1.0</v>
      </c>
      <c r="BQ49" s="797">
        <v>0.3333333333333333</v>
      </c>
      <c r="BR49" s="465">
        <v>1.0</v>
      </c>
      <c r="BS49" s="797">
        <v>0.3333333333333333</v>
      </c>
      <c r="BT49" s="465">
        <v>0.0</v>
      </c>
      <c r="BU49" s="797">
        <v>0.3333333333333333</v>
      </c>
      <c r="BV49" s="465">
        <v>0.0</v>
      </c>
      <c r="BW49" s="797">
        <v>0.3333333333333333</v>
      </c>
      <c r="BX49" s="465">
        <v>0.0</v>
      </c>
      <c r="BY49" s="797">
        <v>0.3333333333333333</v>
      </c>
      <c r="BZ49" s="465">
        <v>0.0</v>
      </c>
      <c r="CA49" s="460">
        <v>2.333333333333333</v>
      </c>
      <c r="CB49" s="464">
        <f>BN49+BP49+BR49+BT49+BV49+BX49+BZ49</f>
        <v>2</v>
      </c>
      <c r="CC49" s="279">
        <f t="shared" si="105"/>
        <v>0.8571428571</v>
      </c>
      <c r="CD49" s="462" t="str">
        <f>IFERROR(__xludf.DUMMYFUNCTION("IFERROR(SPARKLINE(CC49,{""charttype"",""bar"";""color1"",IF(CC49&gt;='Апрель'!green_percent,'Апрель'!green,IF(CC49&gt;='Апрель'!yellow_percent,'Апрель'!yellow,IF(CC49&gt;='Апрель'!orange_percent,'Апрель'!orange,'Апрель'!red)));""max"",1}))"),"")</f>
        <v/>
      </c>
      <c r="CE49" s="797">
        <v>0.3333333333333333</v>
      </c>
      <c r="CF49" s="466">
        <v>1.0</v>
      </c>
      <c r="CG49" s="797">
        <v>0.3333333333333333</v>
      </c>
      <c r="CH49" s="466">
        <v>2.0</v>
      </c>
      <c r="CI49" s="797">
        <v>0.3333333333333333</v>
      </c>
      <c r="CJ49" s="466">
        <v>3.0</v>
      </c>
      <c r="CK49" s="797">
        <v>0.3333333333333333</v>
      </c>
      <c r="CL49" s="466">
        <v>1.0</v>
      </c>
      <c r="CM49" s="467"/>
      <c r="CN49" s="500"/>
      <c r="CO49" s="467"/>
      <c r="CP49" s="500"/>
      <c r="CQ49" s="467"/>
      <c r="CR49" s="504"/>
      <c r="CS49" s="798">
        <v>1.33</v>
      </c>
      <c r="CT49" s="733">
        <f>CF49+CH49+CJ49+CL49+CN49+CP49+CR49</f>
        <v>7</v>
      </c>
      <c r="CU49" s="231">
        <f t="shared" si="121"/>
        <v>5.263157895</v>
      </c>
      <c r="CV49" s="232" t="str">
        <f>IFERROR(__xludf.DUMMYFUNCTION("IFERROR(SPARKLINE(CU49,{""charttype"",""bar"";""color1"",IF(CU49&gt;='Апрель'!green_percent,'Апрель'!green,IF(CU49&gt;='Апрель'!yellow_percent,'Апрель'!yellow,IF(CU49&gt;='Апрель'!orange_percent,'Апрель'!orange,'Апрель'!red)));""max"",1}))"),"")</f>
        <v/>
      </c>
      <c r="CW49" s="473"/>
      <c r="CX49" s="771"/>
      <c r="CY49" s="766"/>
      <c r="CZ49" s="771"/>
      <c r="DA49" s="771"/>
      <c r="DB49" s="771"/>
      <c r="DC49" s="771"/>
      <c r="DD49" s="771"/>
      <c r="DE49" s="771"/>
      <c r="DF49" s="771"/>
      <c r="DG49" s="771"/>
      <c r="DH49" s="771"/>
      <c r="DI49" s="771"/>
      <c r="DJ49" s="771"/>
      <c r="DK49" s="788"/>
      <c r="DL49" s="789"/>
      <c r="DM49" s="790"/>
      <c r="DN49" s="791"/>
      <c r="DO49" s="771"/>
      <c r="DP49" s="771"/>
    </row>
    <row r="50">
      <c r="A50" s="703"/>
      <c r="B50" s="579" t="s">
        <v>38</v>
      </c>
      <c r="C50" s="242"/>
      <c r="D50" s="242"/>
      <c r="E50" s="243"/>
      <c r="F50" s="412">
        <f t="shared" ref="F50:G50" si="146">F49/F46</f>
        <v>0.7692307692</v>
      </c>
      <c r="G50" s="412">
        <f t="shared" si="146"/>
        <v>0.8333333333</v>
      </c>
      <c r="H50" s="704">
        <f t="shared" si="110"/>
        <v>1.083333333</v>
      </c>
      <c r="I50" s="705" t="str">
        <f>IFERROR(__xludf.DUMMYFUNCTION("IFERROR(SPARKLINE(H50,{""charttype"",""bar"";""color1"",IF(H50&gt;='Апрель'!green_percent,'Апрель'!green,IF(H50&gt;='Апрель'!yellow_percent,'Апрель'!yellow,IF(H50&gt;='Апрель'!orange_percent,'Апрель'!orange,'Апрель'!red)));""max"",1}))"),"")</f>
        <v/>
      </c>
      <c r="K50" s="751"/>
      <c r="L50" s="799"/>
      <c r="M50" s="751"/>
      <c r="N50" s="753"/>
      <c r="O50" s="751">
        <f t="shared" ref="O50:P50" si="147">O49/O46</f>
        <v>0.7692307692</v>
      </c>
      <c r="P50" s="755">
        <f t="shared" si="147"/>
        <v>1</v>
      </c>
      <c r="Q50" s="751">
        <v>0.7692307692307692</v>
      </c>
      <c r="R50" s="755">
        <f>R49/R46</f>
        <v>1</v>
      </c>
      <c r="S50" s="754">
        <v>0.7692307692307692</v>
      </c>
      <c r="T50" s="755">
        <f>T49/T46</f>
        <v>1</v>
      </c>
      <c r="U50" s="754">
        <v>0.7692307692307692</v>
      </c>
      <c r="V50" s="755">
        <f>V49/V46</f>
        <v>0.5</v>
      </c>
      <c r="W50" s="315">
        <v>0.7692307692307692</v>
      </c>
      <c r="X50" s="756">
        <f t="shared" ref="X50:Z50" si="148">X49/X46</f>
        <v>1</v>
      </c>
      <c r="Y50" s="316">
        <f t="shared" si="148"/>
        <v>0.7692307692</v>
      </c>
      <c r="Z50" s="253">
        <f t="shared" si="148"/>
        <v>0.8333333333</v>
      </c>
      <c r="AA50" s="412">
        <f t="shared" si="113"/>
        <v>1.083333333</v>
      </c>
      <c r="AB50" s="424" t="str">
        <f>IFERROR(__xludf.DUMMYFUNCTION("IFERROR(SPARKLINE(AA50,{""charttype"",""bar"";""color1"",IF(AA50&gt;='Апрель'!green_percent,'Апрель'!green,IF(AA50&gt;='Апрель'!yellow_percent,'Апрель'!yellow,IF(AA50&gt;='Апрель'!orange_percent,'Апрель'!orange,'Апрель'!red)));""max"",1}))"),"")</f>
        <v/>
      </c>
      <c r="AC50" s="800">
        <v>0.7692307692307692</v>
      </c>
      <c r="AD50" s="758"/>
      <c r="AE50" s="800">
        <v>0.7692307692307692</v>
      </c>
      <c r="AF50" s="759">
        <f>AF49/AF46</f>
        <v>1</v>
      </c>
      <c r="AG50" s="800">
        <v>0.7692307692307692</v>
      </c>
      <c r="AH50" s="759">
        <f>AH49/AH46</f>
        <v>1</v>
      </c>
      <c r="AI50" s="800">
        <v>0.7692307692307692</v>
      </c>
      <c r="AJ50" s="760"/>
      <c r="AK50" s="800">
        <v>0.7692307692307692</v>
      </c>
      <c r="AL50" s="759">
        <f>AL49/AL46</f>
        <v>1</v>
      </c>
      <c r="AM50" s="800">
        <v>0.7692307692307692</v>
      </c>
      <c r="AN50" s="760"/>
      <c r="AO50" s="800">
        <v>0.7692307692307692</v>
      </c>
      <c r="AP50" s="760"/>
      <c r="AQ50" s="761">
        <f t="shared" ref="AQ50:AR50" si="149">AQ49/AQ46</f>
        <v>0.7692307692</v>
      </c>
      <c r="AR50" s="253">
        <f t="shared" si="149"/>
        <v>1</v>
      </c>
      <c r="AS50" s="253">
        <f t="shared" si="115"/>
        <v>1.3</v>
      </c>
      <c r="AT50" s="427" t="str">
        <f>IFERROR(__xludf.DUMMYFUNCTION("IFERROR(SPARKLINE(AS50,{""charttype"",""bar"";""color1"",IF(AS50&gt;='Апрель'!green_percent,'Апрель'!green,IF(AS50&gt;='Апрель'!yellow_percent,'Апрель'!yellow,IF(AS50&gt;='Апрель'!orange_percent,'Апрель'!orange,'Апрель'!red)));""max"",1}))"),"")</f>
        <v/>
      </c>
      <c r="AU50" s="800">
        <v>0.7692307692307692</v>
      </c>
      <c r="AV50" s="763"/>
      <c r="AW50" s="800">
        <v>0.7692307692307692</v>
      </c>
      <c r="AX50" s="763"/>
      <c r="AY50" s="800">
        <v>0.7692307692307692</v>
      </c>
      <c r="AZ50" s="786"/>
      <c r="BA50" s="800">
        <v>0.7692307692307692</v>
      </c>
      <c r="BB50" s="755">
        <f>BB49/BB46</f>
        <v>1</v>
      </c>
      <c r="BC50" s="800">
        <v>0.7692307692307692</v>
      </c>
      <c r="BD50" s="755">
        <f>BD49/BD46</f>
        <v>1</v>
      </c>
      <c r="BE50" s="800">
        <v>0.7692307692307692</v>
      </c>
      <c r="BF50" s="786"/>
      <c r="BG50" s="800">
        <v>0.7692307692307692</v>
      </c>
      <c r="BH50" s="463"/>
      <c r="BI50" s="761">
        <v>0.7692307692307689</v>
      </c>
      <c r="BJ50" s="253">
        <f>BJ49/BJ46</f>
        <v>1</v>
      </c>
      <c r="BK50" s="253">
        <f t="shared" si="117"/>
        <v>1.3</v>
      </c>
      <c r="BL50" s="427" t="str">
        <f>IFERROR(__xludf.DUMMYFUNCTION("IFERROR(SPARKLINE(BK50,{""charttype"",""bar"";""color1"",IF(BK50&gt;='Апрель'!green_percent,'Апрель'!green,IF(BK50&gt;='Апрель'!yellow_percent,'Апрель'!yellow,IF(BK50&gt;='Апрель'!orange_percent,'Апрель'!orange,'Апрель'!red)));""max"",1}))"),"")</f>
        <v/>
      </c>
      <c r="BM50" s="800">
        <v>0.7692307692307692</v>
      </c>
      <c r="BN50" s="739">
        <f>BN49/BN46</f>
        <v>0</v>
      </c>
      <c r="BO50" s="800">
        <v>0.7692307692307692</v>
      </c>
      <c r="BP50" s="532">
        <f>BP49/BP46</f>
        <v>1</v>
      </c>
      <c r="BQ50" s="800">
        <v>0.7692307692307692</v>
      </c>
      <c r="BR50" s="521">
        <f>BR49/BR46</f>
        <v>1</v>
      </c>
      <c r="BS50" s="800">
        <v>0.7692307692307692</v>
      </c>
      <c r="BT50" s="503"/>
      <c r="BU50" s="800">
        <v>0.7692307692307692</v>
      </c>
      <c r="BV50" s="744"/>
      <c r="BW50" s="800">
        <v>0.7692307692307692</v>
      </c>
      <c r="BX50" s="744"/>
      <c r="BY50" s="800">
        <v>0.7692307692307692</v>
      </c>
      <c r="BZ50" s="744"/>
      <c r="CA50" s="316">
        <v>0.7692307692307689</v>
      </c>
      <c r="CB50" s="253">
        <f>CB49/CB46</f>
        <v>0.5</v>
      </c>
      <c r="CC50" s="253">
        <f t="shared" si="105"/>
        <v>0.65</v>
      </c>
      <c r="CD50" s="427" t="str">
        <f>IFERROR(__xludf.DUMMYFUNCTION("IFERROR(SPARKLINE(CC50,{""charttype"",""bar"";""color1"",IF(CC50&gt;='Апрель'!green_percent,'Апрель'!green,IF(CC50&gt;='Апрель'!yellow_percent,'Апрель'!yellow,IF(CC50&gt;='Апрель'!orange_percent,'Апрель'!orange,'Апрель'!red)));""max"",1}))"),"")</f>
        <v/>
      </c>
      <c r="CE50" s="800">
        <v>0.7692307692307692</v>
      </c>
      <c r="CF50" s="522">
        <f>CF49/CF46</f>
        <v>1</v>
      </c>
      <c r="CG50" s="800">
        <v>0.7692307692307692</v>
      </c>
      <c r="CH50" s="522">
        <f>CH49/CH46</f>
        <v>1</v>
      </c>
      <c r="CI50" s="800">
        <v>0.7692307692307692</v>
      </c>
      <c r="CJ50" s="522">
        <f>CJ49/CJ46</f>
        <v>0.75</v>
      </c>
      <c r="CK50" s="800">
        <v>0.7692307692307692</v>
      </c>
      <c r="CL50" s="522">
        <f>CL49/CL46</f>
        <v>1</v>
      </c>
      <c r="CM50" s="467"/>
      <c r="CN50" s="780"/>
      <c r="CO50" s="467"/>
      <c r="CP50" s="780"/>
      <c r="CQ50" s="467"/>
      <c r="CR50" s="739"/>
      <c r="CS50" s="801">
        <v>0.7692307692307693</v>
      </c>
      <c r="CT50" s="802">
        <f>CT49/CT46</f>
        <v>0.875</v>
      </c>
      <c r="CU50" s="259">
        <f t="shared" si="121"/>
        <v>1.1375</v>
      </c>
      <c r="CV50" s="260" t="str">
        <f>IFERROR(__xludf.DUMMYFUNCTION("IFERROR(SPARKLINE(CU50,{""charttype"",""bar"";""color1"",IF(CU50&gt;='Апрель'!green_percent,'Апрель'!green,IF(CU50&gt;='Апрель'!yellow_percent,'Апрель'!yellow,IF(CU50&gt;='Апрель'!orange_percent,'Апрель'!orange,'Апрель'!red)));""max"",1}))"),"")</f>
        <v/>
      </c>
      <c r="CW50" s="473"/>
      <c r="CX50" s="552"/>
      <c r="CY50" s="766"/>
      <c r="CZ50" s="552"/>
      <c r="DA50" s="552"/>
      <c r="DB50" s="552"/>
      <c r="DC50" s="552"/>
      <c r="DD50" s="552"/>
      <c r="DE50" s="552"/>
      <c r="DF50" s="552"/>
      <c r="DG50" s="552"/>
      <c r="DH50" s="552"/>
      <c r="DI50" s="552"/>
      <c r="DJ50" s="552"/>
      <c r="DK50" s="782"/>
      <c r="DL50" s="783"/>
      <c r="DM50" s="784"/>
      <c r="DN50" s="785"/>
      <c r="DO50" s="552"/>
      <c r="DP50" s="552"/>
    </row>
    <row r="51">
      <c r="A51" s="673"/>
      <c r="B51" s="724" t="s">
        <v>26</v>
      </c>
      <c r="C51" s="217"/>
      <c r="D51" s="217"/>
      <c r="E51" s="218"/>
      <c r="F51" s="448">
        <v>3.0</v>
      </c>
      <c r="G51" s="448">
        <f t="shared" ref="G51:G52" si="152">Z51+AR51+BJ51+CB51+CT51</f>
        <v>1</v>
      </c>
      <c r="H51" s="543">
        <f t="shared" si="110"/>
        <v>0.3333333333</v>
      </c>
      <c r="I51" s="675" t="str">
        <f>IFERROR(__xludf.DUMMYFUNCTION("IFERROR(SPARKLINE(H51,{""charttype"",""bar"";""color1"",IF(H51&gt;='Апрель'!green_percent,'Апрель'!green,IF(H51&gt;='Апрель'!yellow_percent,'Апрель'!yellow,IF(H51&gt;='Апрель'!orange_percent,'Апрель'!orange,'Апрель'!red)));""max"",1}))"),"")</f>
        <v/>
      </c>
      <c r="K51" s="772"/>
      <c r="L51" s="799"/>
      <c r="M51" s="772"/>
      <c r="N51" s="753"/>
      <c r="O51" s="772">
        <f t="shared" ref="O51:O52" si="153">F51/30</f>
        <v>0.1</v>
      </c>
      <c r="P51" s="776">
        <v>0.0</v>
      </c>
      <c r="Q51" s="772">
        <v>0.1</v>
      </c>
      <c r="R51" s="776">
        <v>0.0</v>
      </c>
      <c r="S51" s="727">
        <v>0.1</v>
      </c>
      <c r="T51" s="776">
        <v>0.0</v>
      </c>
      <c r="U51" s="727">
        <v>0.1</v>
      </c>
      <c r="V51" s="786">
        <v>0.0</v>
      </c>
      <c r="W51" s="728">
        <v>0.1</v>
      </c>
      <c r="X51" s="793">
        <v>0.0</v>
      </c>
      <c r="Y51" s="333">
        <f t="shared" ref="Y51:Z51" si="150">O51+Q51+S51+U51+W51</f>
        <v>0.5</v>
      </c>
      <c r="Z51" s="464">
        <f t="shared" si="150"/>
        <v>0</v>
      </c>
      <c r="AA51" s="220">
        <f t="shared" si="113"/>
        <v>0</v>
      </c>
      <c r="AB51" s="458" t="str">
        <f>IFERROR(__xludf.DUMMYFUNCTION("IFERROR(SPARKLINE(AA51,{""charttype"",""bar"";""color1"",IF(AA51&gt;='Апрель'!green_percent,'Апрель'!green,IF(AA51&gt;='Апрель'!yellow_percent,'Апрель'!yellow,IF(AA51&gt;='Апрель'!orange_percent,'Апрель'!orange,'Апрель'!red)));""max"",1}))"),"")</f>
        <v/>
      </c>
      <c r="AC51" s="797">
        <v>0.1</v>
      </c>
      <c r="AD51" s="459">
        <v>0.0</v>
      </c>
      <c r="AE51" s="797">
        <v>0.1</v>
      </c>
      <c r="AF51" s="712">
        <v>0.0</v>
      </c>
      <c r="AG51" s="797">
        <v>0.1</v>
      </c>
      <c r="AH51" s="712">
        <v>0.0</v>
      </c>
      <c r="AI51" s="797">
        <v>0.1</v>
      </c>
      <c r="AJ51" s="760"/>
      <c r="AK51" s="797">
        <v>0.1</v>
      </c>
      <c r="AL51" s="712">
        <v>0.0</v>
      </c>
      <c r="AM51" s="797">
        <v>0.1</v>
      </c>
      <c r="AN51" s="760"/>
      <c r="AO51" s="797">
        <v>0.1</v>
      </c>
      <c r="AP51" s="760"/>
      <c r="AQ51" s="779">
        <f t="shared" ref="AQ51:AR51" si="151">AC51+AE51+AG51+AI51+AK51+AM51+AO51</f>
        <v>0.7</v>
      </c>
      <c r="AR51" s="464">
        <f t="shared" si="151"/>
        <v>0</v>
      </c>
      <c r="AS51" s="279">
        <f t="shared" si="115"/>
        <v>0</v>
      </c>
      <c r="AT51" s="462" t="str">
        <f>IFERROR(__xludf.DUMMYFUNCTION("IFERROR(SPARKLINE(AS51,{""charttype"",""bar"";""color1"",IF(AS51&gt;='Апрель'!green_percent,'Апрель'!green,IF(AS51&gt;='Апрель'!yellow_percent,'Апрель'!yellow,IF(AS51&gt;='Апрель'!orange_percent,'Апрель'!orange,'Апрель'!red)));""max"",1}))"),"")</f>
        <v/>
      </c>
      <c r="AU51" s="797">
        <v>0.1</v>
      </c>
      <c r="AV51" s="463">
        <v>0.0</v>
      </c>
      <c r="AW51" s="797">
        <v>0.1</v>
      </c>
      <c r="AX51" s="463">
        <v>0.0</v>
      </c>
      <c r="AY51" s="797">
        <v>0.1</v>
      </c>
      <c r="AZ51" s="786"/>
      <c r="BA51" s="797">
        <v>0.1</v>
      </c>
      <c r="BB51" s="776">
        <v>0.0</v>
      </c>
      <c r="BC51" s="797">
        <v>0.1</v>
      </c>
      <c r="BD51" s="776">
        <v>0.0</v>
      </c>
      <c r="BE51" s="797">
        <v>0.1</v>
      </c>
      <c r="BF51" s="776">
        <v>0.0</v>
      </c>
      <c r="BG51" s="797">
        <v>0.1</v>
      </c>
      <c r="BH51" s="463">
        <v>0.0</v>
      </c>
      <c r="BI51" s="779">
        <v>0.7</v>
      </c>
      <c r="BJ51" s="464">
        <f>AV51+AX51+AZ51+BB51+BD51+BF51+BH51</f>
        <v>0</v>
      </c>
      <c r="BK51" s="279">
        <f t="shared" si="117"/>
        <v>0</v>
      </c>
      <c r="BL51" s="462" t="str">
        <f>IFERROR(__xludf.DUMMYFUNCTION("IFERROR(SPARKLINE(BK51,{""charttype"",""bar"";""color1"",IF(BK51&gt;='Апрель'!green_percent,'Апрель'!green,IF(BK51&gt;='Апрель'!yellow_percent,'Апрель'!yellow,IF(BK51&gt;='Апрель'!orange_percent,'Апрель'!orange,'Апрель'!red)));""max"",1}))"),"")</f>
        <v/>
      </c>
      <c r="BM51" s="797">
        <v>0.1</v>
      </c>
      <c r="BN51" s="466">
        <v>0.0</v>
      </c>
      <c r="BO51" s="797">
        <v>0.1</v>
      </c>
      <c r="BP51" s="465">
        <v>1.0</v>
      </c>
      <c r="BQ51" s="797">
        <v>0.1</v>
      </c>
      <c r="BR51" s="465">
        <v>0.0</v>
      </c>
      <c r="BS51" s="797">
        <v>0.1</v>
      </c>
      <c r="BT51" s="465">
        <v>0.0</v>
      </c>
      <c r="BU51" s="797">
        <v>0.1</v>
      </c>
      <c r="BV51" s="465">
        <v>0.0</v>
      </c>
      <c r="BW51" s="797">
        <v>0.1</v>
      </c>
      <c r="BX51" s="465">
        <v>0.0</v>
      </c>
      <c r="BY51" s="797">
        <v>0.1</v>
      </c>
      <c r="BZ51" s="465">
        <v>0.0</v>
      </c>
      <c r="CA51" s="460">
        <v>0.7</v>
      </c>
      <c r="CB51" s="464">
        <f t="shared" ref="CB51:CB52" si="157">BN51+BP51+BR51+BT51+BV51+BX51+BZ51</f>
        <v>1</v>
      </c>
      <c r="CC51" s="279">
        <f t="shared" si="105"/>
        <v>1.428571429</v>
      </c>
      <c r="CD51" s="462" t="str">
        <f>IFERROR(__xludf.DUMMYFUNCTION("IFERROR(SPARKLINE(CC51,{""charttype"",""bar"";""color1"",IF(CC51&gt;='Апрель'!green_percent,'Апрель'!green,IF(CC51&gt;='Апрель'!yellow_percent,'Апрель'!yellow,IF(CC51&gt;='Апрель'!orange_percent,'Апрель'!orange,'Апрель'!red)));""max"",1}))"),"")</f>
        <v/>
      </c>
      <c r="CE51" s="797">
        <v>0.1</v>
      </c>
      <c r="CF51" s="466">
        <v>0.0</v>
      </c>
      <c r="CG51" s="797">
        <v>0.1</v>
      </c>
      <c r="CH51" s="466">
        <v>0.0</v>
      </c>
      <c r="CI51" s="797">
        <v>0.1</v>
      </c>
      <c r="CJ51" s="466">
        <v>0.0</v>
      </c>
      <c r="CK51" s="797">
        <v>0.1</v>
      </c>
      <c r="CL51" s="466">
        <v>0.0</v>
      </c>
      <c r="CM51" s="467"/>
      <c r="CN51" s="500"/>
      <c r="CO51" s="467"/>
      <c r="CP51" s="500"/>
      <c r="CQ51" s="467"/>
      <c r="CR51" s="504"/>
      <c r="CS51" s="798">
        <v>0.4</v>
      </c>
      <c r="CT51" s="733">
        <f t="shared" ref="CT51:CT52" si="158">CF51+CH51+CJ51+CL51</f>
        <v>0</v>
      </c>
      <c r="CU51" s="231">
        <f t="shared" si="121"/>
        <v>0</v>
      </c>
      <c r="CV51" s="232" t="str">
        <f>IFERROR(__xludf.DUMMYFUNCTION("IFERROR(SPARKLINE(CU51,{""charttype"",""bar"";""color1"",IF(CU51&gt;='Апрель'!green_percent,'Апрель'!green,IF(CU51&gt;='Апрель'!yellow_percent,'Апрель'!yellow,IF(CU51&gt;='Апрель'!orange_percent,'Апрель'!orange,'Апрель'!red)));""max"",1}))"),"")</f>
        <v/>
      </c>
      <c r="CW51" s="473"/>
      <c r="CX51" s="771"/>
      <c r="CY51" s="766"/>
      <c r="CZ51" s="771"/>
      <c r="DA51" s="771"/>
      <c r="DB51" s="771"/>
      <c r="DC51" s="771"/>
      <c r="DD51" s="771"/>
      <c r="DE51" s="771"/>
      <c r="DF51" s="771"/>
      <c r="DG51" s="771"/>
      <c r="DH51" s="771"/>
      <c r="DI51" s="771"/>
      <c r="DJ51" s="771"/>
      <c r="DK51" s="788"/>
      <c r="DL51" s="789"/>
      <c r="DM51" s="790"/>
      <c r="DN51" s="791"/>
      <c r="DO51" s="771"/>
      <c r="DP51" s="771"/>
    </row>
    <row r="52">
      <c r="A52" s="703"/>
      <c r="B52" s="579" t="s">
        <v>39</v>
      </c>
      <c r="C52" s="242"/>
      <c r="D52" s="242"/>
      <c r="E52" s="243"/>
      <c r="F52" s="581">
        <v>3600000.0</v>
      </c>
      <c r="G52" s="581">
        <f t="shared" si="152"/>
        <v>166150</v>
      </c>
      <c r="H52" s="704">
        <f t="shared" si="110"/>
        <v>0.04615277778</v>
      </c>
      <c r="I52" s="705" t="str">
        <f>IFERROR(__xludf.DUMMYFUNCTION("IFERROR(SPARKLINE(H52,{""charttype"",""bar"";""color1"",IF(H52&gt;='Апрель'!green_percent,'Апрель'!green,IF(H52&gt;='Апрель'!yellow_percent,'Апрель'!yellow,IF(H52&gt;='Апрель'!orange_percent,'Апрель'!orange,'Апрель'!red)));""max"",1}))"),"")</f>
        <v/>
      </c>
      <c r="K52" s="278"/>
      <c r="L52" s="753"/>
      <c r="M52" s="278"/>
      <c r="N52" s="753"/>
      <c r="O52" s="278">
        <f t="shared" si="153"/>
        <v>120000</v>
      </c>
      <c r="P52" s="786">
        <v>0.0</v>
      </c>
      <c r="Q52" s="278">
        <v>120000.0</v>
      </c>
      <c r="R52" s="786">
        <v>0.0</v>
      </c>
      <c r="S52" s="792">
        <v>120000.0</v>
      </c>
      <c r="T52" s="786"/>
      <c r="U52" s="792">
        <v>120000.0</v>
      </c>
      <c r="V52" s="786"/>
      <c r="W52" s="276">
        <v>120000.0</v>
      </c>
      <c r="X52" s="793"/>
      <c r="Y52" s="423">
        <f t="shared" ref="Y52:Z52" si="154">O52+Q52+S52+U52+W52</f>
        <v>600000</v>
      </c>
      <c r="Z52" s="428">
        <f t="shared" si="154"/>
        <v>0</v>
      </c>
      <c r="AA52" s="412">
        <f t="shared" si="113"/>
        <v>0</v>
      </c>
      <c r="AB52" s="424" t="str">
        <f>IFERROR(__xludf.DUMMYFUNCTION("IFERROR(SPARKLINE(AA52,{""charttype"",""bar"";""color1"",IF(AA52&gt;='Апрель'!green_percent,'Апрель'!green,IF(AA52&gt;='Апрель'!yellow_percent,'Апрель'!yellow,IF(AA52&gt;='Апрель'!orange_percent,'Апрель'!orange,'Апрель'!red)));""max"",1}))"),"")</f>
        <v/>
      </c>
      <c r="AC52" s="794">
        <v>120000.0</v>
      </c>
      <c r="AD52" s="758"/>
      <c r="AE52" s="794">
        <v>120000.0</v>
      </c>
      <c r="AF52" s="760">
        <v>0.0</v>
      </c>
      <c r="AG52" s="794">
        <v>120000.0</v>
      </c>
      <c r="AH52" s="760">
        <v>0.0</v>
      </c>
      <c r="AI52" s="794">
        <v>120000.0</v>
      </c>
      <c r="AJ52" s="760"/>
      <c r="AK52" s="794">
        <v>120000.0</v>
      </c>
      <c r="AL52" s="760"/>
      <c r="AM52" s="794">
        <v>120000.0</v>
      </c>
      <c r="AN52" s="760"/>
      <c r="AO52" s="794">
        <v>120000.0</v>
      </c>
      <c r="AP52" s="760"/>
      <c r="AQ52" s="779">
        <f t="shared" ref="AQ52:AR52" si="155">AC52+AE52+AG52+AI52+AK52+AM52+AO52</f>
        <v>840000</v>
      </c>
      <c r="AR52" s="486">
        <f t="shared" si="155"/>
        <v>0</v>
      </c>
      <c r="AS52" s="253">
        <f t="shared" si="115"/>
        <v>0</v>
      </c>
      <c r="AT52" s="427" t="str">
        <f>IFERROR(__xludf.DUMMYFUNCTION("IFERROR(SPARKLINE(AS52,{""charttype"",""bar"";""color1"",IF(AS52&gt;='Апрель'!green_percent,'Апрель'!green,IF(AS52&gt;='Апрель'!yellow_percent,'Апрель'!yellow,IF(AS52&gt;='Апрель'!orange_percent,'Апрель'!orange,'Апрель'!red)));""max"",1}))"),"")</f>
        <v/>
      </c>
      <c r="AU52" s="794">
        <v>120000.0</v>
      </c>
      <c r="AV52" s="763"/>
      <c r="AW52" s="794">
        <v>120000.0</v>
      </c>
      <c r="AX52" s="763"/>
      <c r="AY52" s="794">
        <v>120000.0</v>
      </c>
      <c r="AZ52" s="786"/>
      <c r="BA52" s="794">
        <v>120000.0</v>
      </c>
      <c r="BB52" s="786"/>
      <c r="BC52" s="794">
        <v>120000.0</v>
      </c>
      <c r="BD52" s="786"/>
      <c r="BE52" s="794">
        <v>120000.0</v>
      </c>
      <c r="BF52" s="786"/>
      <c r="BG52" s="794">
        <v>120000.0</v>
      </c>
      <c r="BH52" s="763"/>
      <c r="BI52" s="423">
        <f t="shared" ref="BI52:BJ52" si="156">AU52+AW52+AY52+BA52+BC52+BE52+BG52</f>
        <v>840000</v>
      </c>
      <c r="BJ52" s="428">
        <f t="shared" si="156"/>
        <v>0</v>
      </c>
      <c r="BK52" s="253">
        <f t="shared" si="117"/>
        <v>0</v>
      </c>
      <c r="BL52" s="427" t="str">
        <f>IFERROR(__xludf.DUMMYFUNCTION("IFERROR(SPARKLINE(BK52,{""charttype"",""bar"";""color1"",IF(BK52&gt;='Апрель'!green_percent,'Апрель'!green,IF(BK52&gt;='Апрель'!yellow_percent,'Апрель'!yellow,IF(BK52&gt;='Апрель'!orange_percent,'Апрель'!orange,'Апрель'!red)));""max"",1}))"),"")</f>
        <v/>
      </c>
      <c r="BM52" s="794">
        <v>120000.0</v>
      </c>
      <c r="BN52" s="739"/>
      <c r="BO52" s="794">
        <v>120000.0</v>
      </c>
      <c r="BP52" s="503">
        <v>166150.0</v>
      </c>
      <c r="BQ52" s="794">
        <v>120000.0</v>
      </c>
      <c r="BR52" s="744"/>
      <c r="BS52" s="794">
        <v>120000.0</v>
      </c>
      <c r="BT52" s="503"/>
      <c r="BU52" s="794">
        <v>120000.0</v>
      </c>
      <c r="BV52" s="744"/>
      <c r="BW52" s="794">
        <v>120000.0</v>
      </c>
      <c r="BX52" s="744"/>
      <c r="BY52" s="794">
        <v>120000.0</v>
      </c>
      <c r="BZ52" s="744"/>
      <c r="CA52" s="423">
        <v>840000.0</v>
      </c>
      <c r="CB52" s="428">
        <f t="shared" si="157"/>
        <v>166150</v>
      </c>
      <c r="CC52" s="253">
        <f t="shared" si="105"/>
        <v>0.197797619</v>
      </c>
      <c r="CD52" s="427" t="str">
        <f>IFERROR(__xludf.DUMMYFUNCTION("IFERROR(SPARKLINE(CC52,{""charttype"",""bar"";""color1"",IF(CC52&gt;='Апрель'!green_percent,'Апрель'!green,IF(CC52&gt;='Апрель'!yellow_percent,'Апрель'!yellow,IF(CC52&gt;='Апрель'!orange_percent,'Апрель'!orange,'Апрель'!red)));""max"",1}))"),"")</f>
        <v/>
      </c>
      <c r="CE52" s="794">
        <v>120000.0</v>
      </c>
      <c r="CF52" s="739"/>
      <c r="CG52" s="794">
        <v>120000.0</v>
      </c>
      <c r="CH52" s="739"/>
      <c r="CI52" s="794">
        <v>120000.0</v>
      </c>
      <c r="CJ52" s="739"/>
      <c r="CK52" s="794">
        <v>120000.0</v>
      </c>
      <c r="CL52" s="739"/>
      <c r="CM52" s="467"/>
      <c r="CN52" s="780"/>
      <c r="CO52" s="467"/>
      <c r="CP52" s="780"/>
      <c r="CQ52" s="467"/>
      <c r="CR52" s="739"/>
      <c r="CS52" s="803">
        <v>480000.0</v>
      </c>
      <c r="CT52" s="258">
        <f t="shared" si="158"/>
        <v>0</v>
      </c>
      <c r="CU52" s="259">
        <f t="shared" si="121"/>
        <v>0</v>
      </c>
      <c r="CV52" s="260" t="str">
        <f>IFERROR(__xludf.DUMMYFUNCTION("IFERROR(SPARKLINE(CU52,{""charttype"",""bar"";""color1"",IF(CU52&gt;='Апрель'!green_percent,'Апрель'!green,IF(CU52&gt;='Апрель'!yellow_percent,'Апрель'!yellow,IF(CU52&gt;='Апрель'!orange_percent,'Апрель'!orange,'Апрель'!red)));""max"",1}))"),"")</f>
        <v/>
      </c>
      <c r="CW52" s="473"/>
      <c r="CX52" s="552"/>
      <c r="CY52" s="766"/>
      <c r="CZ52" s="552"/>
      <c r="DA52" s="552"/>
      <c r="DB52" s="552"/>
      <c r="DC52" s="552"/>
      <c r="DD52" s="552"/>
      <c r="DE52" s="552"/>
      <c r="DF52" s="552"/>
      <c r="DG52" s="552"/>
      <c r="DH52" s="552"/>
      <c r="DI52" s="552"/>
      <c r="DJ52" s="552"/>
      <c r="DK52" s="782"/>
      <c r="DL52" s="783"/>
      <c r="DM52" s="784"/>
      <c r="DN52" s="785"/>
      <c r="DO52" s="552"/>
      <c r="DP52" s="552"/>
    </row>
    <row r="53">
      <c r="A53" s="673"/>
      <c r="B53" s="804" t="s">
        <v>47</v>
      </c>
      <c r="C53" s="217"/>
      <c r="D53" s="217"/>
      <c r="E53" s="218"/>
      <c r="F53" s="219">
        <f t="shared" ref="F53:G53" si="159">F51/F46</f>
        <v>0.2307692308</v>
      </c>
      <c r="G53" s="219">
        <f t="shared" si="159"/>
        <v>0.04166666667</v>
      </c>
      <c r="H53" s="543">
        <f t="shared" si="110"/>
        <v>0.1805555556</v>
      </c>
      <c r="I53" s="675" t="str">
        <f>IFERROR(__xludf.DUMMYFUNCTION("IFERROR(SPARKLINE(H53,{""charttype"",""bar"";""color1"",IF(H53&gt;='Апрель'!green_percent,'Апрель'!green,IF(H53&gt;='Апрель'!yellow_percent,'Апрель'!yellow,IF(H53&gt;='Апрель'!orange_percent,'Апрель'!orange,'Апрель'!red)));""max"",1}))"),"")</f>
        <v/>
      </c>
      <c r="K53" s="751"/>
      <c r="L53" s="752"/>
      <c r="M53" s="751"/>
      <c r="N53" s="753"/>
      <c r="O53" s="751">
        <f>O51/O49</f>
        <v>0.3</v>
      </c>
      <c r="P53" s="805"/>
      <c r="Q53" s="806">
        <v>0.30000000000000004</v>
      </c>
      <c r="R53" s="805">
        <v>0.0</v>
      </c>
      <c r="S53" s="807">
        <v>0.30000000000000004</v>
      </c>
      <c r="T53" s="805"/>
      <c r="U53" s="807">
        <v>0.30000000000000004</v>
      </c>
      <c r="V53" s="805"/>
      <c r="W53" s="808">
        <v>0.30000000000000004</v>
      </c>
      <c r="X53" s="809"/>
      <c r="Y53" s="810">
        <f>Y51/Y49</f>
        <v>0.3</v>
      </c>
      <c r="Z53" s="811">
        <f t="shared" ref="Z53:Z54" si="162">P53+R53+T53+V53+X53</f>
        <v>0</v>
      </c>
      <c r="AA53" s="812">
        <f t="shared" si="113"/>
        <v>0</v>
      </c>
      <c r="AB53" s="458" t="str">
        <f>IFERROR(__xludf.DUMMYFUNCTION("IFERROR(SPARKLINE(AA53,{""charttype"",""bar"";""color1"",IF(AA53&gt;='Апрель'!green_percent,'Апрель'!green,IF(AA53&gt;='Апрель'!yellow_percent,'Апрель'!yellow,IF(AA53&gt;='Апрель'!orange_percent,'Апрель'!orange,'Апрель'!red)));""max"",1}))"),"")</f>
        <v/>
      </c>
      <c r="AC53" s="519">
        <v>0.30000000000000004</v>
      </c>
      <c r="AD53" s="758"/>
      <c r="AE53" s="519">
        <v>0.30000000000000004</v>
      </c>
      <c r="AF53" s="760"/>
      <c r="AG53" s="519">
        <v>0.30000000000000004</v>
      </c>
      <c r="AH53" s="760"/>
      <c r="AI53" s="519">
        <v>0.30000000000000004</v>
      </c>
      <c r="AJ53" s="760"/>
      <c r="AK53" s="519">
        <v>0.30000000000000004</v>
      </c>
      <c r="AL53" s="760"/>
      <c r="AM53" s="519">
        <v>0.30000000000000004</v>
      </c>
      <c r="AN53" s="760"/>
      <c r="AO53" s="519">
        <v>0.30000000000000004</v>
      </c>
      <c r="AP53" s="760"/>
      <c r="AQ53" s="761">
        <f t="shared" ref="AQ53:AR53" si="160">AQ51/AQ49</f>
        <v>0.3</v>
      </c>
      <c r="AR53" s="279">
        <f t="shared" si="160"/>
        <v>0</v>
      </c>
      <c r="AS53" s="279">
        <f t="shared" si="115"/>
        <v>0</v>
      </c>
      <c r="AT53" s="462" t="str">
        <f>IFERROR(__xludf.DUMMYFUNCTION("IFERROR(SPARKLINE(AS53,{""charttype"",""bar"";""color1"",IF(AS53&gt;='Апрель'!green_percent,'Апрель'!green,IF(AS53&gt;='Апрель'!yellow_percent,'Апрель'!yellow,IF(AS53&gt;='Апрель'!orange_percent,'Апрель'!orange,'Апрель'!red)));""max"",1}))"),"")</f>
        <v/>
      </c>
      <c r="AU53" s="519">
        <v>0.30000000000000004</v>
      </c>
      <c r="AV53" s="763"/>
      <c r="AW53" s="519">
        <v>0.30000000000000004</v>
      </c>
      <c r="AX53" s="763"/>
      <c r="AY53" s="519">
        <v>0.30000000000000004</v>
      </c>
      <c r="AZ53" s="786"/>
      <c r="BA53" s="519">
        <v>0.30000000000000004</v>
      </c>
      <c r="BB53" s="786"/>
      <c r="BC53" s="519">
        <v>0.30000000000000004</v>
      </c>
      <c r="BD53" s="786"/>
      <c r="BE53" s="519">
        <v>0.30000000000000004</v>
      </c>
      <c r="BF53" s="786"/>
      <c r="BG53" s="519">
        <v>0.30000000000000004</v>
      </c>
      <c r="BH53" s="763"/>
      <c r="BI53" s="348">
        <v>0.30000000000000004</v>
      </c>
      <c r="BJ53" s="279">
        <f>BJ51/BJ49</f>
        <v>0</v>
      </c>
      <c r="BK53" s="279">
        <f t="shared" si="117"/>
        <v>0</v>
      </c>
      <c r="BL53" s="462" t="str">
        <f>IFERROR(__xludf.DUMMYFUNCTION("IFERROR(SPARKLINE(BK53,{""charttype"",""bar"";""color1"",IF(BK53&gt;='Апрель'!green_percent,'Апрель'!green,IF(BK53&gt;='Апрель'!yellow_percent,'Апрель'!yellow,IF(BK53&gt;='Апрель'!orange_percent,'Апрель'!orange,'Апрель'!red)));""max"",1}))"),"")</f>
        <v/>
      </c>
      <c r="BM53" s="519">
        <v>0.30000000000000004</v>
      </c>
      <c r="BN53" s="504"/>
      <c r="BO53" s="519">
        <v>0.30000000000000004</v>
      </c>
      <c r="BP53" s="503"/>
      <c r="BQ53" s="519">
        <v>0.30000000000000004</v>
      </c>
      <c r="BR53" s="503"/>
      <c r="BS53" s="519">
        <v>0.30000000000000004</v>
      </c>
      <c r="BT53" s="503"/>
      <c r="BU53" s="519">
        <v>0.30000000000000004</v>
      </c>
      <c r="BV53" s="503"/>
      <c r="BW53" s="519">
        <v>0.30000000000000004</v>
      </c>
      <c r="BX53" s="503"/>
      <c r="BY53" s="519">
        <v>0.30000000000000004</v>
      </c>
      <c r="BZ53" s="503"/>
      <c r="CA53" s="348">
        <v>0.30000000000000004</v>
      </c>
      <c r="CB53" s="499">
        <f>CB51/CB49</f>
        <v>0.5</v>
      </c>
      <c r="CC53" s="279">
        <f t="shared" si="105"/>
        <v>1.666666667</v>
      </c>
      <c r="CD53" s="462" t="str">
        <f>IFERROR(__xludf.DUMMYFUNCTION("IFERROR(SPARKLINE(CC53,{""charttype"",""bar"";""color1"",IF(CC53&gt;='Апрель'!green_percent,'Апрель'!green,IF(CC53&gt;='Апрель'!yellow_percent,'Апрель'!yellow,IF(CC53&gt;='Апрель'!orange_percent,'Апрель'!orange,'Апрель'!red)));""max"",1}))"),"")</f>
        <v/>
      </c>
      <c r="CE53" s="519">
        <v>0.30000000000000004</v>
      </c>
      <c r="CF53" s="504"/>
      <c r="CG53" s="519">
        <v>0.30000000000000004</v>
      </c>
      <c r="CH53" s="504"/>
      <c r="CI53" s="519">
        <v>0.30000000000000004</v>
      </c>
      <c r="CJ53" s="504"/>
      <c r="CK53" s="519">
        <v>0.30000000000000004</v>
      </c>
      <c r="CL53" s="504"/>
      <c r="CM53" s="467"/>
      <c r="CN53" s="500"/>
      <c r="CO53" s="467"/>
      <c r="CP53" s="500"/>
      <c r="CQ53" s="467"/>
      <c r="CR53" s="504"/>
      <c r="CS53" s="787">
        <v>0.23076923076923078</v>
      </c>
      <c r="CT53" s="230">
        <f>CT51/CT49</f>
        <v>0</v>
      </c>
      <c r="CU53" s="231">
        <f t="shared" si="121"/>
        <v>0</v>
      </c>
      <c r="CV53" s="232" t="str">
        <f>IFERROR(__xludf.DUMMYFUNCTION("IFERROR(SPARKLINE(CU53,{""charttype"",""bar"";""color1"",IF(CU53&gt;='Апрель'!green_percent,'Апрель'!green,IF(CU53&gt;='Апрель'!yellow_percent,'Апрель'!yellow,IF(CU53&gt;='Апрель'!orange_percent,'Апрель'!orange,'Апрель'!red)));""max"",1}))"),"")</f>
        <v/>
      </c>
      <c r="CW53" s="473"/>
      <c r="CX53" s="771"/>
      <c r="CY53" s="766"/>
      <c r="CZ53" s="771"/>
      <c r="DA53" s="771"/>
      <c r="DB53" s="771"/>
      <c r="DC53" s="771"/>
      <c r="DD53" s="771"/>
      <c r="DE53" s="771"/>
      <c r="DF53" s="771"/>
      <c r="DG53" s="771"/>
      <c r="DH53" s="771"/>
      <c r="DI53" s="771"/>
      <c r="DJ53" s="771"/>
      <c r="DK53" s="788"/>
      <c r="DL53" s="789"/>
      <c r="DM53" s="790"/>
      <c r="DN53" s="791"/>
      <c r="DO53" s="771"/>
      <c r="DP53" s="771"/>
    </row>
    <row r="54">
      <c r="A54" s="703"/>
      <c r="B54" s="813" t="s">
        <v>27</v>
      </c>
      <c r="C54" s="814"/>
      <c r="D54" s="814"/>
      <c r="E54" s="815"/>
      <c r="F54" s="816">
        <f t="shared" ref="F54:G54" si="161">F41/F51</f>
        <v>53333.33333</v>
      </c>
      <c r="G54" s="817">
        <f t="shared" si="161"/>
        <v>133290</v>
      </c>
      <c r="H54" s="818">
        <f t="shared" si="110"/>
        <v>2.4991875</v>
      </c>
      <c r="I54" s="705" t="str">
        <f>IFERROR(__xludf.DUMMYFUNCTION("IFERROR(SPARKLINE(H54,{""charttype"",""bar"";""color1"",IF(H54&gt;='Апрель'!green_percent,'Апрель'!green,IF(H54&gt;='Апрель'!yellow_percent,'Апрель'!yellow,IF(H54&gt;='Апрель'!orange_percent,'Апрель'!orange,'Апрель'!red)));""max"",1}))"),"")</f>
        <v/>
      </c>
      <c r="K54" s="819"/>
      <c r="L54" s="820"/>
      <c r="M54" s="819"/>
      <c r="N54" s="820"/>
      <c r="O54" s="821">
        <f>F54</f>
        <v>53333.33333</v>
      </c>
      <c r="P54" s="776">
        <v>0.0</v>
      </c>
      <c r="Q54" s="278">
        <f>F54</f>
        <v>53333.33333</v>
      </c>
      <c r="R54" s="776">
        <v>0.0</v>
      </c>
      <c r="S54" s="792">
        <f>F54</f>
        <v>53333.33333</v>
      </c>
      <c r="T54" s="776"/>
      <c r="U54" s="792">
        <f>F54</f>
        <v>53333.33333</v>
      </c>
      <c r="V54" s="776"/>
      <c r="W54" s="276">
        <f>F54</f>
        <v>53333.33333</v>
      </c>
      <c r="X54" s="822"/>
      <c r="Y54" s="423">
        <f>F54</f>
        <v>53333.33333</v>
      </c>
      <c r="Z54" s="486">
        <f t="shared" si="162"/>
        <v>0</v>
      </c>
      <c r="AA54" s="412">
        <f t="shared" si="113"/>
        <v>0</v>
      </c>
      <c r="AB54" s="823" t="str">
        <f>IFERROR(__xludf.DUMMYFUNCTION("IFERROR(SPARKLINE(AA54,{""charttype"",""bar"";""color1"",IF(AA54&gt;='Апрель'!green_percent,'Апрель'!green,IF(AA54&gt;='Апрель'!yellow_percent,'Апрель'!yellow,IF(AA54&gt;='Апрель'!orange_percent,'Апрель'!orange,'Апрель'!red)));""max"",1}))"),"")</f>
        <v/>
      </c>
      <c r="AC54" s="425">
        <v>53333.333333333336</v>
      </c>
      <c r="AD54" s="824"/>
      <c r="AE54" s="425">
        <v>53333.333333333336</v>
      </c>
      <c r="AF54" s="824"/>
      <c r="AG54" s="425">
        <v>53333.333333333336</v>
      </c>
      <c r="AH54" s="824"/>
      <c r="AI54" s="425">
        <v>53333.333333333336</v>
      </c>
      <c r="AJ54" s="824"/>
      <c r="AK54" s="425">
        <v>53333.333333333336</v>
      </c>
      <c r="AL54" s="824"/>
      <c r="AM54" s="425">
        <v>53333.333333333336</v>
      </c>
      <c r="AN54" s="825"/>
      <c r="AO54" s="425">
        <v>53333.333333333336</v>
      </c>
      <c r="AP54" s="459"/>
      <c r="AQ54" s="423">
        <f>AQ41/AQ51</f>
        <v>53333.33333</v>
      </c>
      <c r="AR54" s="486" t="b">
        <f>AR41=AR52</f>
        <v>0</v>
      </c>
      <c r="AS54" s="253">
        <f t="shared" si="115"/>
        <v>0</v>
      </c>
      <c r="AT54" s="427" t="str">
        <f>IFERROR(__xludf.DUMMYFUNCTION("IFERROR(SPARKLINE(AS54,{""charttype"",""bar"";""color1"",IF(AS54&gt;='Апрель'!green_percent,'Апрель'!green,IF(AS54&gt;='Апрель'!yellow_percent,'Апрель'!yellow,IF(AS54&gt;='Апрель'!orange_percent,'Апрель'!orange,'Апрель'!red)));""max"",1}))"),"")</f>
        <v/>
      </c>
      <c r="AU54" s="425">
        <v>53333.333333333336</v>
      </c>
      <c r="AV54" s="822"/>
      <c r="AW54" s="425">
        <v>53333.333333333336</v>
      </c>
      <c r="AX54" s="822"/>
      <c r="AY54" s="425">
        <v>53333.333333333336</v>
      </c>
      <c r="AZ54" s="776"/>
      <c r="BA54" s="425">
        <v>53333.333333333336</v>
      </c>
      <c r="BB54" s="776"/>
      <c r="BC54" s="425">
        <v>53333.333333333336</v>
      </c>
      <c r="BD54" s="776"/>
      <c r="BE54" s="425">
        <v>53333.333333333336</v>
      </c>
      <c r="BF54" s="776"/>
      <c r="BG54" s="425">
        <v>53333.333333333336</v>
      </c>
      <c r="BH54" s="822"/>
      <c r="BI54" s="585">
        <v>53333.333333333336</v>
      </c>
      <c r="BJ54" s="486">
        <f>AV54+AX54+AZ54+BB54+BD54+BF54+BH54</f>
        <v>0</v>
      </c>
      <c r="BK54" s="253">
        <f t="shared" si="117"/>
        <v>0</v>
      </c>
      <c r="BL54" s="427" t="str">
        <f>IFERROR(__xludf.DUMMYFUNCTION("IFERROR(SPARKLINE(BK54,{""charttype"",""bar"";""color1"",IF(BK54&gt;='Апрель'!green_percent,'Апрель'!green,IF(BK54&gt;='Апрель'!yellow_percent,'Апрель'!yellow,IF(BK54&gt;='Апрель'!orange_percent,'Апрель'!orange,'Апрель'!red)));""max"",1}))"),"")</f>
        <v/>
      </c>
      <c r="BM54" s="425">
        <v>53333.333333333336</v>
      </c>
      <c r="BN54" s="710"/>
      <c r="BO54" s="425">
        <v>53333.333333333336</v>
      </c>
      <c r="BP54" s="465"/>
      <c r="BQ54" s="425">
        <v>53333.333333333336</v>
      </c>
      <c r="BR54" s="716"/>
      <c r="BS54" s="425">
        <v>53333.333333333336</v>
      </c>
      <c r="BT54" s="716"/>
      <c r="BU54" s="425">
        <v>53333.333333333336</v>
      </c>
      <c r="BV54" s="716"/>
      <c r="BW54" s="425">
        <v>53333.333333333336</v>
      </c>
      <c r="BX54" s="716"/>
      <c r="BY54" s="425">
        <v>53333.333333333336</v>
      </c>
      <c r="BZ54" s="716"/>
      <c r="CA54" s="585">
        <v>53333.333333333336</v>
      </c>
      <c r="CB54" s="486">
        <f>CB41/CB51</f>
        <v>37653</v>
      </c>
      <c r="CC54" s="253">
        <f t="shared" si="105"/>
        <v>0.70599375</v>
      </c>
      <c r="CD54" s="427" t="str">
        <f>IFERROR(__xludf.DUMMYFUNCTION("IFERROR(SPARKLINE(CC54,{""charttype"",""bar"";""color1"",IF(CC54&gt;='Апрель'!green_percent,'Апрель'!green,IF(CC54&gt;='Апрель'!yellow_percent,'Апрель'!yellow,IF(CC54&gt;='Апрель'!orange_percent,'Апрель'!orange,'Апрель'!red)));""max"",1}))"),"")</f>
        <v/>
      </c>
      <c r="CE54" s="425">
        <v>53333.333333333336</v>
      </c>
      <c r="CF54" s="710"/>
      <c r="CG54" s="425">
        <v>53333.333333333336</v>
      </c>
      <c r="CH54" s="710"/>
      <c r="CI54" s="425">
        <v>53333.333333333336</v>
      </c>
      <c r="CJ54" s="710"/>
      <c r="CK54" s="425">
        <v>53333.333333333336</v>
      </c>
      <c r="CL54" s="710"/>
      <c r="CM54" s="256"/>
      <c r="CN54" s="708"/>
      <c r="CO54" s="256"/>
      <c r="CP54" s="708"/>
      <c r="CQ54" s="256"/>
      <c r="CR54" s="710"/>
      <c r="CS54" s="826">
        <v>53333.333333333336</v>
      </c>
      <c r="CT54" s="258" t="str">
        <f>CT41/CT51</f>
        <v>#DIV/0!</v>
      </c>
      <c r="CU54" s="259" t="str">
        <f t="shared" si="121"/>
        <v/>
      </c>
      <c r="CV54" s="260" t="str">
        <f>IFERROR(__xludf.DUMMYFUNCTION("IFERROR(SPARKLINE(CU54,{""charttype"",""bar"";""color1"",IF(CU54&gt;='Апрель'!green_percent,'Апрель'!green,IF(CU54&gt;='Апрель'!yellow_percent,'Апрель'!yellow,IF(CU54&gt;='Апрель'!orange_percent,'Апрель'!orange,'Апрель'!red)));""max"",1}))"),"")</f>
        <v/>
      </c>
      <c r="CW54" s="321"/>
      <c r="CX54" s="827"/>
      <c r="CY54" s="828"/>
      <c r="CZ54" s="827"/>
      <c r="DA54" s="827"/>
      <c r="DB54" s="827"/>
      <c r="DC54" s="827"/>
      <c r="DD54" s="827"/>
      <c r="DE54" s="827"/>
      <c r="DF54" s="827"/>
      <c r="DG54" s="827"/>
      <c r="DH54" s="827"/>
      <c r="DI54" s="827"/>
      <c r="DJ54" s="827"/>
      <c r="DK54" s="829">
        <f t="shared" ref="DK54:DL54" si="163">CW54+CY54+DA54+DC54+DE54+DG54+DI54</f>
        <v>0</v>
      </c>
      <c r="DL54" s="830">
        <f t="shared" si="163"/>
        <v>0</v>
      </c>
      <c r="DM54" s="831" t="str">
        <f>IFERROR(DL54/DK54,"")</f>
        <v/>
      </c>
      <c r="DN54" s="832" t="str">
        <f>IFERROR(__xludf.DUMMYFUNCTION("IFERROR(SPARKLINE(DM54,{""charttype"",""bar"";""color1"",IF(DM54&gt;='Апрель'!green_percent,'Апрель'!green,IF(DM54&gt;='Апрель'!yellow_percent,'Апрель'!yellow,IF(DM54&gt;='Апрель'!orange_percent,'Апрель'!orange,'Апрель'!red)));""max"",1}))"),"")</f>
        <v/>
      </c>
      <c r="DO54" s="827"/>
      <c r="DP54" s="827"/>
    </row>
    <row r="55">
      <c r="A55" s="673"/>
      <c r="B55" s="724" t="s">
        <v>28</v>
      </c>
      <c r="C55" s="217"/>
      <c r="D55" s="217"/>
      <c r="E55" s="218"/>
      <c r="F55" s="448">
        <v>0.0</v>
      </c>
      <c r="G55" s="448">
        <f>Z55+AR55+BJ55+CB55+CT55</f>
        <v>0</v>
      </c>
      <c r="H55" s="543" t="str">
        <f t="shared" si="110"/>
        <v/>
      </c>
      <c r="I55" s="675" t="str">
        <f>IFERROR(__xludf.DUMMYFUNCTION("IFERROR(SPARKLINE(H55,{""charttype"",""bar"";""color1"",IF(H55&gt;='Апрель'!green_percent,'Апрель'!green,IF(H55&gt;='Апрель'!yellow_percent,'Апрель'!yellow,IF(H55&gt;='Апрель'!orange_percent,'Апрель'!orange,'Апрель'!red)));""max"",1}))"),"")</f>
        <v/>
      </c>
      <c r="K55" s="833"/>
      <c r="L55" s="834"/>
      <c r="M55" s="833"/>
      <c r="N55" s="834"/>
      <c r="O55" s="835"/>
      <c r="P55" s="776"/>
      <c r="Q55" s="278"/>
      <c r="R55" s="776"/>
      <c r="S55" s="792"/>
      <c r="T55" s="776"/>
      <c r="U55" s="792"/>
      <c r="V55" s="776"/>
      <c r="W55" s="276"/>
      <c r="X55" s="463"/>
      <c r="Y55" s="277"/>
      <c r="Z55" s="464"/>
      <c r="AA55" s="220"/>
      <c r="AB55" s="836"/>
      <c r="AC55" s="837"/>
      <c r="AD55" s="824"/>
      <c r="AE55" s="837"/>
      <c r="AF55" s="824"/>
      <c r="AG55" s="837"/>
      <c r="AH55" s="824"/>
      <c r="AI55" s="837"/>
      <c r="AJ55" s="824"/>
      <c r="AK55" s="837"/>
      <c r="AL55" s="824"/>
      <c r="AM55" s="837"/>
      <c r="AN55" s="825"/>
      <c r="AO55" s="837"/>
      <c r="AP55" s="459"/>
      <c r="AQ55" s="349"/>
      <c r="AR55" s="464"/>
      <c r="AS55" s="279"/>
      <c r="AT55" s="462"/>
      <c r="AU55" s="837"/>
      <c r="AV55" s="463"/>
      <c r="AW55" s="837"/>
      <c r="AX55" s="463"/>
      <c r="AY55" s="837"/>
      <c r="AZ55" s="776"/>
      <c r="BA55" s="837"/>
      <c r="BB55" s="776"/>
      <c r="BC55" s="837"/>
      <c r="BD55" s="776"/>
      <c r="BE55" s="837"/>
      <c r="BF55" s="776"/>
      <c r="BG55" s="837"/>
      <c r="BH55" s="463"/>
      <c r="BI55" s="349"/>
      <c r="BJ55" s="464"/>
      <c r="BK55" s="279"/>
      <c r="BL55" s="462"/>
      <c r="BM55" s="837"/>
      <c r="BN55" s="466"/>
      <c r="BO55" s="837"/>
      <c r="BP55" s="465"/>
      <c r="BQ55" s="837"/>
      <c r="BR55" s="465"/>
      <c r="BS55" s="837"/>
      <c r="BT55" s="465"/>
      <c r="BU55" s="837"/>
      <c r="BV55" s="465"/>
      <c r="BW55" s="837"/>
      <c r="BX55" s="465"/>
      <c r="BY55" s="837"/>
      <c r="BZ55" s="465"/>
      <c r="CA55" s="349"/>
      <c r="CB55" s="464"/>
      <c r="CC55" s="838"/>
      <c r="CD55" s="334"/>
      <c r="CE55" s="837"/>
      <c r="CF55" s="466"/>
      <c r="CG55" s="837"/>
      <c r="CH55" s="466"/>
      <c r="CI55" s="837"/>
      <c r="CJ55" s="466"/>
      <c r="CK55" s="837"/>
      <c r="CL55" s="466"/>
      <c r="CM55" s="256"/>
      <c r="CN55" s="726"/>
      <c r="CO55" s="256"/>
      <c r="CP55" s="726"/>
      <c r="CQ55" s="256"/>
      <c r="CR55" s="466"/>
      <c r="CS55" s="839"/>
      <c r="CT55" s="733"/>
      <c r="CU55" s="840"/>
      <c r="CV55" s="841"/>
      <c r="CW55" s="842"/>
      <c r="CX55" s="843"/>
      <c r="CY55" s="842"/>
      <c r="CZ55" s="843"/>
      <c r="DA55" s="843"/>
      <c r="DB55" s="843"/>
      <c r="DC55" s="843"/>
      <c r="DD55" s="843"/>
      <c r="DE55" s="843"/>
      <c r="DF55" s="843"/>
      <c r="DG55" s="843"/>
      <c r="DH55" s="843"/>
      <c r="DI55" s="843"/>
      <c r="DJ55" s="843"/>
      <c r="DK55" s="289"/>
      <c r="DL55" s="844"/>
      <c r="DM55" s="310"/>
      <c r="DN55" s="339"/>
      <c r="DO55" s="843"/>
      <c r="DP55" s="843"/>
    </row>
    <row r="56">
      <c r="A56" s="845"/>
      <c r="B56" s="846" t="s">
        <v>41</v>
      </c>
      <c r="C56" s="814"/>
      <c r="D56" s="814"/>
      <c r="E56" s="815"/>
      <c r="F56" s="581">
        <v>0.0</v>
      </c>
      <c r="G56" s="581">
        <f>SUMIFS(O56:DN56,$O$11:$DN$11,"Факт",$O$3:$DN$3,"&gt;"&amp;EOMONTH('Апрель'!date,-1),$O$3:$DN$3,"&lt;="&amp;EOMONTH('Апрель'!date,0))</f>
        <v>0</v>
      </c>
      <c r="H56" s="704" t="str">
        <f t="shared" si="110"/>
        <v/>
      </c>
      <c r="I56" s="705" t="str">
        <f>IFERROR(__xludf.DUMMYFUNCTION("IFERROR(SPARKLINE(H56,{""charttype"",""bar"";""color1"",IF(H56&gt;='Апрель'!green_percent,'Апрель'!green,IF(H56&gt;='Апрель'!yellow_percent,'Апрель'!yellow,IF(H56&gt;='Апрель'!orange_percent,'Апрель'!orange,'Апрель'!red)));""max"",1}))"),"")</f>
        <v/>
      </c>
      <c r="J56" s="646"/>
      <c r="K56" s="847"/>
      <c r="L56" s="834"/>
      <c r="M56" s="847"/>
      <c r="N56" s="834"/>
      <c r="O56" s="848"/>
      <c r="P56" s="849"/>
      <c r="Q56" s="850"/>
      <c r="R56" s="849"/>
      <c r="S56" s="851"/>
      <c r="T56" s="849"/>
      <c r="U56" s="851"/>
      <c r="V56" s="849"/>
      <c r="W56" s="852"/>
      <c r="X56" s="853"/>
      <c r="Y56" s="854"/>
      <c r="Z56" s="855"/>
      <c r="AA56" s="856"/>
      <c r="AB56" s="446"/>
      <c r="AC56" s="857"/>
      <c r="AD56" s="858"/>
      <c r="AE56" s="857"/>
      <c r="AF56" s="858"/>
      <c r="AG56" s="857"/>
      <c r="AH56" s="858"/>
      <c r="AI56" s="857"/>
      <c r="AJ56" s="858"/>
      <c r="AK56" s="857"/>
      <c r="AL56" s="858"/>
      <c r="AM56" s="857"/>
      <c r="AN56" s="859"/>
      <c r="AO56" s="857"/>
      <c r="AP56" s="860"/>
      <c r="AQ56" s="861"/>
      <c r="AR56" s="862"/>
      <c r="AS56" s="364"/>
      <c r="AT56" s="863"/>
      <c r="AU56" s="857"/>
      <c r="AV56" s="864"/>
      <c r="AW56" s="857"/>
      <c r="AX56" s="864"/>
      <c r="AY56" s="857"/>
      <c r="AZ56" s="865"/>
      <c r="BA56" s="857"/>
      <c r="BB56" s="865"/>
      <c r="BC56" s="857"/>
      <c r="BD56" s="865"/>
      <c r="BE56" s="857"/>
      <c r="BF56" s="865"/>
      <c r="BG56" s="857"/>
      <c r="BH56" s="864"/>
      <c r="BI56" s="861"/>
      <c r="BJ56" s="862"/>
      <c r="BK56" s="364"/>
      <c r="BL56" s="863"/>
      <c r="BM56" s="857"/>
      <c r="BN56" s="866"/>
      <c r="BO56" s="857"/>
      <c r="BP56" s="867"/>
      <c r="BQ56" s="857"/>
      <c r="BR56" s="868"/>
      <c r="BS56" s="857"/>
      <c r="BT56" s="868"/>
      <c r="BU56" s="857"/>
      <c r="BV56" s="868"/>
      <c r="BW56" s="857"/>
      <c r="BX56" s="868"/>
      <c r="BY56" s="857"/>
      <c r="BZ56" s="868"/>
      <c r="CA56" s="861"/>
      <c r="CB56" s="862"/>
      <c r="CC56" s="869"/>
      <c r="CD56" s="366"/>
      <c r="CE56" s="857"/>
      <c r="CF56" s="866"/>
      <c r="CG56" s="857"/>
      <c r="CH56" s="866"/>
      <c r="CI56" s="857"/>
      <c r="CJ56" s="866"/>
      <c r="CK56" s="857"/>
      <c r="CL56" s="866"/>
      <c r="CM56" s="367"/>
      <c r="CN56" s="870"/>
      <c r="CO56" s="367"/>
      <c r="CP56" s="870"/>
      <c r="CQ56" s="367"/>
      <c r="CR56" s="866"/>
      <c r="CS56" s="871"/>
      <c r="CT56" s="872"/>
      <c r="CU56" s="873"/>
      <c r="CV56" s="874"/>
      <c r="CW56" s="842"/>
      <c r="CX56" s="875"/>
      <c r="CY56" s="842"/>
      <c r="CZ56" s="875"/>
      <c r="DA56" s="875"/>
      <c r="DB56" s="875"/>
      <c r="DC56" s="875"/>
      <c r="DD56" s="875"/>
      <c r="DE56" s="875"/>
      <c r="DF56" s="875"/>
      <c r="DG56" s="875"/>
      <c r="DH56" s="875"/>
      <c r="DI56" s="875"/>
      <c r="DJ56" s="875"/>
      <c r="DK56" s="326"/>
      <c r="DL56" s="876"/>
      <c r="DM56" s="327"/>
      <c r="DN56" s="329"/>
      <c r="DO56" s="875"/>
      <c r="DP56" s="875"/>
    </row>
    <row r="57">
      <c r="A57" s="877" t="s">
        <v>48</v>
      </c>
      <c r="B57" s="878" t="s">
        <v>20</v>
      </c>
      <c r="C57" s="879"/>
      <c r="D57" s="879"/>
      <c r="E57" s="880"/>
      <c r="F57" s="881">
        <f t="shared" ref="F57:G57" si="164">F58/F73</f>
        <v>0.3191666667</v>
      </c>
      <c r="G57" s="881" t="str">
        <f t="shared" si="164"/>
        <v>#DIV/0!</v>
      </c>
      <c r="H57" s="882"/>
      <c r="I57" s="883"/>
      <c r="J57" s="884"/>
      <c r="K57" s="885"/>
      <c r="L57" s="886"/>
      <c r="M57" s="887"/>
      <c r="N57" s="888"/>
      <c r="O57" s="885"/>
      <c r="P57" s="889"/>
      <c r="Q57" s="887"/>
      <c r="R57" s="890"/>
      <c r="S57" s="887"/>
      <c r="T57" s="890"/>
      <c r="U57" s="887"/>
      <c r="V57" s="890"/>
      <c r="W57" s="891"/>
      <c r="X57" s="892"/>
      <c r="Y57" s="893">
        <f t="shared" ref="Y57:Z57" si="165">Y58/Y73</f>
        <v>0.3957666667</v>
      </c>
      <c r="Z57" s="881" t="str">
        <f t="shared" si="165"/>
        <v>#DIV/0!</v>
      </c>
      <c r="AA57" s="894"/>
      <c r="AB57" s="895"/>
      <c r="AC57" s="306"/>
      <c r="AD57" s="896"/>
      <c r="AE57" s="306"/>
      <c r="AF57" s="896"/>
      <c r="AG57" s="306"/>
      <c r="AH57" s="896"/>
      <c r="AI57" s="306"/>
      <c r="AJ57" s="896"/>
      <c r="AK57" s="306"/>
      <c r="AL57" s="896"/>
      <c r="AM57" s="306"/>
      <c r="AN57" s="897"/>
      <c r="AO57" s="306"/>
      <c r="AP57" s="898"/>
      <c r="AQ57" s="899">
        <v>0.3191666666666666</v>
      </c>
      <c r="AR57" s="899" t="str">
        <f>AR58/AR73</f>
        <v>#DIV/0!</v>
      </c>
      <c r="AS57" s="390"/>
      <c r="AT57" s="391"/>
      <c r="AU57" s="306"/>
      <c r="AV57" s="900"/>
      <c r="AW57" s="306"/>
      <c r="AX57" s="900"/>
      <c r="AY57" s="306"/>
      <c r="AZ57" s="901"/>
      <c r="BA57" s="306"/>
      <c r="BB57" s="901"/>
      <c r="BC57" s="306"/>
      <c r="BD57" s="901"/>
      <c r="BE57" s="306"/>
      <c r="BF57" s="901"/>
      <c r="BG57" s="306"/>
      <c r="BH57" s="900"/>
      <c r="BI57" s="899">
        <v>0.3191666666666666</v>
      </c>
      <c r="BJ57" s="899" t="str">
        <f>BJ58/BJ73</f>
        <v>#DIV/0!</v>
      </c>
      <c r="BK57" s="688" t="str">
        <f t="shared" ref="BK57:BK75" si="166">IFERROR(BJ57/BI57,"")</f>
        <v/>
      </c>
      <c r="BL57" s="689" t="str">
        <f>IFERROR(__xludf.DUMMYFUNCTION("IFERROR(SPARKLINE(BK57,{""charttype"",""bar"";""color1"",IF(BK57&gt;='Апрель'!green_percent,'Апрель'!green,IF(BK57&gt;='Апрель'!yellow_percent,'Апрель'!yellow,IF(BK57&gt;='Апрель'!orange_percent,'Апрель'!orange,'Апрель'!red)));""max"",1}))"),"")</f>
        <v/>
      </c>
      <c r="BM57" s="306"/>
      <c r="BN57" s="902"/>
      <c r="BO57" s="306"/>
      <c r="BP57" s="903"/>
      <c r="BQ57" s="306"/>
      <c r="BR57" s="903"/>
      <c r="BS57" s="306"/>
      <c r="BT57" s="903"/>
      <c r="BU57" s="306"/>
      <c r="BV57" s="903"/>
      <c r="BW57" s="306"/>
      <c r="BX57" s="903"/>
      <c r="BY57" s="306"/>
      <c r="BZ57" s="903"/>
      <c r="CA57" s="899">
        <v>0.3191666666666666</v>
      </c>
      <c r="CB57" s="899" t="str">
        <f>CB58/CB73</f>
        <v>#DIV/0!</v>
      </c>
      <c r="CC57" s="688" t="str">
        <f t="shared" ref="CC57:CC75" si="167">IFERROR(CB57/CA57,"")</f>
        <v/>
      </c>
      <c r="CD57" s="689" t="str">
        <f>IFERROR(__xludf.DUMMYFUNCTION("IFERROR(SPARKLINE(CC57,{""charttype"",""bar"";""color1"",IF(CC57&gt;='Апрель'!green_percent,'Апрель'!green,IF(CC57&gt;='Апрель'!yellow_percent,'Апрель'!yellow,IF(CC57&gt;='Апрель'!orange_percent,'Апрель'!orange,'Апрель'!red)));""max"",1}))"),"")</f>
        <v/>
      </c>
      <c r="CE57" s="306"/>
      <c r="CF57" s="902"/>
      <c r="CG57" s="306"/>
      <c r="CH57" s="902"/>
      <c r="CI57" s="306"/>
      <c r="CJ57" s="902"/>
      <c r="CK57" s="306"/>
      <c r="CL57" s="902"/>
      <c r="CM57" s="306"/>
      <c r="CN57" s="902"/>
      <c r="CO57" s="261"/>
      <c r="CP57" s="904"/>
      <c r="CQ57" s="719"/>
      <c r="CR57" s="904"/>
      <c r="CS57" s="899">
        <v>0.3191666666666666</v>
      </c>
      <c r="CT57" s="899" t="str">
        <f>CT58/CT73</f>
        <v>#DIV/0!</v>
      </c>
      <c r="CU57" s="688" t="str">
        <f t="shared" ref="CU57:CU75" si="168">IFERROR(CT57/CS57,"")</f>
        <v/>
      </c>
      <c r="CV57" s="689" t="str">
        <f>IFERROR(__xludf.DUMMYFUNCTION("IFERROR(SPARKLINE(CU57,{""charttype"",""bar"";""color1"",IF(CU57&gt;='Апрель'!green_percent,'Апрель'!green,IF(CU57&gt;='Апрель'!yellow_percent,'Апрель'!yellow,IF(CU57&gt;='Апрель'!orange_percent,'Апрель'!orange,'Апрель'!red)));""max"",1}))"),"")</f>
        <v/>
      </c>
      <c r="CW57" s="905"/>
      <c r="CX57" s="906"/>
      <c r="CY57" s="905"/>
      <c r="CZ57" s="906"/>
      <c r="DA57" s="906"/>
      <c r="DB57" s="906"/>
      <c r="DC57" s="906"/>
      <c r="DD57" s="906"/>
      <c r="DE57" s="906"/>
      <c r="DF57" s="906"/>
      <c r="DG57" s="906"/>
      <c r="DH57" s="906"/>
      <c r="DI57" s="906"/>
      <c r="DJ57" s="906"/>
      <c r="DK57" s="907"/>
      <c r="DL57" s="908"/>
      <c r="DM57" s="909"/>
      <c r="DN57" s="910"/>
      <c r="DO57" s="906"/>
      <c r="DP57" s="911"/>
    </row>
    <row r="58" ht="21.0" customHeight="1">
      <c r="A58" s="912"/>
      <c r="B58" s="913" t="s">
        <v>49</v>
      </c>
      <c r="C58" s="242"/>
      <c r="D58" s="242"/>
      <c r="E58" s="243"/>
      <c r="F58" s="581">
        <v>191500.0</v>
      </c>
      <c r="G58" s="581">
        <f t="shared" ref="G58:G62" si="169">Z58+AR58+BJ58+CB58+CT58</f>
        <v>218000</v>
      </c>
      <c r="H58" s="704">
        <f t="shared" ref="H58:H75" si="170">IFERROR(G58/F58,"")</f>
        <v>1.138381201</v>
      </c>
      <c r="I58" s="427" t="str">
        <f>IFERROR(__xludf.DUMMYFUNCTION("IFERROR(SPARKLINE(H58,{""charttype"",""bar"";""color1"",IF(H58&gt;='Апрель'!green_percent,'Апрель'!green,IF(H58&gt;='Апрель'!yellow_percent,'Апрель'!yellow,IF(H58&gt;='Апрель'!orange_percent,'Апрель'!orange,'Апрель'!red)));""max"",1}))"),"")</f>
        <v/>
      </c>
      <c r="K58" s="914"/>
      <c r="L58" s="915"/>
      <c r="M58" s="914"/>
      <c r="N58" s="916"/>
      <c r="O58" s="914">
        <f t="shared" ref="O58:O62" si="171">F58/31</f>
        <v>6177.419355</v>
      </c>
      <c r="P58" s="917"/>
      <c r="Q58" s="914">
        <f t="shared" ref="Q58:Q62" si="172">F58/31</f>
        <v>6177.419355</v>
      </c>
      <c r="R58" s="918"/>
      <c r="S58" s="914">
        <v>6177.419354838709</v>
      </c>
      <c r="T58" s="918"/>
      <c r="U58" s="914">
        <v>6177.419354838709</v>
      </c>
      <c r="V58" s="918"/>
      <c r="W58" s="919">
        <v>6177.419354838709</v>
      </c>
      <c r="X58" s="822"/>
      <c r="Y58" s="585">
        <v>38300.0</v>
      </c>
      <c r="Z58" s="244">
        <v>0.0</v>
      </c>
      <c r="AA58" s="245">
        <f t="shared" ref="AA58:AA75" si="173">IFERROR(Z58/Y58,"")</f>
        <v>0</v>
      </c>
      <c r="AB58" s="920" t="str">
        <f>IFERROR(__xludf.DUMMYFUNCTION("IFERROR(SPARKLINE(AA58,{""charttype"",""bar"";""color1"",IF(AA58&gt;='Апрель'!green_percent,'Апрель'!green,IF(AA58&gt;='Апрель'!yellow_percent,'Апрель'!yellow,IF(AA58&gt;='Апрель'!orange_percent,'Апрель'!orange,'Апрель'!red)));""max"",1}))"),"")</f>
        <v/>
      </c>
      <c r="AC58" s="921">
        <v>6177.419354838709</v>
      </c>
      <c r="AD58" s="824"/>
      <c r="AE58" s="921">
        <v>6177.419354838709</v>
      </c>
      <c r="AF58" s="824"/>
      <c r="AG58" s="921">
        <v>6177.419354838709</v>
      </c>
      <c r="AH58" s="824"/>
      <c r="AI58" s="921">
        <v>6177.419354838709</v>
      </c>
      <c r="AJ58" s="824"/>
      <c r="AK58" s="921">
        <v>6177.419354838709</v>
      </c>
      <c r="AL58" s="824"/>
      <c r="AM58" s="921">
        <v>6177.419354838709</v>
      </c>
      <c r="AN58" s="825"/>
      <c r="AO58" s="921">
        <v>6177.419354838709</v>
      </c>
      <c r="AP58" s="459"/>
      <c r="AQ58" s="585">
        <v>38300.0</v>
      </c>
      <c r="AR58" s="580">
        <v>98000.0</v>
      </c>
      <c r="AS58" s="922">
        <f t="shared" ref="AS58:AS71" si="174">IFERROR(AR58/AQ58,"")</f>
        <v>2.558746736</v>
      </c>
      <c r="AT58" s="923" t="str">
        <f>IFERROR(__xludf.DUMMYFUNCTION("IFERROR(SPARKLINE(AS58,{""charttype"",""bar"";""color1"",IF(AS58&gt;='Апрель'!green_percent,'Апрель'!green,IF(AS58&gt;='Апрель'!yellow_percent,'Апрель'!yellow,IF(AS58&gt;='Апрель'!orange_percent,'Апрель'!orange,'Апрель'!red)));""max"",1}))"),"")</f>
        <v/>
      </c>
      <c r="AU58" s="921">
        <v>6177.419354838709</v>
      </c>
      <c r="AV58" s="822"/>
      <c r="AW58" s="921">
        <v>6177.419354838709</v>
      </c>
      <c r="AX58" s="822"/>
      <c r="AY58" s="921">
        <v>6177.419354838709</v>
      </c>
      <c r="AZ58" s="776"/>
      <c r="BA58" s="921">
        <v>6177.419354838709</v>
      </c>
      <c r="BB58" s="776"/>
      <c r="BC58" s="921">
        <v>6177.419354838709</v>
      </c>
      <c r="BD58" s="776"/>
      <c r="BE58" s="921">
        <v>6177.419354838709</v>
      </c>
      <c r="BF58" s="776"/>
      <c r="BG58" s="921">
        <v>6177.419354838709</v>
      </c>
      <c r="BH58" s="822"/>
      <c r="BI58" s="585">
        <v>38300.0</v>
      </c>
      <c r="BJ58" s="580">
        <v>60000.0</v>
      </c>
      <c r="BK58" s="922">
        <f t="shared" si="166"/>
        <v>1.566579634</v>
      </c>
      <c r="BL58" s="923" t="str">
        <f>IFERROR(__xludf.DUMMYFUNCTION("IFERROR(SPARKLINE(BK58,{""charttype"",""bar"";""color1"",IF(BK58&gt;='Апрель'!green_percent,'Апрель'!green,IF(BK58&gt;='Апрель'!yellow_percent,'Апрель'!yellow,IF(BK58&gt;='Апрель'!orange_percent,'Апрель'!orange,'Апрель'!red)));""max"",1}))"),"")</f>
        <v/>
      </c>
      <c r="BM58" s="921">
        <v>6177.419354838709</v>
      </c>
      <c r="BN58" s="710"/>
      <c r="BO58" s="921">
        <v>6177.419354838709</v>
      </c>
      <c r="BP58" s="465"/>
      <c r="BQ58" s="921">
        <v>6177.419354838709</v>
      </c>
      <c r="BR58" s="716"/>
      <c r="BS58" s="921">
        <v>6177.419354838709</v>
      </c>
      <c r="BT58" s="716"/>
      <c r="BU58" s="921">
        <v>6177.419354838709</v>
      </c>
      <c r="BV58" s="716"/>
      <c r="BW58" s="921">
        <v>6177.419354838709</v>
      </c>
      <c r="BX58" s="716"/>
      <c r="BY58" s="921">
        <v>6177.419354838709</v>
      </c>
      <c r="BZ58" s="716"/>
      <c r="CA58" s="585">
        <v>38300.0</v>
      </c>
      <c r="CB58" s="244">
        <v>60000.0</v>
      </c>
      <c r="CC58" s="922">
        <f t="shared" si="167"/>
        <v>1.566579634</v>
      </c>
      <c r="CD58" s="923" t="str">
        <f>IFERROR(__xludf.DUMMYFUNCTION("IFERROR(SPARKLINE(CC58,{""charttype"",""bar"";""color1"",IF(CC58&gt;='Апрель'!green_percent,'Апрель'!green,IF(CC58&gt;='Апрель'!yellow_percent,'Апрель'!yellow,IF(CC58&gt;='Апрель'!orange_percent,'Апрель'!orange,'Апрель'!red)));""max"",1}))"),"")</f>
        <v/>
      </c>
      <c r="CE58" s="921">
        <v>6177.419354838709</v>
      </c>
      <c r="CF58" s="710"/>
      <c r="CG58" s="921">
        <v>6177.419354838709</v>
      </c>
      <c r="CH58" s="710"/>
      <c r="CI58" s="921">
        <v>6177.419354838709</v>
      </c>
      <c r="CJ58" s="710"/>
      <c r="CK58" s="921">
        <v>6177.419354838709</v>
      </c>
      <c r="CL58" s="710"/>
      <c r="CM58" s="256"/>
      <c r="CN58" s="710"/>
      <c r="CO58" s="924"/>
      <c r="CP58" s="244"/>
      <c r="CQ58" s="925"/>
      <c r="CR58" s="708"/>
      <c r="CS58" s="585">
        <v>0.0</v>
      </c>
      <c r="CT58" s="244">
        <v>0.0</v>
      </c>
      <c r="CU58" s="922" t="str">
        <f t="shared" si="168"/>
        <v/>
      </c>
      <c r="CV58" s="923" t="str">
        <f>IFERROR(__xludf.DUMMYFUNCTION("IFERROR(SPARKLINE(CU58,{""charttype"",""bar"";""color1"",IF(CU58&gt;='Апрель'!green_percent,'Апрель'!green,IF(CU58&gt;='Апрель'!yellow_percent,'Апрель'!yellow,IF(CU58&gt;='Апрель'!orange_percent,'Апрель'!orange,'Апрель'!red)));""max"",1}))"),"")</f>
        <v/>
      </c>
      <c r="CW58" s="842"/>
      <c r="CX58" s="875"/>
      <c r="CY58" s="842"/>
      <c r="CZ58" s="875"/>
      <c r="DA58" s="875"/>
      <c r="DB58" s="875"/>
      <c r="DC58" s="875"/>
      <c r="DD58" s="875"/>
      <c r="DE58" s="875"/>
      <c r="DF58" s="875"/>
      <c r="DG58" s="875"/>
      <c r="DH58" s="875"/>
      <c r="DI58" s="875"/>
      <c r="DJ58" s="875"/>
      <c r="DK58" s="326"/>
      <c r="DL58" s="876"/>
      <c r="DM58" s="327"/>
      <c r="DN58" s="329"/>
      <c r="DO58" s="875"/>
      <c r="DP58" s="926"/>
    </row>
    <row r="59" ht="21.0" customHeight="1">
      <c r="A59" s="927"/>
      <c r="B59" s="928" t="s">
        <v>50</v>
      </c>
      <c r="C59" s="217"/>
      <c r="D59" s="217"/>
      <c r="E59" s="218"/>
      <c r="F59" s="448">
        <v>2000.0</v>
      </c>
      <c r="G59" s="448">
        <f t="shared" si="169"/>
        <v>3734</v>
      </c>
      <c r="H59" s="543">
        <f t="shared" si="170"/>
        <v>1.867</v>
      </c>
      <c r="I59" s="462" t="str">
        <f>IFERROR(__xludf.DUMMYFUNCTION("IFERROR(SPARKLINE(H59,{""charttype"",""bar"";""color1"",IF(H59&gt;='Апрель'!green_percent,'Апрель'!green,IF(H59&gt;='Апрель'!yellow_percent,'Апрель'!yellow,IF(H59&gt;='Апрель'!orange_percent,'Апрель'!orange,'Апрель'!red)));""max"",1}))"),"")</f>
        <v/>
      </c>
      <c r="K59" s="929"/>
      <c r="L59" s="930"/>
      <c r="M59" s="929"/>
      <c r="N59" s="773"/>
      <c r="O59" s="929">
        <f t="shared" si="171"/>
        <v>64.51612903</v>
      </c>
      <c r="P59" s="931"/>
      <c r="Q59" s="932">
        <f t="shared" si="172"/>
        <v>64.51612903</v>
      </c>
      <c r="R59" s="776"/>
      <c r="S59" s="932">
        <v>64.51612903225806</v>
      </c>
      <c r="T59" s="776"/>
      <c r="U59" s="932">
        <v>64.51612903225806</v>
      </c>
      <c r="V59" s="776"/>
      <c r="W59" s="729">
        <v>64.51612903225806</v>
      </c>
      <c r="X59" s="463"/>
      <c r="Y59" s="349">
        <f>O59+Q59+S59+U59+W59</f>
        <v>322.5806452</v>
      </c>
      <c r="Z59" s="448">
        <v>590.0</v>
      </c>
      <c r="AA59" s="220">
        <f t="shared" si="173"/>
        <v>1.829</v>
      </c>
      <c r="AB59" s="449" t="str">
        <f>IFERROR(__xludf.DUMMYFUNCTION("IFERROR(SPARKLINE(AA59,{""charttype"",""bar"";""color1"",IF(AA59&gt;='Апрель'!green_percent,'Апрель'!green,IF(AA59&gt;='Апрель'!yellow_percent,'Апрель'!yellow,IF(AA59&gt;='Апрель'!orange_percent,'Апрель'!orange,'Апрель'!red)));""max"",1}))"),"")</f>
        <v/>
      </c>
      <c r="AC59" s="256">
        <v>64.51612903225806</v>
      </c>
      <c r="AD59" s="824"/>
      <c r="AE59" s="256">
        <v>64.51612903225806</v>
      </c>
      <c r="AF59" s="824"/>
      <c r="AG59" s="256">
        <v>64.51612903225806</v>
      </c>
      <c r="AH59" s="824"/>
      <c r="AI59" s="256">
        <v>64.51612903225806</v>
      </c>
      <c r="AJ59" s="824"/>
      <c r="AK59" s="256">
        <v>64.51612903225806</v>
      </c>
      <c r="AL59" s="824"/>
      <c r="AM59" s="256">
        <v>64.51612903225806</v>
      </c>
      <c r="AN59" s="825"/>
      <c r="AO59" s="256">
        <v>64.51612903225806</v>
      </c>
      <c r="AP59" s="459"/>
      <c r="AQ59" s="349">
        <v>322.5806451612903</v>
      </c>
      <c r="AR59" s="448">
        <v>706.0</v>
      </c>
      <c r="AS59" s="279">
        <f t="shared" si="174"/>
        <v>2.1886</v>
      </c>
      <c r="AT59" s="462" t="str">
        <f>IFERROR(__xludf.DUMMYFUNCTION("IFERROR(SPARKLINE(AS59,{""charttype"",""bar"";""color1"",IF(AS59&gt;='Апрель'!green_percent,'Апрель'!green,IF(AS59&gt;='Апрель'!yellow_percent,'Апрель'!yellow,IF(AS59&gt;='Апрель'!orange_percent,'Апрель'!orange,'Апрель'!red)));""max"",1}))"),"")</f>
        <v/>
      </c>
      <c r="AU59" s="256">
        <v>64.51612903225806</v>
      </c>
      <c r="AV59" s="463"/>
      <c r="AW59" s="256">
        <v>64.51612903225806</v>
      </c>
      <c r="AX59" s="463"/>
      <c r="AY59" s="256">
        <v>64.51612903225806</v>
      </c>
      <c r="AZ59" s="776"/>
      <c r="BA59" s="256">
        <v>64.51612903225806</v>
      </c>
      <c r="BB59" s="776"/>
      <c r="BC59" s="256">
        <v>64.51612903225806</v>
      </c>
      <c r="BD59" s="776"/>
      <c r="BE59" s="256">
        <v>64.51612903225806</v>
      </c>
      <c r="BF59" s="776"/>
      <c r="BG59" s="256">
        <v>64.51612903225806</v>
      </c>
      <c r="BH59" s="463"/>
      <c r="BI59" s="349">
        <v>322.5806451612903</v>
      </c>
      <c r="BJ59" s="448">
        <v>594.0</v>
      </c>
      <c r="BK59" s="279">
        <f t="shared" si="166"/>
        <v>1.8414</v>
      </c>
      <c r="BL59" s="462" t="str">
        <f>IFERROR(__xludf.DUMMYFUNCTION("IFERROR(SPARKLINE(BK59,{""charttype"",""bar"";""color1"",IF(BK59&gt;='Апрель'!green_percent,'Апрель'!green,IF(BK59&gt;='Апрель'!yellow_percent,'Апрель'!yellow,IF(BK59&gt;='Апрель'!orange_percent,'Апрель'!orange,'Апрель'!red)));""max"",1}))"),"")</f>
        <v/>
      </c>
      <c r="BM59" s="256">
        <v>64.51612903225806</v>
      </c>
      <c r="BN59" s="466"/>
      <c r="BO59" s="256">
        <v>64.51612903225806</v>
      </c>
      <c r="BP59" s="465"/>
      <c r="BQ59" s="256">
        <v>64.51612903225806</v>
      </c>
      <c r="BR59" s="465"/>
      <c r="BS59" s="256">
        <v>64.51612903225806</v>
      </c>
      <c r="BT59" s="465"/>
      <c r="BU59" s="256">
        <v>64.51612903225806</v>
      </c>
      <c r="BV59" s="465"/>
      <c r="BW59" s="256">
        <v>64.51612903225806</v>
      </c>
      <c r="BX59" s="465"/>
      <c r="BY59" s="256">
        <v>64.51612903225806</v>
      </c>
      <c r="BZ59" s="465"/>
      <c r="CA59" s="349">
        <v>322.5806451612903</v>
      </c>
      <c r="CB59" s="448">
        <v>1600.0</v>
      </c>
      <c r="CC59" s="279">
        <f t="shared" si="167"/>
        <v>4.96</v>
      </c>
      <c r="CD59" s="462" t="str">
        <f>IFERROR(__xludf.DUMMYFUNCTION("IFERROR(SPARKLINE(CC59,{""charttype"",""bar"";""color1"",IF(CC59&gt;='Апрель'!green_percent,'Апрель'!green,IF(CC59&gt;='Апрель'!yellow_percent,'Апрель'!yellow,IF(CC59&gt;='Апрель'!orange_percent,'Апрель'!orange,'Апрель'!red)));""max"",1}))"),"")</f>
        <v/>
      </c>
      <c r="CE59" s="256">
        <v>64.51612903225806</v>
      </c>
      <c r="CF59" s="466"/>
      <c r="CG59" s="256">
        <v>64.51612903225806</v>
      </c>
      <c r="CH59" s="466"/>
      <c r="CI59" s="256">
        <v>64.51612903225806</v>
      </c>
      <c r="CJ59" s="466"/>
      <c r="CK59" s="256">
        <v>64.51612903225806</v>
      </c>
      <c r="CL59" s="466"/>
      <c r="CM59" s="256"/>
      <c r="CN59" s="466"/>
      <c r="CO59" s="924"/>
      <c r="CP59" s="448"/>
      <c r="CQ59" s="925"/>
      <c r="CR59" s="726"/>
      <c r="CS59" s="349">
        <v>322.5806451612903</v>
      </c>
      <c r="CT59" s="448">
        <v>244.0</v>
      </c>
      <c r="CU59" s="279">
        <f t="shared" si="168"/>
        <v>0.7564</v>
      </c>
      <c r="CV59" s="462" t="str">
        <f>IFERROR(__xludf.DUMMYFUNCTION("IFERROR(SPARKLINE(CU59,{""charttype"",""bar"";""color1"",IF(CU59&gt;='Апрель'!green_percent,'Апрель'!green,IF(CU59&gt;='Апрель'!yellow_percent,'Апрель'!yellow,IF(CU59&gt;='Апрель'!orange_percent,'Апрель'!orange,'Апрель'!red)));""max"",1}))"),"")</f>
        <v/>
      </c>
      <c r="CW59" s="842"/>
      <c r="CX59" s="843"/>
      <c r="CY59" s="842"/>
      <c r="CZ59" s="843"/>
      <c r="DA59" s="843"/>
      <c r="DB59" s="843"/>
      <c r="DC59" s="843"/>
      <c r="DD59" s="843"/>
      <c r="DE59" s="843"/>
      <c r="DF59" s="843"/>
      <c r="DG59" s="843"/>
      <c r="DH59" s="843"/>
      <c r="DI59" s="843"/>
      <c r="DJ59" s="843"/>
      <c r="DK59" s="289"/>
      <c r="DL59" s="844"/>
      <c r="DM59" s="310"/>
      <c r="DN59" s="339"/>
      <c r="DO59" s="843"/>
      <c r="DP59" s="933"/>
    </row>
    <row r="60" ht="21.0" customHeight="1">
      <c r="A60" s="912"/>
      <c r="B60" s="913" t="s">
        <v>51</v>
      </c>
      <c r="C60" s="242"/>
      <c r="D60" s="242"/>
      <c r="E60" s="243"/>
      <c r="F60" s="244">
        <v>40.0</v>
      </c>
      <c r="G60" s="244">
        <f t="shared" si="169"/>
        <v>89</v>
      </c>
      <c r="H60" s="704">
        <f t="shared" si="170"/>
        <v>2.225</v>
      </c>
      <c r="I60" s="427" t="str">
        <f>IFERROR(__xludf.DUMMYFUNCTION("IFERROR(SPARKLINE(H60,{""charttype"",""bar"";""color1"",IF(H60&gt;='Апрель'!green_percent,'Апрель'!green,IF(H60&gt;='Апрель'!yellow_percent,'Апрель'!yellow,IF(H60&gt;='Апрель'!orange_percent,'Апрель'!orange,'Апрель'!red)));""max"",1}))"),"")</f>
        <v/>
      </c>
      <c r="K60" s="929"/>
      <c r="L60" s="930"/>
      <c r="M60" s="929"/>
      <c r="N60" s="773"/>
      <c r="O60" s="929">
        <f t="shared" si="171"/>
        <v>1.290322581</v>
      </c>
      <c r="P60" s="931"/>
      <c r="Q60" s="929">
        <f t="shared" si="172"/>
        <v>1.290322581</v>
      </c>
      <c r="R60" s="776"/>
      <c r="S60" s="929">
        <v>1.2903225806451613</v>
      </c>
      <c r="T60" s="776"/>
      <c r="U60" s="929">
        <v>1.2903225806451613</v>
      </c>
      <c r="V60" s="776"/>
      <c r="W60" s="256">
        <v>1.2903225806451613</v>
      </c>
      <c r="X60" s="822"/>
      <c r="Y60" s="255">
        <f>K60+M60+O60+Q60+S60+U60+W60</f>
        <v>6.451612903</v>
      </c>
      <c r="Z60" s="244">
        <v>7.0</v>
      </c>
      <c r="AA60" s="412">
        <f t="shared" si="173"/>
        <v>1.085</v>
      </c>
      <c r="AB60" s="413" t="str">
        <f>IFERROR(__xludf.DUMMYFUNCTION("IFERROR(SPARKLINE(AA60,{""charttype"",""bar"";""color1"",IF(AA60&gt;='Апрель'!green_percent,'Апрель'!green,IF(AA60&gt;='Апрель'!yellow_percent,'Апрель'!yellow,IF(AA60&gt;='Апрель'!orange_percent,'Апрель'!orange,'Апрель'!red)));""max"",1}))"),"")</f>
        <v/>
      </c>
      <c r="AC60" s="711">
        <v>1.2903225806451613</v>
      </c>
      <c r="AD60" s="824"/>
      <c r="AE60" s="711">
        <v>1.2903225806451613</v>
      </c>
      <c r="AF60" s="824"/>
      <c r="AG60" s="711">
        <v>1.2903225806451613</v>
      </c>
      <c r="AH60" s="824"/>
      <c r="AI60" s="711">
        <v>1.2903225806451613</v>
      </c>
      <c r="AJ60" s="824"/>
      <c r="AK60" s="711">
        <v>1.2903225806451613</v>
      </c>
      <c r="AL60" s="824"/>
      <c r="AM60" s="711">
        <v>1.2903225806451613</v>
      </c>
      <c r="AN60" s="825"/>
      <c r="AO60" s="711">
        <v>1.2903225806451613</v>
      </c>
      <c r="AP60" s="459"/>
      <c r="AQ60" s="255">
        <v>6.451612903225806</v>
      </c>
      <c r="AR60" s="244">
        <v>22.0</v>
      </c>
      <c r="AS60" s="253">
        <f t="shared" si="174"/>
        <v>3.41</v>
      </c>
      <c r="AT60" s="427" t="str">
        <f>IFERROR(__xludf.DUMMYFUNCTION("IFERROR(SPARKLINE(AS60,{""charttype"",""bar"";""color1"",IF(AS60&gt;='Апрель'!green_percent,'Апрель'!green,IF(AS60&gt;='Апрель'!yellow_percent,'Апрель'!yellow,IF(AS60&gt;='Апрель'!orange_percent,'Апрель'!orange,'Апрель'!red)));""max"",1}))"),"")</f>
        <v/>
      </c>
      <c r="AU60" s="711">
        <v>1.2903225806451613</v>
      </c>
      <c r="AV60" s="822"/>
      <c r="AW60" s="711">
        <v>1.2903225806451613</v>
      </c>
      <c r="AX60" s="822"/>
      <c r="AY60" s="711">
        <v>1.2903225806451613</v>
      </c>
      <c r="AZ60" s="776"/>
      <c r="BA60" s="711">
        <v>1.2903225806451613</v>
      </c>
      <c r="BB60" s="776"/>
      <c r="BC60" s="711">
        <v>1.2903225806451613</v>
      </c>
      <c r="BD60" s="776"/>
      <c r="BE60" s="711">
        <v>1.2903225806451613</v>
      </c>
      <c r="BF60" s="776"/>
      <c r="BG60" s="711">
        <v>1.2903225806451613</v>
      </c>
      <c r="BH60" s="822"/>
      <c r="BI60" s="255">
        <v>6.451612903225806</v>
      </c>
      <c r="BJ60" s="244">
        <v>15.0</v>
      </c>
      <c r="BK60" s="253">
        <f t="shared" si="166"/>
        <v>2.325</v>
      </c>
      <c r="BL60" s="427" t="str">
        <f>IFERROR(__xludf.DUMMYFUNCTION("IFERROR(SPARKLINE(BK60,{""charttype"",""bar"";""color1"",IF(BK60&gt;='Апрель'!green_percent,'Апрель'!green,IF(BK60&gt;='Апрель'!yellow_percent,'Апрель'!yellow,IF(BK60&gt;='Апрель'!orange_percent,'Апрель'!orange,'Апрель'!red)));""max"",1}))"),"")</f>
        <v/>
      </c>
      <c r="BM60" s="711">
        <v>1.2903225806451613</v>
      </c>
      <c r="BN60" s="710"/>
      <c r="BO60" s="711">
        <v>1.2903225806451613</v>
      </c>
      <c r="BP60" s="465"/>
      <c r="BQ60" s="711">
        <v>1.2903225806451613</v>
      </c>
      <c r="BR60" s="716"/>
      <c r="BS60" s="711">
        <v>1.2903225806451613</v>
      </c>
      <c r="BT60" s="716"/>
      <c r="BU60" s="711">
        <v>1.2903225806451613</v>
      </c>
      <c r="BV60" s="716"/>
      <c r="BW60" s="711">
        <v>1.2903225806451613</v>
      </c>
      <c r="BX60" s="716"/>
      <c r="BY60" s="711">
        <v>1.2903225806451613</v>
      </c>
      <c r="BZ60" s="716"/>
      <c r="CA60" s="255">
        <v>6.451612903225806</v>
      </c>
      <c r="CB60" s="244">
        <v>29.0</v>
      </c>
      <c r="CC60" s="253">
        <f t="shared" si="167"/>
        <v>4.495</v>
      </c>
      <c r="CD60" s="427" t="str">
        <f>IFERROR(__xludf.DUMMYFUNCTION("IFERROR(SPARKLINE(CC60,{""charttype"",""bar"";""color1"",IF(CC60&gt;='Апрель'!green_percent,'Апрель'!green,IF(CC60&gt;='Апрель'!yellow_percent,'Апрель'!yellow,IF(CC60&gt;='Апрель'!orange_percent,'Апрель'!orange,'Апрель'!red)));""max"",1}))"),"")</f>
        <v/>
      </c>
      <c r="CE60" s="711">
        <v>1.2903225806451613</v>
      </c>
      <c r="CF60" s="710"/>
      <c r="CG60" s="711">
        <v>1.2903225806451613</v>
      </c>
      <c r="CH60" s="710"/>
      <c r="CI60" s="711">
        <v>1.2903225806451613</v>
      </c>
      <c r="CJ60" s="710"/>
      <c r="CK60" s="711">
        <v>1.2903225806451613</v>
      </c>
      <c r="CL60" s="710"/>
      <c r="CM60" s="256"/>
      <c r="CN60" s="710"/>
      <c r="CO60" s="924"/>
      <c r="CP60" s="244"/>
      <c r="CQ60" s="925"/>
      <c r="CR60" s="708"/>
      <c r="CS60" s="255">
        <v>6.451612903225806</v>
      </c>
      <c r="CT60" s="244">
        <v>16.0</v>
      </c>
      <c r="CU60" s="253">
        <f t="shared" si="168"/>
        <v>2.48</v>
      </c>
      <c r="CV60" s="427" t="str">
        <f>IFERROR(__xludf.DUMMYFUNCTION("IFERROR(SPARKLINE(CU60,{""charttype"",""bar"";""color1"",IF(CU60&gt;='Апрель'!green_percent,'Апрель'!green,IF(CU60&gt;='Апрель'!yellow_percent,'Апрель'!yellow,IF(CU60&gt;='Апрель'!orange_percent,'Апрель'!orange,'Апрель'!red)));""max"",1}))"),"")</f>
        <v/>
      </c>
      <c r="CW60" s="842"/>
      <c r="CX60" s="875"/>
      <c r="CY60" s="842"/>
      <c r="CZ60" s="875"/>
      <c r="DA60" s="875"/>
      <c r="DB60" s="875"/>
      <c r="DC60" s="875"/>
      <c r="DD60" s="875"/>
      <c r="DE60" s="875"/>
      <c r="DF60" s="875"/>
      <c r="DG60" s="875"/>
      <c r="DH60" s="875"/>
      <c r="DI60" s="875"/>
      <c r="DJ60" s="875"/>
      <c r="DK60" s="326"/>
      <c r="DL60" s="876"/>
      <c r="DM60" s="327"/>
      <c r="DN60" s="329"/>
      <c r="DO60" s="875"/>
      <c r="DP60" s="926"/>
    </row>
    <row r="61">
      <c r="A61" s="927"/>
      <c r="B61" s="934" t="s">
        <v>52</v>
      </c>
      <c r="C61" s="217"/>
      <c r="D61" s="217"/>
      <c r="E61" s="218"/>
      <c r="F61" s="448">
        <v>800000.0</v>
      </c>
      <c r="G61" s="448">
        <f t="shared" si="169"/>
        <v>235979</v>
      </c>
      <c r="H61" s="543">
        <f t="shared" si="170"/>
        <v>0.29497375</v>
      </c>
      <c r="I61" s="462" t="str">
        <f>IFERROR(__xludf.DUMMYFUNCTION("IFERROR(SPARKLINE(H61,{""charttype"",""bar"";""color1"",IF(H61&gt;='Апрель'!green_percent,'Апрель'!green,IF(H61&gt;='Апрель'!yellow_percent,'Апрель'!yellow,IF(H61&gt;='Апрель'!orange_percent,'Апрель'!orange,'Апрель'!red)));""max"",1}))"),"")</f>
        <v/>
      </c>
      <c r="K61" s="929"/>
      <c r="L61" s="930"/>
      <c r="M61" s="929"/>
      <c r="N61" s="773"/>
      <c r="O61" s="929">
        <f t="shared" si="171"/>
        <v>25806.45161</v>
      </c>
      <c r="P61" s="931"/>
      <c r="Q61" s="929">
        <f t="shared" si="172"/>
        <v>25806.45161</v>
      </c>
      <c r="R61" s="918"/>
      <c r="S61" s="929">
        <v>25806.451612903227</v>
      </c>
      <c r="T61" s="776"/>
      <c r="U61" s="929">
        <v>25806.451612903227</v>
      </c>
      <c r="V61" s="776"/>
      <c r="W61" s="256">
        <v>25806.451612903227</v>
      </c>
      <c r="X61" s="463"/>
      <c r="Y61" s="349">
        <f t="shared" ref="Y61:Y62" si="175">O61+Q61+S61+U61+W61</f>
        <v>129032.2581</v>
      </c>
      <c r="Z61" s="448">
        <v>11424.0</v>
      </c>
      <c r="AA61" s="220">
        <f t="shared" si="173"/>
        <v>0.088536</v>
      </c>
      <c r="AB61" s="449" t="str">
        <f>IFERROR(__xludf.DUMMYFUNCTION("IFERROR(SPARKLINE(AA61,{""charttype"",""bar"";""color1"",IF(AA61&gt;='Апрель'!green_percent,'Апрель'!green,IF(AA61&gt;='Апрель'!yellow_percent,'Апрель'!yellow,IF(AA61&gt;='Апрель'!orange_percent,'Апрель'!orange,'Апрель'!red)));""max"",1}))"),"")</f>
        <v/>
      </c>
      <c r="AC61" s="256">
        <v>25806.451612903227</v>
      </c>
      <c r="AD61" s="824"/>
      <c r="AE61" s="256">
        <v>25806.451612903227</v>
      </c>
      <c r="AF61" s="824"/>
      <c r="AG61" s="256">
        <v>25806.451612903227</v>
      </c>
      <c r="AH61" s="824"/>
      <c r="AI61" s="256">
        <v>25806.451612903227</v>
      </c>
      <c r="AJ61" s="824"/>
      <c r="AK61" s="256">
        <v>25806.451612903227</v>
      </c>
      <c r="AL61" s="824"/>
      <c r="AM61" s="256">
        <v>25806.451612903227</v>
      </c>
      <c r="AN61" s="825"/>
      <c r="AO61" s="256">
        <v>25806.451612903227</v>
      </c>
      <c r="AP61" s="459"/>
      <c r="AQ61" s="349">
        <v>129032.25806451614</v>
      </c>
      <c r="AR61" s="448">
        <v>141352.0</v>
      </c>
      <c r="AS61" s="279">
        <f t="shared" si="174"/>
        <v>1.095478</v>
      </c>
      <c r="AT61" s="462" t="str">
        <f>IFERROR(__xludf.DUMMYFUNCTION("IFERROR(SPARKLINE(AS61,{""charttype"",""bar"";""color1"",IF(AS61&gt;='Апрель'!green_percent,'Апрель'!green,IF(AS61&gt;='Апрель'!yellow_percent,'Апрель'!yellow,IF(AS61&gt;='Апрель'!orange_percent,'Апрель'!orange,'Апрель'!red)));""max"",1}))"),"")</f>
        <v/>
      </c>
      <c r="AU61" s="256">
        <v>25806.451612903227</v>
      </c>
      <c r="AV61" s="463"/>
      <c r="AW61" s="256">
        <v>25806.451612903227</v>
      </c>
      <c r="AX61" s="463"/>
      <c r="AY61" s="256">
        <v>25806.451612903227</v>
      </c>
      <c r="AZ61" s="776"/>
      <c r="BA61" s="256">
        <v>25806.451612903227</v>
      </c>
      <c r="BB61" s="776"/>
      <c r="BC61" s="256">
        <v>25806.451612903227</v>
      </c>
      <c r="BD61" s="776"/>
      <c r="BE61" s="256">
        <v>25806.451612903227</v>
      </c>
      <c r="BF61" s="776"/>
      <c r="BG61" s="256">
        <v>25806.451612903227</v>
      </c>
      <c r="BH61" s="463"/>
      <c r="BI61" s="349">
        <v>129032.25806451614</v>
      </c>
      <c r="BJ61" s="448">
        <v>39169.0</v>
      </c>
      <c r="BK61" s="279">
        <f t="shared" si="166"/>
        <v>0.30355975</v>
      </c>
      <c r="BL61" s="462" t="str">
        <f>IFERROR(__xludf.DUMMYFUNCTION("IFERROR(SPARKLINE(BK61,{""charttype"",""bar"";""color1"",IF(BK61&gt;='Апрель'!green_percent,'Апрель'!green,IF(BK61&gt;='Апрель'!yellow_percent,'Апрель'!yellow,IF(BK61&gt;='Апрель'!orange_percent,'Апрель'!orange,'Апрель'!red)));""max"",1}))"),"")</f>
        <v/>
      </c>
      <c r="BM61" s="256">
        <v>25806.451612903227</v>
      </c>
      <c r="BN61" s="466"/>
      <c r="BO61" s="256">
        <v>25806.451612903227</v>
      </c>
      <c r="BP61" s="465"/>
      <c r="BQ61" s="256">
        <v>25806.451612903227</v>
      </c>
      <c r="BR61" s="465"/>
      <c r="BS61" s="256">
        <v>25806.451612903227</v>
      </c>
      <c r="BT61" s="465"/>
      <c r="BU61" s="256">
        <v>25806.451612903227</v>
      </c>
      <c r="BV61" s="465"/>
      <c r="BW61" s="256">
        <v>25806.451612903227</v>
      </c>
      <c r="BX61" s="465"/>
      <c r="BY61" s="256">
        <v>25806.451612903227</v>
      </c>
      <c r="BZ61" s="465"/>
      <c r="CA61" s="349">
        <v>129032.25806451614</v>
      </c>
      <c r="CB61" s="448">
        <v>44034.0</v>
      </c>
      <c r="CC61" s="279">
        <f t="shared" si="167"/>
        <v>0.3412635</v>
      </c>
      <c r="CD61" s="462" t="str">
        <f>IFERROR(__xludf.DUMMYFUNCTION("IFERROR(SPARKLINE(CC61,{""charttype"",""bar"";""color1"",IF(CC61&gt;='Апрель'!green_percent,'Апрель'!green,IF(CC61&gt;='Апрель'!yellow_percent,'Апрель'!yellow,IF(CC61&gt;='Апрель'!orange_percent,'Апрель'!orange,'Апрель'!red)));""max"",1}))"),"")</f>
        <v/>
      </c>
      <c r="CE61" s="256">
        <v>25806.451612903227</v>
      </c>
      <c r="CF61" s="466"/>
      <c r="CG61" s="256">
        <v>25806.451612903227</v>
      </c>
      <c r="CH61" s="466"/>
      <c r="CI61" s="256">
        <v>25806.451612903227</v>
      </c>
      <c r="CJ61" s="466"/>
      <c r="CK61" s="256">
        <v>25806.451612903227</v>
      </c>
      <c r="CL61" s="466"/>
      <c r="CM61" s="256"/>
      <c r="CN61" s="466"/>
      <c r="CO61" s="924"/>
      <c r="CP61" s="448"/>
      <c r="CQ61" s="925"/>
      <c r="CR61" s="726"/>
      <c r="CS61" s="349">
        <v>129032.25806451614</v>
      </c>
      <c r="CT61" s="448">
        <v>0.0</v>
      </c>
      <c r="CU61" s="279">
        <f t="shared" si="168"/>
        <v>0</v>
      </c>
      <c r="CV61" s="462" t="str">
        <f>IFERROR(__xludf.DUMMYFUNCTION("IFERROR(SPARKLINE(CU61,{""charttype"",""bar"";""color1"",IF(CU61&gt;='Апрель'!green_percent,'Апрель'!green,IF(CU61&gt;='Апрель'!yellow_percent,'Апрель'!yellow,IF(CU61&gt;='Апрель'!orange_percent,'Апрель'!orange,'Апрель'!red)));""max"",1}))"),"")</f>
        <v/>
      </c>
      <c r="CW61" s="842"/>
      <c r="CX61" s="843"/>
      <c r="CY61" s="842"/>
      <c r="CZ61" s="843"/>
      <c r="DA61" s="843"/>
      <c r="DB61" s="843"/>
      <c r="DC61" s="843"/>
      <c r="DD61" s="843"/>
      <c r="DE61" s="843"/>
      <c r="DF61" s="843"/>
      <c r="DG61" s="843"/>
      <c r="DH61" s="843"/>
      <c r="DI61" s="843"/>
      <c r="DJ61" s="843"/>
      <c r="DK61" s="289"/>
      <c r="DL61" s="844"/>
      <c r="DM61" s="310"/>
      <c r="DN61" s="339"/>
      <c r="DO61" s="843"/>
      <c r="DP61" s="933"/>
    </row>
    <row r="62">
      <c r="A62" s="912"/>
      <c r="B62" s="913" t="s">
        <v>53</v>
      </c>
      <c r="C62" s="242"/>
      <c r="D62" s="242"/>
      <c r="E62" s="243"/>
      <c r="F62" s="244">
        <v>200.0</v>
      </c>
      <c r="G62" s="244">
        <f t="shared" si="169"/>
        <v>91</v>
      </c>
      <c r="H62" s="704">
        <f t="shared" si="170"/>
        <v>0.455</v>
      </c>
      <c r="I62" s="427" t="str">
        <f>IFERROR(__xludf.DUMMYFUNCTION("IFERROR(SPARKLINE(H62,{""charttype"",""bar"";""color1"",IF(H62&gt;='Апрель'!green_percent,'Апрель'!green,IF(H62&gt;='Апрель'!yellow_percent,'Апрель'!yellow,IF(H62&gt;='Апрель'!orange_percent,'Апрель'!orange,'Апрель'!red)));""max"",1}))"),"")</f>
        <v/>
      </c>
      <c r="K62" s="929"/>
      <c r="L62" s="930"/>
      <c r="M62" s="929"/>
      <c r="N62" s="773"/>
      <c r="O62" s="929">
        <f t="shared" si="171"/>
        <v>6.451612903</v>
      </c>
      <c r="P62" s="931"/>
      <c r="Q62" s="929">
        <f t="shared" si="172"/>
        <v>6.451612903</v>
      </c>
      <c r="R62" s="776"/>
      <c r="S62" s="929">
        <v>6.451612903225806</v>
      </c>
      <c r="T62" s="776"/>
      <c r="U62" s="929">
        <v>6.451612903225806</v>
      </c>
      <c r="V62" s="776"/>
      <c r="W62" s="256">
        <v>6.451612903225806</v>
      </c>
      <c r="X62" s="822"/>
      <c r="Y62" s="255">
        <f t="shared" si="175"/>
        <v>32.25806452</v>
      </c>
      <c r="Z62" s="244">
        <v>8.0</v>
      </c>
      <c r="AA62" s="412">
        <f t="shared" si="173"/>
        <v>0.248</v>
      </c>
      <c r="AB62" s="413" t="str">
        <f>IFERROR(__xludf.DUMMYFUNCTION("IFERROR(SPARKLINE(AA62,{""charttype"",""bar"";""color1"",IF(AA62&gt;='Апрель'!green_percent,'Апрель'!green,IF(AA62&gt;='Апрель'!yellow_percent,'Апрель'!yellow,IF(AA62&gt;='Апрель'!orange_percent,'Апрель'!orange,'Апрель'!red)));""max"",1}))"),"")</f>
        <v/>
      </c>
      <c r="AC62" s="711">
        <v>6.451612903225806</v>
      </c>
      <c r="AD62" s="824"/>
      <c r="AE62" s="711">
        <v>6.451612903225806</v>
      </c>
      <c r="AF62" s="824"/>
      <c r="AG62" s="711">
        <v>6.451612903225806</v>
      </c>
      <c r="AH62" s="824"/>
      <c r="AI62" s="711">
        <v>6.451612903225806</v>
      </c>
      <c r="AJ62" s="824"/>
      <c r="AK62" s="711">
        <v>6.451612903225806</v>
      </c>
      <c r="AL62" s="824"/>
      <c r="AM62" s="711">
        <v>6.451612903225806</v>
      </c>
      <c r="AN62" s="825"/>
      <c r="AO62" s="711">
        <v>6.451612903225806</v>
      </c>
      <c r="AP62" s="459"/>
      <c r="AQ62" s="255">
        <v>32.25806451612903</v>
      </c>
      <c r="AR62" s="244">
        <v>40.0</v>
      </c>
      <c r="AS62" s="253">
        <f t="shared" si="174"/>
        <v>1.24</v>
      </c>
      <c r="AT62" s="427" t="str">
        <f>IFERROR(__xludf.DUMMYFUNCTION("IFERROR(SPARKLINE(AS62,{""charttype"",""bar"";""color1"",IF(AS62&gt;='Апрель'!green_percent,'Апрель'!green,IF(AS62&gt;='Апрель'!yellow_percent,'Апрель'!yellow,IF(AS62&gt;='Апрель'!orange_percent,'Апрель'!orange,'Апрель'!red)));""max"",1}))"),"")</f>
        <v/>
      </c>
      <c r="AU62" s="711">
        <v>6.451612903225806</v>
      </c>
      <c r="AV62" s="822"/>
      <c r="AW62" s="711">
        <v>6.451612903225806</v>
      </c>
      <c r="AX62" s="822"/>
      <c r="AY62" s="711">
        <v>6.451612903225806</v>
      </c>
      <c r="AZ62" s="776"/>
      <c r="BA62" s="711">
        <v>6.451612903225806</v>
      </c>
      <c r="BB62" s="776"/>
      <c r="BC62" s="711">
        <v>6.451612903225806</v>
      </c>
      <c r="BD62" s="776"/>
      <c r="BE62" s="711">
        <v>6.451612903225806</v>
      </c>
      <c r="BF62" s="776"/>
      <c r="BG62" s="711">
        <v>6.451612903225806</v>
      </c>
      <c r="BH62" s="822"/>
      <c r="BI62" s="255">
        <v>32.25806451612903</v>
      </c>
      <c r="BJ62" s="244">
        <v>9.0</v>
      </c>
      <c r="BK62" s="253">
        <f t="shared" si="166"/>
        <v>0.279</v>
      </c>
      <c r="BL62" s="427" t="str">
        <f>IFERROR(__xludf.DUMMYFUNCTION("IFERROR(SPARKLINE(BK62,{""charttype"",""bar"";""color1"",IF(BK62&gt;='Апрель'!green_percent,'Апрель'!green,IF(BK62&gt;='Апрель'!yellow_percent,'Апрель'!yellow,IF(BK62&gt;='Апрель'!orange_percent,'Апрель'!orange,'Апрель'!red)));""max"",1}))"),"")</f>
        <v/>
      </c>
      <c r="BM62" s="711">
        <v>6.451612903225806</v>
      </c>
      <c r="BN62" s="710"/>
      <c r="BO62" s="711">
        <v>6.451612903225806</v>
      </c>
      <c r="BP62" s="465"/>
      <c r="BQ62" s="711">
        <v>6.451612903225806</v>
      </c>
      <c r="BR62" s="716"/>
      <c r="BS62" s="711">
        <v>6.451612903225806</v>
      </c>
      <c r="BT62" s="716"/>
      <c r="BU62" s="711">
        <v>6.451612903225806</v>
      </c>
      <c r="BV62" s="716"/>
      <c r="BW62" s="711">
        <v>6.451612903225806</v>
      </c>
      <c r="BX62" s="716"/>
      <c r="BY62" s="711">
        <v>6.451612903225806</v>
      </c>
      <c r="BZ62" s="716"/>
      <c r="CA62" s="255">
        <v>32.25806451612903</v>
      </c>
      <c r="CB62" s="244">
        <v>22.0</v>
      </c>
      <c r="CC62" s="253">
        <f t="shared" si="167"/>
        <v>0.682</v>
      </c>
      <c r="CD62" s="427" t="str">
        <f>IFERROR(__xludf.DUMMYFUNCTION("IFERROR(SPARKLINE(CC62,{""charttype"",""bar"";""color1"",IF(CC62&gt;='Апрель'!green_percent,'Апрель'!green,IF(CC62&gt;='Апрель'!yellow_percent,'Апрель'!yellow,IF(CC62&gt;='Апрель'!orange_percent,'Апрель'!orange,'Апрель'!red)));""max"",1}))"),"")</f>
        <v/>
      </c>
      <c r="CE62" s="711">
        <v>6.451612903225806</v>
      </c>
      <c r="CF62" s="710"/>
      <c r="CG62" s="711">
        <v>6.451612903225806</v>
      </c>
      <c r="CH62" s="710"/>
      <c r="CI62" s="711">
        <v>6.451612903225806</v>
      </c>
      <c r="CJ62" s="710"/>
      <c r="CK62" s="711">
        <v>6.451612903225806</v>
      </c>
      <c r="CL62" s="710"/>
      <c r="CM62" s="256"/>
      <c r="CN62" s="710"/>
      <c r="CO62" s="924"/>
      <c r="CP62" s="244"/>
      <c r="CQ62" s="925"/>
      <c r="CR62" s="708"/>
      <c r="CS62" s="255">
        <v>32.25806451612903</v>
      </c>
      <c r="CT62" s="244">
        <v>12.0</v>
      </c>
      <c r="CU62" s="253">
        <f t="shared" si="168"/>
        <v>0.372</v>
      </c>
      <c r="CV62" s="427" t="str">
        <f>IFERROR(__xludf.DUMMYFUNCTION("IFERROR(SPARKLINE(CU62,{""charttype"",""bar"";""color1"",IF(CU62&gt;='Апрель'!green_percent,'Апрель'!green,IF(CU62&gt;='Апрель'!yellow_percent,'Апрель'!yellow,IF(CU62&gt;='Апрель'!orange_percent,'Апрель'!orange,'Апрель'!red)));""max"",1}))"),"")</f>
        <v/>
      </c>
      <c r="CW62" s="842"/>
      <c r="CX62" s="875"/>
      <c r="CY62" s="842"/>
      <c r="CZ62" s="875"/>
      <c r="DA62" s="875"/>
      <c r="DB62" s="875"/>
      <c r="DC62" s="875"/>
      <c r="DD62" s="875"/>
      <c r="DE62" s="875"/>
      <c r="DF62" s="875"/>
      <c r="DG62" s="875"/>
      <c r="DH62" s="875"/>
      <c r="DI62" s="875"/>
      <c r="DJ62" s="875"/>
      <c r="DK62" s="326"/>
      <c r="DL62" s="876"/>
      <c r="DM62" s="327"/>
      <c r="DN62" s="329"/>
      <c r="DO62" s="875"/>
      <c r="DP62" s="926"/>
    </row>
    <row r="63">
      <c r="A63" s="927"/>
      <c r="B63" s="934" t="s">
        <v>54</v>
      </c>
      <c r="C63" s="217"/>
      <c r="D63" s="217"/>
      <c r="E63" s="218"/>
      <c r="F63" s="270">
        <f t="shared" ref="F63:G63" si="176">F58/F62</f>
        <v>957.5</v>
      </c>
      <c r="G63" s="270">
        <f t="shared" si="176"/>
        <v>2395.604396</v>
      </c>
      <c r="H63" s="543">
        <f t="shared" si="170"/>
        <v>2.501936706</v>
      </c>
      <c r="I63" s="462" t="str">
        <f>IFERROR(__xludf.DUMMYFUNCTION("IFERROR(SPARKLINE(H63,{""charttype"",""bar"";""color1"",IF(H63&gt;='Апрель'!green_percent,'Апрель'!green,IF(H63&gt;='Апрель'!yellow_percent,'Апрель'!yellow,IF(H63&gt;='Апрель'!orange_percent,'Апрель'!orange,'Апрель'!red)));""max"",1}))"),"")</f>
        <v/>
      </c>
      <c r="K63" s="914"/>
      <c r="L63" s="930"/>
      <c r="M63" s="914"/>
      <c r="N63" s="773"/>
      <c r="O63" s="284">
        <f>O58/O62</f>
        <v>957.5</v>
      </c>
      <c r="P63" s="931"/>
      <c r="Q63" s="935">
        <f>Q58/Q62</f>
        <v>957.5</v>
      </c>
      <c r="R63" s="776"/>
      <c r="S63" s="270">
        <f>S58/S62</f>
        <v>957.5</v>
      </c>
      <c r="T63" s="776"/>
      <c r="U63" s="270">
        <f>U58/U62</f>
        <v>957.5</v>
      </c>
      <c r="V63" s="776"/>
      <c r="W63" s="270">
        <f>W58/W62</f>
        <v>957.5</v>
      </c>
      <c r="X63" s="463"/>
      <c r="Y63" s="565">
        <f t="shared" ref="Y63:Z63" si="177">Y58/Y62</f>
        <v>1187.3</v>
      </c>
      <c r="Z63" s="563">
        <f t="shared" si="177"/>
        <v>0</v>
      </c>
      <c r="AA63" s="220">
        <f t="shared" si="173"/>
        <v>0</v>
      </c>
      <c r="AB63" s="449" t="str">
        <f>IFERROR(__xludf.DUMMYFUNCTION("IFERROR(SPARKLINE(AA63,{""charttype"",""bar"";""color1"",IF(AA63&gt;='Апрель'!green_percent,'Апрель'!green,IF(AA63&gt;='Апрель'!yellow_percent,'Апрель'!yellow,IF(AA63&gt;='Апрель'!orange_percent,'Апрель'!orange,'Апрель'!red)));""max"",1}))"),"")</f>
        <v/>
      </c>
      <c r="AC63" s="936">
        <v>957.5</v>
      </c>
      <c r="AD63" s="824"/>
      <c r="AE63" s="936">
        <v>957.5</v>
      </c>
      <c r="AF63" s="824"/>
      <c r="AG63" s="936">
        <v>957.5</v>
      </c>
      <c r="AH63" s="824"/>
      <c r="AI63" s="936">
        <v>957.5</v>
      </c>
      <c r="AJ63" s="824"/>
      <c r="AK63" s="936">
        <v>957.5</v>
      </c>
      <c r="AL63" s="824"/>
      <c r="AM63" s="936">
        <v>957.5</v>
      </c>
      <c r="AN63" s="825"/>
      <c r="AO63" s="936">
        <v>957.5</v>
      </c>
      <c r="AP63" s="459"/>
      <c r="AQ63" s="565">
        <v>957.4999999999999</v>
      </c>
      <c r="AR63" s="563">
        <f>AR58/AR62</f>
        <v>2450</v>
      </c>
      <c r="AS63" s="279">
        <f t="shared" si="174"/>
        <v>2.558746736</v>
      </c>
      <c r="AT63" s="462" t="str">
        <f>IFERROR(__xludf.DUMMYFUNCTION("IFERROR(SPARKLINE(AS63,{""charttype"",""bar"";""color1"",IF(AS63&gt;='Апрель'!green_percent,'Апрель'!green,IF(AS63&gt;='Апрель'!yellow_percent,'Апрель'!yellow,IF(AS63&gt;='Апрель'!orange_percent,'Апрель'!orange,'Апрель'!red)));""max"",1}))"),"")</f>
        <v/>
      </c>
      <c r="AU63" s="936">
        <v>957.5</v>
      </c>
      <c r="AV63" s="463"/>
      <c r="AW63" s="936">
        <v>957.5</v>
      </c>
      <c r="AX63" s="463"/>
      <c r="AY63" s="936">
        <v>957.5</v>
      </c>
      <c r="AZ63" s="776"/>
      <c r="BA63" s="936">
        <v>957.5</v>
      </c>
      <c r="BB63" s="776"/>
      <c r="BC63" s="936">
        <v>957.5</v>
      </c>
      <c r="BD63" s="776"/>
      <c r="BE63" s="936">
        <v>957.5</v>
      </c>
      <c r="BF63" s="776"/>
      <c r="BG63" s="936">
        <v>957.5</v>
      </c>
      <c r="BH63" s="463"/>
      <c r="BI63" s="565">
        <v>957.4999999999999</v>
      </c>
      <c r="BJ63" s="563">
        <f>BJ58/BJ62</f>
        <v>6666.666667</v>
      </c>
      <c r="BK63" s="279">
        <f t="shared" si="166"/>
        <v>6.962576153</v>
      </c>
      <c r="BL63" s="462" t="str">
        <f>IFERROR(__xludf.DUMMYFUNCTION("IFERROR(SPARKLINE(BK63,{""charttype"",""bar"";""color1"",IF(BK63&gt;='Апрель'!green_percent,'Апрель'!green,IF(BK63&gt;='Апрель'!yellow_percent,'Апрель'!yellow,IF(BK63&gt;='Апрель'!orange_percent,'Апрель'!orange,'Апрель'!red)));""max"",1}))"),"")</f>
        <v/>
      </c>
      <c r="BM63" s="936">
        <v>957.5</v>
      </c>
      <c r="BN63" s="466"/>
      <c r="BO63" s="936">
        <v>957.5</v>
      </c>
      <c r="BP63" s="465"/>
      <c r="BQ63" s="936">
        <v>957.5</v>
      </c>
      <c r="BR63" s="465"/>
      <c r="BS63" s="936">
        <v>957.5</v>
      </c>
      <c r="BT63" s="465"/>
      <c r="BU63" s="936">
        <v>957.5</v>
      </c>
      <c r="BV63" s="465"/>
      <c r="BW63" s="936">
        <v>957.5</v>
      </c>
      <c r="BX63" s="465"/>
      <c r="BY63" s="936">
        <v>957.5</v>
      </c>
      <c r="BZ63" s="465"/>
      <c r="CA63" s="565">
        <v>957.4999999999999</v>
      </c>
      <c r="CB63" s="464">
        <f>CB58/CB62</f>
        <v>2727.272727</v>
      </c>
      <c r="CC63" s="279">
        <f t="shared" si="167"/>
        <v>2.848326608</v>
      </c>
      <c r="CD63" s="462" t="str">
        <f>IFERROR(__xludf.DUMMYFUNCTION("IFERROR(SPARKLINE(CC63,{""charttype"",""bar"";""color1"",IF(CC63&gt;='Апрель'!green_percent,'Апрель'!green,IF(CC63&gt;='Апрель'!yellow_percent,'Апрель'!yellow,IF(CC63&gt;='Апрель'!orange_percent,'Апрель'!orange,'Апрель'!red)));""max"",1}))"),"")</f>
        <v/>
      </c>
      <c r="CE63" s="936">
        <v>957.5</v>
      </c>
      <c r="CF63" s="466"/>
      <c r="CG63" s="936">
        <v>957.5</v>
      </c>
      <c r="CH63" s="466"/>
      <c r="CI63" s="936">
        <v>957.5</v>
      </c>
      <c r="CJ63" s="466"/>
      <c r="CK63" s="936">
        <v>957.5</v>
      </c>
      <c r="CL63" s="466"/>
      <c r="CM63" s="256"/>
      <c r="CN63" s="466"/>
      <c r="CO63" s="924"/>
      <c r="CP63" s="448"/>
      <c r="CQ63" s="925"/>
      <c r="CR63" s="726"/>
      <c r="CS63" s="565">
        <v>957.4999999999999</v>
      </c>
      <c r="CT63" s="464">
        <f>CT58/CT62</f>
        <v>0</v>
      </c>
      <c r="CU63" s="279">
        <f t="shared" si="168"/>
        <v>0</v>
      </c>
      <c r="CV63" s="462" t="str">
        <f>IFERROR(__xludf.DUMMYFUNCTION("IFERROR(SPARKLINE(CU63,{""charttype"",""bar"";""color1"",IF(CU63&gt;='Апрель'!green_percent,'Апрель'!green,IF(CU63&gt;='Апрель'!yellow_percent,'Апрель'!yellow,IF(CU63&gt;='Апрель'!orange_percent,'Апрель'!orange,'Апрель'!red)));""max"",1}))"),"")</f>
        <v/>
      </c>
      <c r="CW63" s="842"/>
      <c r="CX63" s="843"/>
      <c r="CY63" s="842"/>
      <c r="CZ63" s="843"/>
      <c r="DA63" s="843"/>
      <c r="DB63" s="843"/>
      <c r="DC63" s="843"/>
      <c r="DD63" s="843"/>
      <c r="DE63" s="843"/>
      <c r="DF63" s="843"/>
      <c r="DG63" s="843"/>
      <c r="DH63" s="843"/>
      <c r="DI63" s="843"/>
      <c r="DJ63" s="843"/>
      <c r="DK63" s="289"/>
      <c r="DL63" s="844"/>
      <c r="DM63" s="310"/>
      <c r="DN63" s="339"/>
      <c r="DO63" s="843"/>
      <c r="DP63" s="933"/>
    </row>
    <row r="64">
      <c r="A64" s="912"/>
      <c r="B64" s="937" t="s">
        <v>55</v>
      </c>
      <c r="C64" s="242"/>
      <c r="D64" s="242"/>
      <c r="E64" s="243"/>
      <c r="F64" s="244">
        <v>50.0</v>
      </c>
      <c r="G64" s="244">
        <f>Z64+AR64+BJ64+CB64+CT64</f>
        <v>4</v>
      </c>
      <c r="H64" s="704">
        <f t="shared" si="170"/>
        <v>0.08</v>
      </c>
      <c r="I64" s="427" t="str">
        <f>IFERROR(__xludf.DUMMYFUNCTION("IFERROR(SPARKLINE(H64,{""charttype"",""bar"";""color1"",IF(H64&gt;='Апрель'!green_percent,'Апрель'!green,IF(H64&gt;='Апрель'!yellow_percent,'Апрель'!yellow,IF(H64&gt;='Апрель'!orange_percent,'Апрель'!orange,'Апрель'!red)));""max"",1}))"),"")</f>
        <v/>
      </c>
      <c r="K64" s="929"/>
      <c r="L64" s="773">
        <v>0.0</v>
      </c>
      <c r="M64" s="929"/>
      <c r="N64" s="773">
        <v>3.0</v>
      </c>
      <c r="O64" s="929">
        <f>F64/31</f>
        <v>1.612903226</v>
      </c>
      <c r="P64" s="776">
        <v>0.0</v>
      </c>
      <c r="Q64" s="929">
        <f>F64/31</f>
        <v>1.612903226</v>
      </c>
      <c r="R64" s="776">
        <v>0.0</v>
      </c>
      <c r="S64" s="929">
        <v>1.7096774193548387</v>
      </c>
      <c r="T64" s="776"/>
      <c r="U64" s="929">
        <v>1.7096774193548387</v>
      </c>
      <c r="V64" s="776">
        <v>0.0</v>
      </c>
      <c r="W64" s="256">
        <v>1.7096774193548387</v>
      </c>
      <c r="X64" s="822">
        <v>0.0</v>
      </c>
      <c r="Y64" s="255">
        <f>O64+Q64+S64+U64+W64</f>
        <v>8.35483871</v>
      </c>
      <c r="Z64" s="244">
        <v>1.0</v>
      </c>
      <c r="AA64" s="412">
        <f t="shared" si="173"/>
        <v>0.1196911197</v>
      </c>
      <c r="AB64" s="413" t="str">
        <f>IFERROR(__xludf.DUMMYFUNCTION("IFERROR(SPARKLINE(AA64,{""charttype"",""bar"";""color1"",IF(AA64&gt;='Апрель'!green_percent,'Апрель'!green,IF(AA64&gt;='Апрель'!yellow_percent,'Апрель'!yellow,IF(AA64&gt;='Апрель'!orange_percent,'Апрель'!orange,'Апрель'!red)));""max"",1}))"),"")</f>
        <v/>
      </c>
      <c r="AC64" s="711">
        <v>1.7096774193548387</v>
      </c>
      <c r="AD64" s="824"/>
      <c r="AE64" s="711">
        <v>1.7096774193548387</v>
      </c>
      <c r="AF64" s="824"/>
      <c r="AG64" s="711">
        <v>1.7096774193548387</v>
      </c>
      <c r="AH64" s="824"/>
      <c r="AI64" s="711">
        <v>1.7096774193548387</v>
      </c>
      <c r="AJ64" s="824"/>
      <c r="AK64" s="711">
        <v>1.7096774193548387</v>
      </c>
      <c r="AL64" s="824"/>
      <c r="AM64" s="711">
        <v>1.7096774193548387</v>
      </c>
      <c r="AN64" s="825"/>
      <c r="AO64" s="711">
        <v>1.7096774193548387</v>
      </c>
      <c r="AP64" s="459"/>
      <c r="AQ64" s="255">
        <v>8.548387096774194</v>
      </c>
      <c r="AR64" s="244">
        <v>0.0</v>
      </c>
      <c r="AS64" s="253">
        <f t="shared" si="174"/>
        <v>0</v>
      </c>
      <c r="AT64" s="427" t="str">
        <f>IFERROR(__xludf.DUMMYFUNCTION("IFERROR(SPARKLINE(AS64,{""charttype"",""bar"";""color1"",IF(AS64&gt;='Апрель'!green_percent,'Апрель'!green,IF(AS64&gt;='Апрель'!yellow_percent,'Апрель'!yellow,IF(AS64&gt;='Апрель'!orange_percent,'Апрель'!orange,'Апрель'!red)));""max"",1}))"),"")</f>
        <v/>
      </c>
      <c r="AU64" s="711">
        <v>1.7096774193548387</v>
      </c>
      <c r="AV64" s="822">
        <v>1.0</v>
      </c>
      <c r="AW64" s="711">
        <v>1.7096774193548387</v>
      </c>
      <c r="AX64" s="822"/>
      <c r="AY64" s="711">
        <v>1.7096774193548387</v>
      </c>
      <c r="AZ64" s="776"/>
      <c r="BA64" s="711">
        <v>1.7096774193548387</v>
      </c>
      <c r="BB64" s="776"/>
      <c r="BC64" s="711">
        <v>1.7096774193548387</v>
      </c>
      <c r="BD64" s="776"/>
      <c r="BE64" s="711">
        <v>1.7096774193548387</v>
      </c>
      <c r="BF64" s="776"/>
      <c r="BG64" s="711">
        <v>1.7096774193548387</v>
      </c>
      <c r="BH64" s="822"/>
      <c r="BI64" s="255">
        <v>8.548387096774194</v>
      </c>
      <c r="BJ64" s="244">
        <f>AV64+AX64+AZ64+BB64+BD64+BF64+BH64</f>
        <v>1</v>
      </c>
      <c r="BK64" s="253">
        <f t="shared" si="166"/>
        <v>0.1169811321</v>
      </c>
      <c r="BL64" s="427" t="str">
        <f>IFERROR(__xludf.DUMMYFUNCTION("IFERROR(SPARKLINE(BK64,{""charttype"",""bar"";""color1"",IF(BK64&gt;='Апрель'!green_percent,'Апрель'!green,IF(BK64&gt;='Апрель'!yellow_percent,'Апрель'!yellow,IF(BK64&gt;='Апрель'!orange_percent,'Апрель'!orange,'Апрель'!red)));""max"",1}))"),"")</f>
        <v/>
      </c>
      <c r="BM64" s="711">
        <v>1.7096774193548387</v>
      </c>
      <c r="BN64" s="710"/>
      <c r="BO64" s="711">
        <v>1.7096774193548387</v>
      </c>
      <c r="BP64" s="465"/>
      <c r="BQ64" s="711">
        <v>1.7096774193548387</v>
      </c>
      <c r="BR64" s="716">
        <v>2.0</v>
      </c>
      <c r="BS64" s="711">
        <v>1.7096774193548387</v>
      </c>
      <c r="BT64" s="716"/>
      <c r="BU64" s="711">
        <v>1.7096774193548387</v>
      </c>
      <c r="BV64" s="716"/>
      <c r="BW64" s="711">
        <v>1.7096774193548387</v>
      </c>
      <c r="BX64" s="716"/>
      <c r="BY64" s="711">
        <v>1.7096774193548387</v>
      </c>
      <c r="BZ64" s="716"/>
      <c r="CA64" s="255">
        <v>8.548387096774194</v>
      </c>
      <c r="CB64" s="244">
        <v>1.0</v>
      </c>
      <c r="CC64" s="253">
        <f t="shared" si="167"/>
        <v>0.1169811321</v>
      </c>
      <c r="CD64" s="427" t="str">
        <f>IFERROR(__xludf.DUMMYFUNCTION("IFERROR(SPARKLINE(CC64,{""charttype"",""bar"";""color1"",IF(CC64&gt;='Апрель'!green_percent,'Апрель'!green,IF(CC64&gt;='Апрель'!yellow_percent,'Апрель'!yellow,IF(CC64&gt;='Апрель'!orange_percent,'Апрель'!orange,'Апрель'!red)));""max"",1}))"),"")</f>
        <v/>
      </c>
      <c r="CE64" s="711">
        <v>1.7096774193548387</v>
      </c>
      <c r="CF64" s="710"/>
      <c r="CG64" s="711">
        <v>1.7096774193548387</v>
      </c>
      <c r="CH64" s="710"/>
      <c r="CI64" s="711">
        <v>1.7096774193548387</v>
      </c>
      <c r="CJ64" s="710"/>
      <c r="CK64" s="711">
        <v>1.7096774193548387</v>
      </c>
      <c r="CL64" s="710"/>
      <c r="CM64" s="256"/>
      <c r="CN64" s="710"/>
      <c r="CO64" s="924"/>
      <c r="CP64" s="244"/>
      <c r="CQ64" s="925"/>
      <c r="CR64" s="708"/>
      <c r="CS64" s="255">
        <v>8.548387096774194</v>
      </c>
      <c r="CT64" s="244">
        <v>1.0</v>
      </c>
      <c r="CU64" s="253">
        <f t="shared" si="168"/>
        <v>0.1169811321</v>
      </c>
      <c r="CV64" s="427" t="str">
        <f>IFERROR(__xludf.DUMMYFUNCTION("IFERROR(SPARKLINE(CU64,{""charttype"",""bar"";""color1"",IF(CU64&gt;='Апрель'!green_percent,'Апрель'!green,IF(CU64&gt;='Апрель'!yellow_percent,'Апрель'!yellow,IF(CU64&gt;='Апрель'!orange_percent,'Апрель'!orange,'Апрель'!red)));""max"",1}))"),"")</f>
        <v/>
      </c>
      <c r="CW64" s="842"/>
      <c r="CX64" s="875"/>
      <c r="CY64" s="842"/>
      <c r="CZ64" s="875"/>
      <c r="DA64" s="875"/>
      <c r="DB64" s="875"/>
      <c r="DC64" s="875"/>
      <c r="DD64" s="875"/>
      <c r="DE64" s="875"/>
      <c r="DF64" s="875"/>
      <c r="DG64" s="875"/>
      <c r="DH64" s="875"/>
      <c r="DI64" s="875"/>
      <c r="DJ64" s="875"/>
      <c r="DK64" s="326"/>
      <c r="DL64" s="876"/>
      <c r="DM64" s="327"/>
      <c r="DN64" s="329"/>
      <c r="DO64" s="875"/>
      <c r="DP64" s="926"/>
    </row>
    <row r="65">
      <c r="A65" s="927"/>
      <c r="B65" s="934" t="s">
        <v>22</v>
      </c>
      <c r="C65" s="217"/>
      <c r="D65" s="217"/>
      <c r="E65" s="218"/>
      <c r="F65" s="448">
        <f t="shared" ref="F65:G65" si="178">F58/F64</f>
        <v>3830</v>
      </c>
      <c r="G65" s="270">
        <f t="shared" si="178"/>
        <v>54500</v>
      </c>
      <c r="H65" s="543">
        <f t="shared" si="170"/>
        <v>14.22976501</v>
      </c>
      <c r="I65" s="462" t="str">
        <f>IFERROR(__xludf.DUMMYFUNCTION("IFERROR(SPARKLINE(H65,{""charttype"",""bar"";""color1"",IF(H65&gt;='Апрель'!green_percent,'Апрель'!green,IF(H65&gt;='Апрель'!yellow_percent,'Апрель'!yellow,IF(H65&gt;='Апрель'!orange_percent,'Апрель'!orange,'Апрель'!red)));""max"",1}))"),"")</f>
        <v/>
      </c>
      <c r="K65" s="914"/>
      <c r="L65" s="930"/>
      <c r="M65" s="914"/>
      <c r="N65" s="773"/>
      <c r="O65" s="938">
        <f>O58/O64</f>
        <v>3830</v>
      </c>
      <c r="P65" s="931"/>
      <c r="Q65" s="939">
        <f>Q58/Q64</f>
        <v>3830</v>
      </c>
      <c r="R65" s="776"/>
      <c r="S65" s="448">
        <f>S58/S64</f>
        <v>3613.207547</v>
      </c>
      <c r="T65" s="776"/>
      <c r="U65" s="448">
        <f>U58/U64</f>
        <v>3613.207547</v>
      </c>
      <c r="V65" s="776"/>
      <c r="W65" s="448">
        <f>W58/W64</f>
        <v>3613.207547</v>
      </c>
      <c r="X65" s="463"/>
      <c r="Y65" s="565">
        <f t="shared" ref="Y65:Z65" si="179">Y58/Y64</f>
        <v>4584.169884</v>
      </c>
      <c r="Z65" s="563">
        <f t="shared" si="179"/>
        <v>0</v>
      </c>
      <c r="AA65" s="220">
        <f t="shared" si="173"/>
        <v>0</v>
      </c>
      <c r="AB65" s="449" t="str">
        <f>IFERROR(__xludf.DUMMYFUNCTION("IFERROR(SPARKLINE(AA65,{""charttype"",""bar"";""color1"",IF(AA65&gt;='Апрель'!green_percent,'Апрель'!green,IF(AA65&gt;='Апрель'!yellow_percent,'Апрель'!yellow,IF(AA65&gt;='Апрель'!orange_percent,'Апрель'!orange,'Апрель'!red)));""max"",1}))"),"")</f>
        <v/>
      </c>
      <c r="AC65" s="256">
        <v>3613.207547169811</v>
      </c>
      <c r="AD65" s="824"/>
      <c r="AE65" s="256">
        <v>3613.207547169811</v>
      </c>
      <c r="AF65" s="824"/>
      <c r="AG65" s="256">
        <v>3613.207547169811</v>
      </c>
      <c r="AH65" s="824"/>
      <c r="AI65" s="256">
        <v>3613.207547169811</v>
      </c>
      <c r="AJ65" s="824"/>
      <c r="AK65" s="256">
        <v>3613.207547169811</v>
      </c>
      <c r="AL65" s="824"/>
      <c r="AM65" s="256">
        <v>3613.207547169811</v>
      </c>
      <c r="AN65" s="825"/>
      <c r="AO65" s="256">
        <v>3613.207547169811</v>
      </c>
      <c r="AP65" s="459"/>
      <c r="AQ65" s="565">
        <v>3613.207547169811</v>
      </c>
      <c r="AR65" s="448">
        <v>0.0</v>
      </c>
      <c r="AS65" s="279">
        <f t="shared" si="174"/>
        <v>0</v>
      </c>
      <c r="AT65" s="462" t="str">
        <f>IFERROR(__xludf.DUMMYFUNCTION("IFERROR(SPARKLINE(AS65,{""charttype"",""bar"";""color1"",IF(AS65&gt;='Апрель'!green_percent,'Апрель'!green,IF(AS65&gt;='Апрель'!yellow_percent,'Апрель'!yellow,IF(AS65&gt;='Апрель'!orange_percent,'Апрель'!orange,'Апрель'!red)));""max"",1}))"),"")</f>
        <v/>
      </c>
      <c r="AU65" s="256">
        <v>3613.207547169811</v>
      </c>
      <c r="AV65" s="463"/>
      <c r="AW65" s="256">
        <v>3613.207547169811</v>
      </c>
      <c r="AX65" s="463"/>
      <c r="AY65" s="256">
        <v>3613.207547169811</v>
      </c>
      <c r="AZ65" s="776"/>
      <c r="BA65" s="256">
        <v>3613.207547169811</v>
      </c>
      <c r="BB65" s="776"/>
      <c r="BC65" s="256">
        <v>3613.207547169811</v>
      </c>
      <c r="BD65" s="776"/>
      <c r="BE65" s="256">
        <v>3613.207547169811</v>
      </c>
      <c r="BF65" s="776"/>
      <c r="BG65" s="256">
        <v>3613.207547169811</v>
      </c>
      <c r="BH65" s="463"/>
      <c r="BI65" s="565">
        <v>3613.207547169811</v>
      </c>
      <c r="BJ65" s="448">
        <f>BJ58/BJ64</f>
        <v>60000</v>
      </c>
      <c r="BK65" s="279">
        <f t="shared" si="166"/>
        <v>16.60574413</v>
      </c>
      <c r="BL65" s="462" t="str">
        <f>IFERROR(__xludf.DUMMYFUNCTION("IFERROR(SPARKLINE(BK65,{""charttype"",""bar"";""color1"",IF(BK65&gt;='Апрель'!green_percent,'Апрель'!green,IF(BK65&gt;='Апрель'!yellow_percent,'Апрель'!yellow,IF(BK65&gt;='Апрель'!orange_percent,'Апрель'!orange,'Апрель'!red)));""max"",1}))"),"")</f>
        <v/>
      </c>
      <c r="BM65" s="256">
        <v>3613.207547169811</v>
      </c>
      <c r="BN65" s="466"/>
      <c r="BO65" s="256">
        <v>3613.207547169811</v>
      </c>
      <c r="BP65" s="465"/>
      <c r="BQ65" s="256">
        <v>3613.207547169811</v>
      </c>
      <c r="BR65" s="465"/>
      <c r="BS65" s="256">
        <v>3613.207547169811</v>
      </c>
      <c r="BT65" s="465"/>
      <c r="BU65" s="256">
        <v>3613.207547169811</v>
      </c>
      <c r="BV65" s="465"/>
      <c r="BW65" s="256">
        <v>3613.207547169811</v>
      </c>
      <c r="BX65" s="465"/>
      <c r="BY65" s="256">
        <v>3613.207547169811</v>
      </c>
      <c r="BZ65" s="465"/>
      <c r="CA65" s="565">
        <v>3613.207547169811</v>
      </c>
      <c r="CB65" s="464">
        <f>CB58/CB64</f>
        <v>60000</v>
      </c>
      <c r="CC65" s="279">
        <f t="shared" si="167"/>
        <v>16.60574413</v>
      </c>
      <c r="CD65" s="462" t="str">
        <f>IFERROR(__xludf.DUMMYFUNCTION("IFERROR(SPARKLINE(CC65,{""charttype"",""bar"";""color1"",IF(CC65&gt;='Апрель'!green_percent,'Апрель'!green,IF(CC65&gt;='Апрель'!yellow_percent,'Апрель'!yellow,IF(CC65&gt;='Апрель'!orange_percent,'Апрель'!orange,'Апрель'!red)));""max"",1}))"),"")</f>
        <v/>
      </c>
      <c r="CE65" s="256">
        <v>3613.207547169811</v>
      </c>
      <c r="CF65" s="466"/>
      <c r="CG65" s="256">
        <v>3613.207547169811</v>
      </c>
      <c r="CH65" s="466"/>
      <c r="CI65" s="256">
        <v>3613.207547169811</v>
      </c>
      <c r="CJ65" s="466"/>
      <c r="CK65" s="256">
        <v>3613.207547169811</v>
      </c>
      <c r="CL65" s="466"/>
      <c r="CM65" s="256"/>
      <c r="CN65" s="466"/>
      <c r="CO65" s="924"/>
      <c r="CP65" s="448"/>
      <c r="CQ65" s="925"/>
      <c r="CR65" s="726"/>
      <c r="CS65" s="565">
        <v>3613.207547169811</v>
      </c>
      <c r="CT65" s="464">
        <f>CT58/CT64</f>
        <v>0</v>
      </c>
      <c r="CU65" s="279">
        <f t="shared" si="168"/>
        <v>0</v>
      </c>
      <c r="CV65" s="462" t="str">
        <f>IFERROR(__xludf.DUMMYFUNCTION("IFERROR(SPARKLINE(CU65,{""charttype"",""bar"";""color1"",IF(CU65&gt;='Апрель'!green_percent,'Апрель'!green,IF(CU65&gt;='Апрель'!yellow_percent,'Апрель'!yellow,IF(CU65&gt;='Апрель'!orange_percent,'Апрель'!orange,'Апрель'!red)));""max"",1}))"),"")</f>
        <v/>
      </c>
      <c r="CW65" s="842"/>
      <c r="CX65" s="843"/>
      <c r="CY65" s="842"/>
      <c r="CZ65" s="843"/>
      <c r="DA65" s="843"/>
      <c r="DB65" s="843"/>
      <c r="DC65" s="843"/>
      <c r="DD65" s="843"/>
      <c r="DE65" s="843"/>
      <c r="DF65" s="843"/>
      <c r="DG65" s="843"/>
      <c r="DH65" s="843"/>
      <c r="DI65" s="843"/>
      <c r="DJ65" s="843"/>
      <c r="DK65" s="289"/>
      <c r="DL65" s="844"/>
      <c r="DM65" s="310"/>
      <c r="DN65" s="339"/>
      <c r="DO65" s="843"/>
      <c r="DP65" s="933"/>
    </row>
    <row r="66">
      <c r="A66" s="912"/>
      <c r="B66" s="937" t="s">
        <v>56</v>
      </c>
      <c r="C66" s="242"/>
      <c r="D66" s="242"/>
      <c r="E66" s="243"/>
      <c r="F66" s="245">
        <f t="shared" ref="F66:G66" si="180">F64/F61</f>
        <v>0.0000625</v>
      </c>
      <c r="G66" s="940">
        <f t="shared" si="180"/>
        <v>0.00001695066086</v>
      </c>
      <c r="H66" s="704">
        <f t="shared" si="170"/>
        <v>0.2712105738</v>
      </c>
      <c r="I66" s="427" t="str">
        <f>IFERROR(__xludf.DUMMYFUNCTION("IFERROR(SPARKLINE(H66,{""charttype"",""bar"";""color1"",IF(H66&gt;='Апрель'!green_percent,'Апрель'!green,IF(H66&gt;='Апрель'!yellow_percent,'Апрель'!yellow,IF(H66&gt;='Апрель'!orange_percent,'Апрель'!orange,'Апрель'!red)));""max"",1}))"),"")</f>
        <v/>
      </c>
      <c r="K66" s="929"/>
      <c r="L66" s="930"/>
      <c r="M66" s="929"/>
      <c r="N66" s="773"/>
      <c r="O66" s="929">
        <f t="shared" ref="O66:O68" si="182">F66/31</f>
        <v>0.000002016129032</v>
      </c>
      <c r="P66" s="931"/>
      <c r="Q66" s="941">
        <f t="shared" ref="Q66:Q68" si="183">F66/31</f>
        <v>0.000002016129032</v>
      </c>
      <c r="R66" s="776"/>
      <c r="S66" s="941">
        <v>2.1370967741935485E-6</v>
      </c>
      <c r="T66" s="755"/>
      <c r="U66" s="941">
        <v>2.1370967741935485E-6</v>
      </c>
      <c r="V66" s="755"/>
      <c r="W66" s="942">
        <v>2.1370967741935485E-6</v>
      </c>
      <c r="X66" s="822"/>
      <c r="Y66" s="313">
        <f t="shared" ref="Y66:Z66" si="181">Y64/Y61</f>
        <v>0.00006475</v>
      </c>
      <c r="Z66" s="245">
        <f t="shared" si="181"/>
        <v>0.00008753501401</v>
      </c>
      <c r="AA66" s="412">
        <f t="shared" si="173"/>
        <v>1.351892108</v>
      </c>
      <c r="AB66" s="413" t="str">
        <f>IFERROR(__xludf.DUMMYFUNCTION("IFERROR(SPARKLINE(AA66,{""charttype"",""bar"";""color1"",IF(AA66&gt;='Апрель'!green_percent,'Апрель'!green,IF(AA66&gt;='Апрель'!yellow_percent,'Апрель'!yellow,IF(AA66&gt;='Апрель'!orange_percent,'Апрель'!orange,'Апрель'!red)));""max"",1}))"),"")</f>
        <v/>
      </c>
      <c r="AC66" s="711">
        <v>2.1370967741935485E-6</v>
      </c>
      <c r="AD66" s="824"/>
      <c r="AE66" s="711">
        <v>2.1370967741935485E-6</v>
      </c>
      <c r="AF66" s="824"/>
      <c r="AG66" s="711">
        <v>2.1370967741935485E-6</v>
      </c>
      <c r="AH66" s="824"/>
      <c r="AI66" s="711">
        <v>2.1370967741935485E-6</v>
      </c>
      <c r="AJ66" s="824"/>
      <c r="AK66" s="711">
        <v>2.1370967741935485E-6</v>
      </c>
      <c r="AL66" s="824"/>
      <c r="AM66" s="711">
        <v>2.1370967741935485E-6</v>
      </c>
      <c r="AN66" s="825"/>
      <c r="AO66" s="711">
        <v>2.1370967741935485E-6</v>
      </c>
      <c r="AP66" s="459"/>
      <c r="AQ66" s="943">
        <v>6.625E-5</v>
      </c>
      <c r="AR66" s="244">
        <v>0.0</v>
      </c>
      <c r="AS66" s="253">
        <f t="shared" si="174"/>
        <v>0</v>
      </c>
      <c r="AT66" s="427" t="str">
        <f>IFERROR(__xludf.DUMMYFUNCTION("IFERROR(SPARKLINE(AS66,{""charttype"",""bar"";""color1"",IF(AS66&gt;='Апрель'!green_percent,'Апрель'!green,IF(AS66&gt;='Апрель'!yellow_percent,'Апрель'!yellow,IF(AS66&gt;='Апрель'!orange_percent,'Апрель'!orange,'Апрель'!red)));""max"",1}))"),"")</f>
        <v/>
      </c>
      <c r="AU66" s="711">
        <v>2.1370967741935485E-6</v>
      </c>
      <c r="AV66" s="822"/>
      <c r="AW66" s="711">
        <v>2.1370967741935485E-6</v>
      </c>
      <c r="AX66" s="822"/>
      <c r="AY66" s="711">
        <v>2.1370967741935485E-6</v>
      </c>
      <c r="AZ66" s="776"/>
      <c r="BA66" s="711">
        <v>2.1370967741935485E-6</v>
      </c>
      <c r="BB66" s="776"/>
      <c r="BC66" s="711">
        <v>2.1370967741935485E-6</v>
      </c>
      <c r="BD66" s="776"/>
      <c r="BE66" s="711">
        <v>2.1370967741935485E-6</v>
      </c>
      <c r="BF66" s="776"/>
      <c r="BG66" s="711">
        <v>2.1370967741935485E-6</v>
      </c>
      <c r="BH66" s="822"/>
      <c r="BI66" s="943">
        <v>6.625E-5</v>
      </c>
      <c r="BJ66" s="412">
        <f>BJ64/BJ62</f>
        <v>0.1111111111</v>
      </c>
      <c r="BK66" s="253">
        <f t="shared" si="166"/>
        <v>1677.148847</v>
      </c>
      <c r="BL66" s="427" t="str">
        <f>IFERROR(__xludf.DUMMYFUNCTION("IFERROR(SPARKLINE(BK66,{""charttype"",""bar"";""color1"",IF(BK66&gt;='Апрель'!green_percent,'Апрель'!green,IF(BK66&gt;='Апрель'!yellow_percent,'Апрель'!yellow,IF(BK66&gt;='Апрель'!orange_percent,'Апрель'!orange,'Апрель'!red)));""max"",1}))"),"")</f>
        <v/>
      </c>
      <c r="BM66" s="711">
        <v>2.1370967741935485E-6</v>
      </c>
      <c r="BN66" s="710"/>
      <c r="BO66" s="711">
        <v>2.1370967741935485E-6</v>
      </c>
      <c r="BP66" s="465"/>
      <c r="BQ66" s="711">
        <v>2.1370967741935485E-6</v>
      </c>
      <c r="BR66" s="716"/>
      <c r="BS66" s="711">
        <v>2.1370967741935485E-6</v>
      </c>
      <c r="BT66" s="716"/>
      <c r="BU66" s="711">
        <v>2.1370967741935485E-6</v>
      </c>
      <c r="BV66" s="716"/>
      <c r="BW66" s="711">
        <v>2.1370967741935485E-6</v>
      </c>
      <c r="BX66" s="716"/>
      <c r="BY66" s="711">
        <v>2.1370967741935485E-6</v>
      </c>
      <c r="BZ66" s="716"/>
      <c r="CA66" s="943">
        <v>6.625E-5</v>
      </c>
      <c r="CB66" s="244">
        <v>0.0</v>
      </c>
      <c r="CC66" s="253">
        <f t="shared" si="167"/>
        <v>0</v>
      </c>
      <c r="CD66" s="427" t="str">
        <f>IFERROR(__xludf.DUMMYFUNCTION("IFERROR(SPARKLINE(CC66,{""charttype"",""bar"";""color1"",IF(CC66&gt;='Апрель'!green_percent,'Апрель'!green,IF(CC66&gt;='Апрель'!yellow_percent,'Апрель'!yellow,IF(CC66&gt;='Апрель'!orange_percent,'Апрель'!orange,'Апрель'!red)));""max"",1}))"),"")</f>
        <v/>
      </c>
      <c r="CE66" s="711">
        <v>2.1370967741935485E-6</v>
      </c>
      <c r="CF66" s="710"/>
      <c r="CG66" s="711">
        <v>2.1370967741935485E-6</v>
      </c>
      <c r="CH66" s="710"/>
      <c r="CI66" s="711">
        <v>2.1370967741935485E-6</v>
      </c>
      <c r="CJ66" s="710"/>
      <c r="CK66" s="711">
        <v>2.1370967741935485E-6</v>
      </c>
      <c r="CL66" s="710"/>
      <c r="CM66" s="256"/>
      <c r="CN66" s="710"/>
      <c r="CO66" s="924"/>
      <c r="CP66" s="244"/>
      <c r="CQ66" s="925"/>
      <c r="CR66" s="708"/>
      <c r="CS66" s="943">
        <v>6.625E-5</v>
      </c>
      <c r="CT66" s="244">
        <v>0.0</v>
      </c>
      <c r="CU66" s="253">
        <f t="shared" si="168"/>
        <v>0</v>
      </c>
      <c r="CV66" s="427" t="str">
        <f>IFERROR(__xludf.DUMMYFUNCTION("IFERROR(SPARKLINE(CU66,{""charttype"",""bar"";""color1"",IF(CU66&gt;='Апрель'!green_percent,'Апрель'!green,IF(CU66&gt;='Апрель'!yellow_percent,'Апрель'!yellow,IF(CU66&gt;='Апрель'!orange_percent,'Апрель'!orange,'Апрель'!red)));""max"",1}))"),"")</f>
        <v/>
      </c>
      <c r="CW66" s="842"/>
      <c r="CX66" s="875"/>
      <c r="CY66" s="842"/>
      <c r="CZ66" s="875"/>
      <c r="DA66" s="875"/>
      <c r="DB66" s="875"/>
      <c r="DC66" s="875"/>
      <c r="DD66" s="875"/>
      <c r="DE66" s="875"/>
      <c r="DF66" s="875"/>
      <c r="DG66" s="875"/>
      <c r="DH66" s="875"/>
      <c r="DI66" s="875"/>
      <c r="DJ66" s="875"/>
      <c r="DK66" s="326"/>
      <c r="DL66" s="876"/>
      <c r="DM66" s="327"/>
      <c r="DN66" s="329"/>
      <c r="DO66" s="875"/>
      <c r="DP66" s="926"/>
    </row>
    <row r="67">
      <c r="A67" s="927"/>
      <c r="B67" s="934" t="s">
        <v>35</v>
      </c>
      <c r="C67" s="217"/>
      <c r="D67" s="217"/>
      <c r="E67" s="218"/>
      <c r="F67" s="448">
        <v>20.0</v>
      </c>
      <c r="G67" s="448">
        <f>Z67+AR67+BJ67+CB67+CT67</f>
        <v>3</v>
      </c>
      <c r="H67" s="543">
        <f t="shared" si="170"/>
        <v>0.15</v>
      </c>
      <c r="I67" s="462" t="str">
        <f>IFERROR(__xludf.DUMMYFUNCTION("IFERROR(SPARKLINE(H67,{""charttype"",""bar"";""color1"",IF(H67&gt;='Апрель'!green_percent,'Апрель'!green,IF(H67&gt;='Апрель'!yellow_percent,'Апрель'!yellow,IF(H67&gt;='Апрель'!orange_percent,'Апрель'!orange,'Апрель'!red)));""max"",1}))"),"")</f>
        <v/>
      </c>
      <c r="K67" s="929"/>
      <c r="L67" s="773">
        <v>0.0</v>
      </c>
      <c r="M67" s="929"/>
      <c r="N67" s="773">
        <v>0.0</v>
      </c>
      <c r="O67" s="929">
        <f t="shared" si="182"/>
        <v>0.6451612903</v>
      </c>
      <c r="P67" s="776">
        <v>0.0</v>
      </c>
      <c r="Q67" s="929">
        <f t="shared" si="183"/>
        <v>0.6451612903</v>
      </c>
      <c r="R67" s="776">
        <v>0.0</v>
      </c>
      <c r="S67" s="929">
        <v>0.6451612903225806</v>
      </c>
      <c r="T67" s="776">
        <v>0.0</v>
      </c>
      <c r="U67" s="929">
        <v>0.6451612903225806</v>
      </c>
      <c r="V67" s="776">
        <v>0.0</v>
      </c>
      <c r="W67" s="256">
        <v>0.6451612903225806</v>
      </c>
      <c r="X67" s="463">
        <v>0.0</v>
      </c>
      <c r="Y67" s="349">
        <f>O67+Q67+S67+U67+W67</f>
        <v>3.225806452</v>
      </c>
      <c r="Z67" s="448">
        <v>0.0</v>
      </c>
      <c r="AA67" s="220">
        <f t="shared" si="173"/>
        <v>0</v>
      </c>
      <c r="AB67" s="449" t="str">
        <f>IFERROR(__xludf.DUMMYFUNCTION("IFERROR(SPARKLINE(AA67,{""charttype"",""bar"";""color1"",IF(AA67&gt;='Апрель'!green_percent,'Апрель'!green,IF(AA67&gt;='Апрель'!yellow_percent,'Апрель'!yellow,IF(AA67&gt;='Апрель'!orange_percent,'Апрель'!orange,'Апрель'!red)));""max"",1}))"),"")</f>
        <v/>
      </c>
      <c r="AC67" s="256">
        <v>0.6451612903225806</v>
      </c>
      <c r="AD67" s="824"/>
      <c r="AE67" s="256">
        <v>0.6451612903225806</v>
      </c>
      <c r="AF67" s="824"/>
      <c r="AG67" s="256">
        <v>0.6451612903225806</v>
      </c>
      <c r="AH67" s="824"/>
      <c r="AI67" s="256">
        <v>0.6451612903225806</v>
      </c>
      <c r="AJ67" s="824"/>
      <c r="AK67" s="256">
        <v>0.6451612903225806</v>
      </c>
      <c r="AL67" s="824"/>
      <c r="AM67" s="256">
        <v>0.6451612903225806</v>
      </c>
      <c r="AN67" s="825"/>
      <c r="AO67" s="256">
        <v>0.6451612903225806</v>
      </c>
      <c r="AP67" s="459"/>
      <c r="AQ67" s="349">
        <v>3.225806451612903</v>
      </c>
      <c r="AR67" s="448">
        <v>0.0</v>
      </c>
      <c r="AS67" s="279">
        <f t="shared" si="174"/>
        <v>0</v>
      </c>
      <c r="AT67" s="462" t="str">
        <f>IFERROR(__xludf.DUMMYFUNCTION("IFERROR(SPARKLINE(AS67,{""charttype"",""bar"";""color1"",IF(AS67&gt;='Апрель'!green_percent,'Апрель'!green,IF(AS67&gt;='Апрель'!yellow_percent,'Апрель'!yellow,IF(AS67&gt;='Апрель'!orange_percent,'Апрель'!orange,'Апрель'!red)));""max"",1}))"),"")</f>
        <v/>
      </c>
      <c r="AU67" s="256">
        <v>0.6451612903225806</v>
      </c>
      <c r="AV67" s="463">
        <v>1.0</v>
      </c>
      <c r="AW67" s="256">
        <v>0.6451612903225806</v>
      </c>
      <c r="AX67" s="463"/>
      <c r="AY67" s="256">
        <v>0.6451612903225806</v>
      </c>
      <c r="AZ67" s="776"/>
      <c r="BA67" s="256">
        <v>0.6451612903225806</v>
      </c>
      <c r="BB67" s="776"/>
      <c r="BC67" s="256">
        <v>0.6451612903225806</v>
      </c>
      <c r="BD67" s="776"/>
      <c r="BE67" s="256">
        <v>0.6451612903225806</v>
      </c>
      <c r="BF67" s="776"/>
      <c r="BG67" s="256">
        <v>0.6451612903225806</v>
      </c>
      <c r="BH67" s="463"/>
      <c r="BI67" s="349">
        <v>3.225806451612903</v>
      </c>
      <c r="BJ67" s="448">
        <f>AV67+AX67+AZ67+BB67+BD67+BF67+BH67</f>
        <v>1</v>
      </c>
      <c r="BK67" s="279">
        <f t="shared" si="166"/>
        <v>0.31</v>
      </c>
      <c r="BL67" s="462" t="str">
        <f>IFERROR(__xludf.DUMMYFUNCTION("IFERROR(SPARKLINE(BK67,{""charttype"",""bar"";""color1"",IF(BK67&gt;='Апрель'!green_percent,'Апрель'!green,IF(BK67&gt;='Апрель'!yellow_percent,'Апрель'!yellow,IF(BK67&gt;='Апрель'!orange_percent,'Апрель'!orange,'Апрель'!red)));""max"",1}))"),"")</f>
        <v/>
      </c>
      <c r="BM67" s="256">
        <v>0.6451612903225806</v>
      </c>
      <c r="BN67" s="466"/>
      <c r="BO67" s="256">
        <v>0.6451612903225806</v>
      </c>
      <c r="BP67" s="465"/>
      <c r="BQ67" s="256">
        <v>0.6451612903225806</v>
      </c>
      <c r="BR67" s="465">
        <v>1.0</v>
      </c>
      <c r="BS67" s="256">
        <v>0.6451612903225806</v>
      </c>
      <c r="BT67" s="465"/>
      <c r="BU67" s="256">
        <v>0.6451612903225806</v>
      </c>
      <c r="BV67" s="465"/>
      <c r="BW67" s="256">
        <v>0.6451612903225806</v>
      </c>
      <c r="BX67" s="465"/>
      <c r="BY67" s="256">
        <v>0.6451612903225806</v>
      </c>
      <c r="BZ67" s="465"/>
      <c r="CA67" s="349">
        <v>3.225806451612903</v>
      </c>
      <c r="CB67" s="448">
        <v>1.0</v>
      </c>
      <c r="CC67" s="279">
        <f t="shared" si="167"/>
        <v>0.31</v>
      </c>
      <c r="CD67" s="462" t="str">
        <f>IFERROR(__xludf.DUMMYFUNCTION("IFERROR(SPARKLINE(CC67,{""charttype"",""bar"";""color1"",IF(CC67&gt;='Апрель'!green_percent,'Апрель'!green,IF(CC67&gt;='Апрель'!yellow_percent,'Апрель'!yellow,IF(CC67&gt;='Апрель'!orange_percent,'Апрель'!orange,'Апрель'!red)));""max"",1}))"),"")</f>
        <v/>
      </c>
      <c r="CE67" s="256">
        <v>0.6451612903225806</v>
      </c>
      <c r="CF67" s="466"/>
      <c r="CG67" s="256">
        <v>0.6451612903225806</v>
      </c>
      <c r="CH67" s="466"/>
      <c r="CI67" s="256">
        <v>0.6451612903225806</v>
      </c>
      <c r="CJ67" s="466"/>
      <c r="CK67" s="256">
        <v>0.6451612903225806</v>
      </c>
      <c r="CL67" s="466"/>
      <c r="CM67" s="256"/>
      <c r="CN67" s="466"/>
      <c r="CO67" s="924"/>
      <c r="CP67" s="448"/>
      <c r="CQ67" s="925"/>
      <c r="CR67" s="726"/>
      <c r="CS67" s="349">
        <v>3.225806451612903</v>
      </c>
      <c r="CT67" s="448">
        <v>1.0</v>
      </c>
      <c r="CU67" s="279">
        <f t="shared" si="168"/>
        <v>0.31</v>
      </c>
      <c r="CV67" s="462" t="str">
        <f>IFERROR(__xludf.DUMMYFUNCTION("IFERROR(SPARKLINE(CU67,{""charttype"",""bar"";""color1"",IF(CU67&gt;='Апрель'!green_percent,'Апрель'!green,IF(CU67&gt;='Апрель'!yellow_percent,'Апрель'!yellow,IF(CU67&gt;='Апрель'!orange_percent,'Апрель'!orange,'Апрель'!red)));""max"",1}))"),"")</f>
        <v/>
      </c>
      <c r="CW67" s="842"/>
      <c r="CX67" s="843"/>
      <c r="CY67" s="842"/>
      <c r="CZ67" s="843"/>
      <c r="DA67" s="843"/>
      <c r="DB67" s="843"/>
      <c r="DC67" s="843"/>
      <c r="DD67" s="843"/>
      <c r="DE67" s="843"/>
      <c r="DF67" s="843"/>
      <c r="DG67" s="843"/>
      <c r="DH67" s="843"/>
      <c r="DI67" s="843"/>
      <c r="DJ67" s="843"/>
      <c r="DK67" s="289"/>
      <c r="DL67" s="844"/>
      <c r="DM67" s="310"/>
      <c r="DN67" s="339"/>
      <c r="DO67" s="843"/>
      <c r="DP67" s="933"/>
    </row>
    <row r="68">
      <c r="A68" s="912"/>
      <c r="B68" s="937" t="s">
        <v>25</v>
      </c>
      <c r="C68" s="242"/>
      <c r="D68" s="242"/>
      <c r="E68" s="243"/>
      <c r="F68" s="245">
        <f t="shared" ref="F68:G68" si="184">F67/F64</f>
        <v>0.4</v>
      </c>
      <c r="G68" s="245">
        <f t="shared" si="184"/>
        <v>0.75</v>
      </c>
      <c r="H68" s="704">
        <f t="shared" si="170"/>
        <v>1.875</v>
      </c>
      <c r="I68" s="427" t="str">
        <f>IFERROR(__xludf.DUMMYFUNCTION("IFERROR(SPARKLINE(H68,{""charttype"",""bar"";""color1"",IF(H68&gt;='Апрель'!green_percent,'Апрель'!green,IF(H68&gt;='Апрель'!yellow_percent,'Апрель'!yellow,IF(H68&gt;='Апрель'!orange_percent,'Апрель'!orange,'Апрель'!red)));""max"",1}))"),"")</f>
        <v/>
      </c>
      <c r="K68" s="941"/>
      <c r="L68" s="930"/>
      <c r="M68" s="941"/>
      <c r="N68" s="773"/>
      <c r="O68" s="941">
        <f t="shared" si="182"/>
        <v>0.01290322581</v>
      </c>
      <c r="P68" s="931"/>
      <c r="Q68" s="941">
        <f t="shared" si="183"/>
        <v>0.01290322581</v>
      </c>
      <c r="R68" s="776"/>
      <c r="S68" s="941">
        <v>0.012172854534388315</v>
      </c>
      <c r="T68" s="755"/>
      <c r="U68" s="941">
        <v>0.012172854534388315</v>
      </c>
      <c r="V68" s="755"/>
      <c r="W68" s="942">
        <v>0.012172854534388315</v>
      </c>
      <c r="X68" s="822"/>
      <c r="Y68" s="313">
        <f t="shared" ref="Y68:Z68" si="185">Y67/Y64</f>
        <v>0.3861003861</v>
      </c>
      <c r="Z68" s="245">
        <f t="shared" si="185"/>
        <v>0</v>
      </c>
      <c r="AA68" s="412">
        <f t="shared" si="173"/>
        <v>0</v>
      </c>
      <c r="AB68" s="413" t="str">
        <f>IFERROR(__xludf.DUMMYFUNCTION("IFERROR(SPARKLINE(AA68,{""charttype"",""bar"";""color1"",IF(AA68&gt;='Апрель'!green_percent,'Апрель'!green,IF(AA68&gt;='Апрель'!yellow_percent,'Апрель'!yellow,IF(AA68&gt;='Апрель'!orange_percent,'Апрель'!orange,'Апрель'!red)));""max"",1}))"),"")</f>
        <v/>
      </c>
      <c r="AC68" s="541">
        <v>0.012172854534388315</v>
      </c>
      <c r="AD68" s="824"/>
      <c r="AE68" s="541">
        <v>0.012172854534388315</v>
      </c>
      <c r="AF68" s="824"/>
      <c r="AG68" s="541">
        <v>0.012172854534388315</v>
      </c>
      <c r="AH68" s="824"/>
      <c r="AI68" s="541">
        <v>0.012172854534388315</v>
      </c>
      <c r="AJ68" s="824"/>
      <c r="AK68" s="541">
        <v>0.012172854534388315</v>
      </c>
      <c r="AL68" s="824"/>
      <c r="AM68" s="541">
        <v>0.012172854534388315</v>
      </c>
      <c r="AN68" s="825"/>
      <c r="AO68" s="541">
        <v>0.012172854534388315</v>
      </c>
      <c r="AP68" s="459"/>
      <c r="AQ68" s="943">
        <v>0.3773584905660377</v>
      </c>
      <c r="AR68" s="244">
        <v>0.0</v>
      </c>
      <c r="AS68" s="253">
        <f t="shared" si="174"/>
        <v>0</v>
      </c>
      <c r="AT68" s="427" t="str">
        <f>IFERROR(__xludf.DUMMYFUNCTION("IFERROR(SPARKLINE(AS68,{""charttype"",""bar"";""color1"",IF(AS68&gt;='Апрель'!green_percent,'Апрель'!green,IF(AS68&gt;='Апрель'!yellow_percent,'Апрель'!yellow,IF(AS68&gt;='Апрель'!orange_percent,'Апрель'!orange,'Апрель'!red)));""max"",1}))"),"")</f>
        <v/>
      </c>
      <c r="AU68" s="541">
        <v>0.012172854534388315</v>
      </c>
      <c r="AV68" s="517">
        <f>AV67/AV64</f>
        <v>1</v>
      </c>
      <c r="AW68" s="541">
        <v>0.012172854534388315</v>
      </c>
      <c r="AX68" s="822"/>
      <c r="AY68" s="541">
        <v>0.012172854534388315</v>
      </c>
      <c r="AZ68" s="776"/>
      <c r="BA68" s="541">
        <v>0.012172854534388315</v>
      </c>
      <c r="BB68" s="776"/>
      <c r="BC68" s="541">
        <v>0.012172854534388315</v>
      </c>
      <c r="BD68" s="776"/>
      <c r="BE68" s="541">
        <v>0.012172854534388315</v>
      </c>
      <c r="BF68" s="776"/>
      <c r="BG68" s="541">
        <v>0.012172854534388315</v>
      </c>
      <c r="BH68" s="822"/>
      <c r="BI68" s="943">
        <v>0.3773584905660377</v>
      </c>
      <c r="BJ68" s="412">
        <f>BJ67/BJ64</f>
        <v>1</v>
      </c>
      <c r="BK68" s="253">
        <f t="shared" si="166"/>
        <v>2.65</v>
      </c>
      <c r="BL68" s="427" t="str">
        <f>IFERROR(__xludf.DUMMYFUNCTION("IFERROR(SPARKLINE(BK68,{""charttype"",""bar"";""color1"",IF(BK68&gt;='Апрель'!green_percent,'Апрель'!green,IF(BK68&gt;='Апрель'!yellow_percent,'Апрель'!yellow,IF(BK68&gt;='Апрель'!orange_percent,'Апрель'!orange,'Апрель'!red)));""max"",1}))"),"")</f>
        <v/>
      </c>
      <c r="BM68" s="541">
        <v>0.012172854534388315</v>
      </c>
      <c r="BN68" s="710"/>
      <c r="BO68" s="541">
        <v>0.012172854534388315</v>
      </c>
      <c r="BP68" s="465"/>
      <c r="BQ68" s="541">
        <v>0.012172854534388315</v>
      </c>
      <c r="BR68" s="521">
        <f>BR67/BR64</f>
        <v>0.5</v>
      </c>
      <c r="BS68" s="541">
        <v>0.012172854534388315</v>
      </c>
      <c r="BT68" s="716"/>
      <c r="BU68" s="541">
        <v>0.012172854534388315</v>
      </c>
      <c r="BV68" s="716"/>
      <c r="BW68" s="541">
        <v>0.012172854534388315</v>
      </c>
      <c r="BX68" s="716"/>
      <c r="BY68" s="541">
        <v>0.012172854534388315</v>
      </c>
      <c r="BZ68" s="716"/>
      <c r="CA68" s="943">
        <v>0.3773584905660377</v>
      </c>
      <c r="CB68" s="253">
        <f>CB64/CB67</f>
        <v>1</v>
      </c>
      <c r="CC68" s="253">
        <f t="shared" si="167"/>
        <v>2.65</v>
      </c>
      <c r="CD68" s="427" t="str">
        <f>IFERROR(__xludf.DUMMYFUNCTION("IFERROR(SPARKLINE(CC68,{""charttype"",""bar"";""color1"",IF(CC68&gt;='Апрель'!green_percent,'Апрель'!green,IF(CC68&gt;='Апрель'!yellow_percent,'Апрель'!yellow,IF(CC68&gt;='Апрель'!orange_percent,'Апрель'!orange,'Апрель'!red)));""max"",1}))"),"")</f>
        <v/>
      </c>
      <c r="CE68" s="541">
        <v>0.012172854534388315</v>
      </c>
      <c r="CF68" s="710"/>
      <c r="CG68" s="541">
        <v>0.012172854534388315</v>
      </c>
      <c r="CH68" s="710"/>
      <c r="CI68" s="541">
        <v>0.012172854534388315</v>
      </c>
      <c r="CJ68" s="710"/>
      <c r="CK68" s="541">
        <v>0.012172854534388315</v>
      </c>
      <c r="CL68" s="710"/>
      <c r="CM68" s="256"/>
      <c r="CN68" s="710"/>
      <c r="CO68" s="924"/>
      <c r="CP68" s="244"/>
      <c r="CQ68" s="925"/>
      <c r="CR68" s="708"/>
      <c r="CS68" s="943">
        <v>0.3773584905660377</v>
      </c>
      <c r="CT68" s="253">
        <f>CT64/CT67</f>
        <v>1</v>
      </c>
      <c r="CU68" s="253">
        <f t="shared" si="168"/>
        <v>2.65</v>
      </c>
      <c r="CV68" s="427" t="str">
        <f>IFERROR(__xludf.DUMMYFUNCTION("IFERROR(SPARKLINE(CU68,{""charttype"",""bar"";""color1"",IF(CU68&gt;='Апрель'!green_percent,'Апрель'!green,IF(CU68&gt;='Апрель'!yellow_percent,'Апрель'!yellow,IF(CU68&gt;='Апрель'!orange_percent,'Апрель'!orange,'Апрель'!red)));""max"",1}))"),"")</f>
        <v/>
      </c>
      <c r="CW68" s="842"/>
      <c r="CX68" s="875"/>
      <c r="CY68" s="842"/>
      <c r="CZ68" s="875"/>
      <c r="DA68" s="875"/>
      <c r="DB68" s="875"/>
      <c r="DC68" s="875"/>
      <c r="DD68" s="875"/>
      <c r="DE68" s="875"/>
      <c r="DF68" s="875"/>
      <c r="DG68" s="875"/>
      <c r="DH68" s="875"/>
      <c r="DI68" s="875"/>
      <c r="DJ68" s="875"/>
      <c r="DK68" s="326"/>
      <c r="DL68" s="876"/>
      <c r="DM68" s="327"/>
      <c r="DN68" s="329"/>
      <c r="DO68" s="875"/>
      <c r="DP68" s="926"/>
    </row>
    <row r="69">
      <c r="A69" s="927"/>
      <c r="B69" s="934" t="s">
        <v>36</v>
      </c>
      <c r="C69" s="217"/>
      <c r="D69" s="217"/>
      <c r="E69" s="218"/>
      <c r="F69" s="270">
        <f t="shared" ref="F69:G69" si="186">F58/F67</f>
        <v>9575</v>
      </c>
      <c r="G69" s="270">
        <f t="shared" si="186"/>
        <v>72666.66667</v>
      </c>
      <c r="H69" s="543">
        <f t="shared" si="170"/>
        <v>7.589208007</v>
      </c>
      <c r="I69" s="462" t="str">
        <f>IFERROR(__xludf.DUMMYFUNCTION("IFERROR(SPARKLINE(H69,{""charttype"",""bar"";""color1"",IF(H69&gt;='Апрель'!green_percent,'Апрель'!green,IF(H69&gt;='Апрель'!yellow_percent,'Апрель'!yellow,IF(H69&gt;='Апрель'!orange_percent,'Апрель'!orange,'Апрель'!red)));""max"",1}))"),"")</f>
        <v/>
      </c>
      <c r="K69" s="914"/>
      <c r="L69" s="930"/>
      <c r="M69" s="914"/>
      <c r="N69" s="773"/>
      <c r="O69" s="284">
        <f>O58/O67</f>
        <v>9575</v>
      </c>
      <c r="P69" s="931"/>
      <c r="Q69" s="935">
        <f>Q58/Q67</f>
        <v>9575</v>
      </c>
      <c r="R69" s="776"/>
      <c r="S69" s="270">
        <f>S58/S67</f>
        <v>9575</v>
      </c>
      <c r="T69" s="776"/>
      <c r="U69" s="270">
        <f>U58/U67</f>
        <v>9575</v>
      </c>
      <c r="V69" s="776"/>
      <c r="W69" s="270">
        <f>W58/W67</f>
        <v>9575</v>
      </c>
      <c r="X69" s="463"/>
      <c r="Y69" s="565">
        <f t="shared" ref="Y69:Z69" si="187">Y58/Y67</f>
        <v>11873</v>
      </c>
      <c r="Z69" s="563" t="str">
        <f t="shared" si="187"/>
        <v>#DIV/0!</v>
      </c>
      <c r="AA69" s="220" t="str">
        <f t="shared" si="173"/>
        <v/>
      </c>
      <c r="AB69" s="449" t="str">
        <f>IFERROR(__xludf.DUMMYFUNCTION("IFERROR(SPARKLINE(AA69,{""charttype"",""bar"";""color1"",IF(AA69&gt;='Апрель'!green_percent,'Апрель'!green,IF(AA69&gt;='Апрель'!yellow_percent,'Апрель'!yellow,IF(AA69&gt;='Апрель'!orange_percent,'Апрель'!orange,'Апрель'!red)));""max"",1}))"),"")</f>
        <v/>
      </c>
      <c r="AC69" s="936">
        <v>9575.0</v>
      </c>
      <c r="AD69" s="824"/>
      <c r="AE69" s="936">
        <v>9575.0</v>
      </c>
      <c r="AF69" s="824"/>
      <c r="AG69" s="936">
        <v>9575.0</v>
      </c>
      <c r="AH69" s="824"/>
      <c r="AI69" s="936">
        <v>9575.0</v>
      </c>
      <c r="AJ69" s="824"/>
      <c r="AK69" s="936">
        <v>9575.0</v>
      </c>
      <c r="AL69" s="824"/>
      <c r="AM69" s="936">
        <v>9575.0</v>
      </c>
      <c r="AN69" s="825"/>
      <c r="AO69" s="936">
        <v>9575.0</v>
      </c>
      <c r="AP69" s="459"/>
      <c r="AQ69" s="565">
        <v>9575.0</v>
      </c>
      <c r="AR69" s="448">
        <v>0.0</v>
      </c>
      <c r="AS69" s="279">
        <f t="shared" si="174"/>
        <v>0</v>
      </c>
      <c r="AT69" s="462" t="str">
        <f>IFERROR(__xludf.DUMMYFUNCTION("IFERROR(SPARKLINE(AS69,{""charttype"",""bar"";""color1"",IF(AS69&gt;='Апрель'!green_percent,'Апрель'!green,IF(AS69&gt;='Апрель'!yellow_percent,'Апрель'!yellow,IF(AS69&gt;='Апрель'!orange_percent,'Апрель'!orange,'Апрель'!red)));""max"",1}))"),"")</f>
        <v/>
      </c>
      <c r="AU69" s="936">
        <v>9575.0</v>
      </c>
      <c r="AV69" s="463"/>
      <c r="AW69" s="936">
        <v>9575.0</v>
      </c>
      <c r="AX69" s="463"/>
      <c r="AY69" s="936">
        <v>9575.0</v>
      </c>
      <c r="AZ69" s="776"/>
      <c r="BA69" s="936">
        <v>9575.0</v>
      </c>
      <c r="BB69" s="776"/>
      <c r="BC69" s="936">
        <v>9575.0</v>
      </c>
      <c r="BD69" s="776"/>
      <c r="BE69" s="936">
        <v>9575.0</v>
      </c>
      <c r="BF69" s="776"/>
      <c r="BG69" s="936">
        <v>9575.0</v>
      </c>
      <c r="BH69" s="463"/>
      <c r="BI69" s="565">
        <v>9575.0</v>
      </c>
      <c r="BJ69" s="448">
        <f>BJ58/BJ67</f>
        <v>60000</v>
      </c>
      <c r="BK69" s="279">
        <f t="shared" si="166"/>
        <v>6.266318538</v>
      </c>
      <c r="BL69" s="462" t="str">
        <f>IFERROR(__xludf.DUMMYFUNCTION("IFERROR(SPARKLINE(BK69,{""charttype"",""bar"";""color1"",IF(BK69&gt;='Апрель'!green_percent,'Апрель'!green,IF(BK69&gt;='Апрель'!yellow_percent,'Апрель'!yellow,IF(BK69&gt;='Апрель'!orange_percent,'Апрель'!orange,'Апрель'!red)));""max"",1}))"),"")</f>
        <v/>
      </c>
      <c r="BM69" s="936">
        <v>9575.0</v>
      </c>
      <c r="BN69" s="466"/>
      <c r="BO69" s="936">
        <v>9575.0</v>
      </c>
      <c r="BP69" s="465"/>
      <c r="BQ69" s="936">
        <v>9575.0</v>
      </c>
      <c r="BR69" s="465"/>
      <c r="BS69" s="936">
        <v>9575.0</v>
      </c>
      <c r="BT69" s="465"/>
      <c r="BU69" s="936">
        <v>9575.0</v>
      </c>
      <c r="BV69" s="465"/>
      <c r="BW69" s="936">
        <v>9575.0</v>
      </c>
      <c r="BX69" s="465"/>
      <c r="BY69" s="936">
        <v>9575.0</v>
      </c>
      <c r="BZ69" s="465"/>
      <c r="CA69" s="565">
        <v>9575.0</v>
      </c>
      <c r="CB69" s="464">
        <f>CB58/CB67</f>
        <v>60000</v>
      </c>
      <c r="CC69" s="279">
        <f t="shared" si="167"/>
        <v>6.266318538</v>
      </c>
      <c r="CD69" s="462" t="str">
        <f>IFERROR(__xludf.DUMMYFUNCTION("IFERROR(SPARKLINE(CC69,{""charttype"",""bar"";""color1"",IF(CC69&gt;='Апрель'!green_percent,'Апрель'!green,IF(CC69&gt;='Апрель'!yellow_percent,'Апрель'!yellow,IF(CC69&gt;='Апрель'!orange_percent,'Апрель'!orange,'Апрель'!red)));""max"",1}))"),"")</f>
        <v/>
      </c>
      <c r="CE69" s="936">
        <v>9575.0</v>
      </c>
      <c r="CF69" s="466"/>
      <c r="CG69" s="936">
        <v>9575.0</v>
      </c>
      <c r="CH69" s="466"/>
      <c r="CI69" s="936">
        <v>9575.0</v>
      </c>
      <c r="CJ69" s="466"/>
      <c r="CK69" s="936">
        <v>9575.0</v>
      </c>
      <c r="CL69" s="466"/>
      <c r="CM69" s="256"/>
      <c r="CN69" s="466"/>
      <c r="CO69" s="924"/>
      <c r="CP69" s="448"/>
      <c r="CQ69" s="925"/>
      <c r="CR69" s="726"/>
      <c r="CS69" s="565">
        <v>9575.0</v>
      </c>
      <c r="CT69" s="464">
        <f>CT58/CT67</f>
        <v>0</v>
      </c>
      <c r="CU69" s="279">
        <f t="shared" si="168"/>
        <v>0</v>
      </c>
      <c r="CV69" s="462" t="str">
        <f>IFERROR(__xludf.DUMMYFUNCTION("IFERROR(SPARKLINE(CU69,{""charttype"",""bar"";""color1"",IF(CU69&gt;='Апрель'!green_percent,'Апрель'!green,IF(CU69&gt;='Апрель'!yellow_percent,'Апрель'!yellow,IF(CU69&gt;='Апрель'!orange_percent,'Апрель'!orange,'Апрель'!red)));""max"",1}))"),"")</f>
        <v/>
      </c>
      <c r="CW69" s="842"/>
      <c r="CX69" s="843"/>
      <c r="CY69" s="842"/>
      <c r="CZ69" s="843"/>
      <c r="DA69" s="843"/>
      <c r="DB69" s="843"/>
      <c r="DC69" s="843"/>
      <c r="DD69" s="843"/>
      <c r="DE69" s="843"/>
      <c r="DF69" s="843"/>
      <c r="DG69" s="843"/>
      <c r="DH69" s="843"/>
      <c r="DI69" s="843"/>
      <c r="DJ69" s="843"/>
      <c r="DK69" s="289"/>
      <c r="DL69" s="844"/>
      <c r="DM69" s="310"/>
      <c r="DN69" s="339"/>
      <c r="DO69" s="843"/>
      <c r="DP69" s="933"/>
    </row>
    <row r="70">
      <c r="A70" s="912"/>
      <c r="B70" s="944" t="s">
        <v>37</v>
      </c>
      <c r="C70" s="242"/>
      <c r="D70" s="242"/>
      <c r="E70" s="243"/>
      <c r="F70" s="244">
        <v>18.0</v>
      </c>
      <c r="G70" s="244">
        <f>Z70+AR70+BJ70+CB70+CT70</f>
        <v>3</v>
      </c>
      <c r="H70" s="704">
        <f t="shared" si="170"/>
        <v>0.1666666667</v>
      </c>
      <c r="I70" s="427" t="str">
        <f>IFERROR(__xludf.DUMMYFUNCTION("IFERROR(SPARKLINE(H70,{""charttype"",""bar"";""color1"",IF(H70&gt;='Апрель'!green_percent,'Апрель'!green,IF(H70&gt;='Апрель'!yellow_percent,'Апрель'!yellow,IF(H70&gt;='Апрель'!orange_percent,'Апрель'!orange,'Апрель'!red)));""max"",1}))"),"")</f>
        <v/>
      </c>
      <c r="K70" s="945"/>
      <c r="L70" s="930"/>
      <c r="M70" s="946"/>
      <c r="N70" s="773"/>
      <c r="O70" s="946">
        <v>1.0</v>
      </c>
      <c r="P70" s="931"/>
      <c r="Q70" s="946">
        <v>1.0</v>
      </c>
      <c r="R70" s="776"/>
      <c r="S70" s="946">
        <v>1.0</v>
      </c>
      <c r="T70" s="776"/>
      <c r="U70" s="946">
        <v>1.0</v>
      </c>
      <c r="V70" s="776"/>
      <c r="W70" s="947">
        <v>1.0</v>
      </c>
      <c r="X70" s="822"/>
      <c r="Y70" s="255">
        <f>O70+Q70+S70+U70+W70</f>
        <v>5</v>
      </c>
      <c r="Z70" s="244">
        <v>0.0</v>
      </c>
      <c r="AA70" s="412">
        <f t="shared" si="173"/>
        <v>0</v>
      </c>
      <c r="AB70" s="413" t="str">
        <f>IFERROR(__xludf.DUMMYFUNCTION("IFERROR(SPARKLINE(AA70,{""charttype"",""bar"";""color1"",IF(AA70&gt;='Апрель'!green_percent,'Апрель'!green,IF(AA70&gt;='Апрель'!yellow_percent,'Апрель'!yellow,IF(AA70&gt;='Апрель'!orange_percent,'Апрель'!orange,'Апрель'!red)));""max"",1}))"),"")</f>
        <v/>
      </c>
      <c r="AC70" s="921">
        <v>1.0</v>
      </c>
      <c r="AD70" s="824"/>
      <c r="AE70" s="921">
        <v>1.0</v>
      </c>
      <c r="AF70" s="824"/>
      <c r="AG70" s="921">
        <v>1.0</v>
      </c>
      <c r="AH70" s="824"/>
      <c r="AI70" s="921">
        <v>1.0</v>
      </c>
      <c r="AJ70" s="824"/>
      <c r="AK70" s="921">
        <v>1.0</v>
      </c>
      <c r="AL70" s="824"/>
      <c r="AM70" s="921">
        <v>1.0</v>
      </c>
      <c r="AN70" s="825"/>
      <c r="AO70" s="921">
        <v>1.0</v>
      </c>
      <c r="AP70" s="459"/>
      <c r="AQ70" s="255">
        <v>5.0</v>
      </c>
      <c r="AR70" s="244">
        <v>0.0</v>
      </c>
      <c r="AS70" s="253">
        <f t="shared" si="174"/>
        <v>0</v>
      </c>
      <c r="AT70" s="427" t="str">
        <f>IFERROR(__xludf.DUMMYFUNCTION("IFERROR(SPARKLINE(AS70,{""charttype"",""bar"";""color1"",IF(AS70&gt;='Апрель'!green_percent,'Апрель'!green,IF(AS70&gt;='Апрель'!yellow_percent,'Апрель'!yellow,IF(AS70&gt;='Апрель'!orange_percent,'Апрель'!orange,'Апрель'!red)));""max"",1}))"),"")</f>
        <v/>
      </c>
      <c r="AU70" s="711">
        <v>1.0</v>
      </c>
      <c r="AV70" s="822">
        <v>1.0</v>
      </c>
      <c r="AW70" s="921">
        <v>1.0</v>
      </c>
      <c r="AX70" s="822"/>
      <c r="AY70" s="921">
        <v>1.0</v>
      </c>
      <c r="AZ70" s="776"/>
      <c r="BA70" s="921">
        <v>1.0</v>
      </c>
      <c r="BB70" s="776"/>
      <c r="BC70" s="921">
        <v>1.0</v>
      </c>
      <c r="BD70" s="776"/>
      <c r="BE70" s="921">
        <v>1.0</v>
      </c>
      <c r="BF70" s="776"/>
      <c r="BG70" s="921">
        <v>1.0</v>
      </c>
      <c r="BH70" s="822"/>
      <c r="BI70" s="255">
        <v>5.0</v>
      </c>
      <c r="BJ70" s="244">
        <f>AV70+AX70+AZ70+BB70+BD70+BF70+BH70</f>
        <v>1</v>
      </c>
      <c r="BK70" s="253">
        <f t="shared" si="166"/>
        <v>0.2</v>
      </c>
      <c r="BL70" s="427" t="str">
        <f>IFERROR(__xludf.DUMMYFUNCTION("IFERROR(SPARKLINE(BK70,{""charttype"",""bar"";""color1"",IF(BK70&gt;='Апрель'!green_percent,'Апрель'!green,IF(BK70&gt;='Апрель'!yellow_percent,'Апрель'!yellow,IF(BK70&gt;='Апрель'!orange_percent,'Апрель'!orange,'Апрель'!red)));""max"",1}))"),"")</f>
        <v/>
      </c>
      <c r="BM70" s="921">
        <v>1.0</v>
      </c>
      <c r="BN70" s="710"/>
      <c r="BO70" s="921">
        <v>1.0</v>
      </c>
      <c r="BP70" s="465"/>
      <c r="BQ70" s="921">
        <v>1.0</v>
      </c>
      <c r="BR70" s="716">
        <v>1.0</v>
      </c>
      <c r="BS70" s="921">
        <v>1.0</v>
      </c>
      <c r="BT70" s="716"/>
      <c r="BU70" s="921">
        <v>1.0</v>
      </c>
      <c r="BV70" s="716"/>
      <c r="BW70" s="921">
        <v>1.0</v>
      </c>
      <c r="BX70" s="716"/>
      <c r="BY70" s="921">
        <v>1.0</v>
      </c>
      <c r="BZ70" s="716"/>
      <c r="CA70" s="255">
        <v>5.0</v>
      </c>
      <c r="CB70" s="244">
        <v>1.0</v>
      </c>
      <c r="CC70" s="253">
        <f t="shared" si="167"/>
        <v>0.2</v>
      </c>
      <c r="CD70" s="427" t="str">
        <f>IFERROR(__xludf.DUMMYFUNCTION("IFERROR(SPARKLINE(CC70,{""charttype"",""bar"";""color1"",IF(CC70&gt;='Апрель'!green_percent,'Апрель'!green,IF(CC70&gt;='Апрель'!yellow_percent,'Апрель'!yellow,IF(CC70&gt;='Апрель'!orange_percent,'Апрель'!orange,'Апрель'!red)));""max"",1}))"),"")</f>
        <v/>
      </c>
      <c r="CE70" s="921">
        <v>1.0</v>
      </c>
      <c r="CF70" s="710"/>
      <c r="CG70" s="921">
        <v>1.0</v>
      </c>
      <c r="CH70" s="710"/>
      <c r="CI70" s="921">
        <v>1.0</v>
      </c>
      <c r="CJ70" s="710"/>
      <c r="CK70" s="921">
        <v>1.0</v>
      </c>
      <c r="CL70" s="710"/>
      <c r="CM70" s="256"/>
      <c r="CN70" s="710"/>
      <c r="CO70" s="924"/>
      <c r="CP70" s="244"/>
      <c r="CQ70" s="925"/>
      <c r="CR70" s="708"/>
      <c r="CS70" s="255">
        <v>5.0</v>
      </c>
      <c r="CT70" s="244">
        <v>1.0</v>
      </c>
      <c r="CU70" s="253">
        <f t="shared" si="168"/>
        <v>0.2</v>
      </c>
      <c r="CV70" s="427" t="str">
        <f>IFERROR(__xludf.DUMMYFUNCTION("IFERROR(SPARKLINE(CU70,{""charttype"",""bar"";""color1"",IF(CU70&gt;='Апрель'!green_percent,'Апрель'!green,IF(CU70&gt;='Апрель'!yellow_percent,'Апрель'!yellow,IF(CU70&gt;='Апрель'!orange_percent,'Апрель'!orange,'Апрель'!red)));""max"",1}))"),"")</f>
        <v/>
      </c>
      <c r="CW70" s="842"/>
      <c r="CX70" s="875"/>
      <c r="CY70" s="842"/>
      <c r="CZ70" s="875"/>
      <c r="DA70" s="875"/>
      <c r="DB70" s="875"/>
      <c r="DC70" s="875"/>
      <c r="DD70" s="875"/>
      <c r="DE70" s="875"/>
      <c r="DF70" s="875"/>
      <c r="DG70" s="875"/>
      <c r="DH70" s="875"/>
      <c r="DI70" s="875"/>
      <c r="DJ70" s="875"/>
      <c r="DK70" s="326"/>
      <c r="DL70" s="876"/>
      <c r="DM70" s="327"/>
      <c r="DN70" s="329"/>
      <c r="DO70" s="875"/>
      <c r="DP70" s="926"/>
    </row>
    <row r="71">
      <c r="A71" s="927"/>
      <c r="B71" s="948" t="s">
        <v>38</v>
      </c>
      <c r="C71" s="217"/>
      <c r="D71" s="217"/>
      <c r="E71" s="218"/>
      <c r="F71" s="220">
        <f t="shared" ref="F71:G71" si="188">F70/F67</f>
        <v>0.9</v>
      </c>
      <c r="G71" s="220">
        <f t="shared" si="188"/>
        <v>1</v>
      </c>
      <c r="H71" s="543">
        <f t="shared" si="170"/>
        <v>1.111111111</v>
      </c>
      <c r="I71" s="462" t="str">
        <f>IFERROR(__xludf.DUMMYFUNCTION("IFERROR(SPARKLINE(H71,{""charttype"",""bar"";""color1"",IF(H71&gt;='Апрель'!green_percent,'Апрель'!green,IF(H71&gt;='Апрель'!yellow_percent,'Апрель'!yellow,IF(H71&gt;='Апрель'!orange_percent,'Апрель'!orange,'Апрель'!red)));""max"",1}))"),"")</f>
        <v/>
      </c>
      <c r="K71" s="941"/>
      <c r="L71" s="930"/>
      <c r="M71" s="941"/>
      <c r="N71" s="773"/>
      <c r="O71" s="941" t="str">
        <f>K71</f>
        <v/>
      </c>
      <c r="P71" s="931"/>
      <c r="Q71" s="941" t="str">
        <f>K71</f>
        <v/>
      </c>
      <c r="R71" s="776"/>
      <c r="S71" s="941">
        <v>1.55</v>
      </c>
      <c r="T71" s="755"/>
      <c r="U71" s="941">
        <v>1.55</v>
      </c>
      <c r="V71" s="755"/>
      <c r="W71" s="942">
        <v>1.55</v>
      </c>
      <c r="X71" s="463"/>
      <c r="Y71" s="949">
        <f t="shared" ref="Y71:Z71" si="189">Y70/Y67</f>
        <v>1.55</v>
      </c>
      <c r="Z71" s="220" t="str">
        <f t="shared" si="189"/>
        <v>#DIV/0!</v>
      </c>
      <c r="AA71" s="220" t="str">
        <f t="shared" si="173"/>
        <v/>
      </c>
      <c r="AB71" s="449" t="str">
        <f>IFERROR(__xludf.DUMMYFUNCTION("IFERROR(SPARKLINE(AA71,{""charttype"",""bar"";""color1"",IF(AA71&gt;='Апрель'!green_percent,'Апрель'!green,IF(AA71&gt;='Апрель'!yellow_percent,'Апрель'!yellow,IF(AA71&gt;='Апрель'!orange_percent,'Апрель'!orange,'Апрель'!red)));""max"",1}))"),"")</f>
        <v/>
      </c>
      <c r="AC71" s="942"/>
      <c r="AD71" s="824"/>
      <c r="AE71" s="942"/>
      <c r="AF71" s="824"/>
      <c r="AG71" s="942"/>
      <c r="AH71" s="824"/>
      <c r="AI71" s="942"/>
      <c r="AJ71" s="824"/>
      <c r="AK71" s="942"/>
      <c r="AL71" s="824"/>
      <c r="AM71" s="942"/>
      <c r="AN71" s="825"/>
      <c r="AO71" s="942"/>
      <c r="AP71" s="459"/>
      <c r="AQ71" s="949">
        <v>1.55</v>
      </c>
      <c r="AR71" s="448">
        <v>0.0</v>
      </c>
      <c r="AS71" s="279">
        <f t="shared" si="174"/>
        <v>0</v>
      </c>
      <c r="AT71" s="462" t="str">
        <f>IFERROR(__xludf.DUMMYFUNCTION("IFERROR(SPARKLINE(AS71,{""charttype"",""bar"";""color1"",IF(AS71&gt;='Апрель'!green_percent,'Апрель'!green,IF(AS71&gt;='Апрель'!yellow_percent,'Апрель'!yellow,IF(AS71&gt;='Апрель'!orange_percent,'Апрель'!orange,'Апрель'!red)));""max"",1}))"),"")</f>
        <v/>
      </c>
      <c r="AU71" s="942"/>
      <c r="AV71" s="539">
        <f>AV70/AV67</f>
        <v>1</v>
      </c>
      <c r="AW71" s="942"/>
      <c r="AX71" s="463"/>
      <c r="AY71" s="942"/>
      <c r="AZ71" s="776"/>
      <c r="BA71" s="942"/>
      <c r="BB71" s="776"/>
      <c r="BC71" s="942"/>
      <c r="BD71" s="776"/>
      <c r="BE71" s="942"/>
      <c r="BF71" s="776"/>
      <c r="BG71" s="942"/>
      <c r="BH71" s="463"/>
      <c r="BI71" s="949">
        <v>1.55</v>
      </c>
      <c r="BJ71" s="220">
        <f>BJ70/BJ67</f>
        <v>1</v>
      </c>
      <c r="BK71" s="279">
        <f t="shared" si="166"/>
        <v>0.6451612903</v>
      </c>
      <c r="BL71" s="462" t="str">
        <f>IFERROR(__xludf.DUMMYFUNCTION("IFERROR(SPARKLINE(BK71,{""charttype"",""bar"";""color1"",IF(BK71&gt;='Апрель'!green_percent,'Апрель'!green,IF(BK71&gt;='Апрель'!yellow_percent,'Апрель'!yellow,IF(BK71&gt;='Апрель'!orange_percent,'Апрель'!orange,'Апрель'!red)));""max"",1}))"),"")</f>
        <v/>
      </c>
      <c r="BM71" s="942"/>
      <c r="BN71" s="466"/>
      <c r="BO71" s="942"/>
      <c r="BP71" s="465"/>
      <c r="BQ71" s="942"/>
      <c r="BR71" s="532">
        <f>BR70/BR67</f>
        <v>1</v>
      </c>
      <c r="BS71" s="942"/>
      <c r="BT71" s="465"/>
      <c r="BU71" s="942"/>
      <c r="BV71" s="465"/>
      <c r="BW71" s="942"/>
      <c r="BX71" s="465"/>
      <c r="BY71" s="942"/>
      <c r="BZ71" s="465"/>
      <c r="CA71" s="949">
        <v>1.55</v>
      </c>
      <c r="CB71" s="279">
        <f>CB67/CB70</f>
        <v>1</v>
      </c>
      <c r="CC71" s="279">
        <f t="shared" si="167"/>
        <v>0.6451612903</v>
      </c>
      <c r="CD71" s="462" t="str">
        <f>IFERROR(__xludf.DUMMYFUNCTION("IFERROR(SPARKLINE(CC71,{""charttype"",""bar"";""color1"",IF(CC71&gt;='Апрель'!green_percent,'Апрель'!green,IF(CC71&gt;='Апрель'!yellow_percent,'Апрель'!yellow,IF(CC71&gt;='Апрель'!orange_percent,'Апрель'!orange,'Апрель'!red)));""max"",1}))"),"")</f>
        <v/>
      </c>
      <c r="CE71" s="942"/>
      <c r="CF71" s="466"/>
      <c r="CG71" s="942"/>
      <c r="CH71" s="466"/>
      <c r="CI71" s="942"/>
      <c r="CJ71" s="466"/>
      <c r="CK71" s="942"/>
      <c r="CL71" s="466"/>
      <c r="CM71" s="256"/>
      <c r="CN71" s="466"/>
      <c r="CO71" s="924"/>
      <c r="CP71" s="448"/>
      <c r="CQ71" s="925"/>
      <c r="CR71" s="726"/>
      <c r="CS71" s="949">
        <v>1.55</v>
      </c>
      <c r="CT71" s="279">
        <f>CT67/CT70</f>
        <v>1</v>
      </c>
      <c r="CU71" s="279">
        <f t="shared" si="168"/>
        <v>0.6451612903</v>
      </c>
      <c r="CV71" s="462" t="str">
        <f>IFERROR(__xludf.DUMMYFUNCTION("IFERROR(SPARKLINE(CU71,{""charttype"",""bar"";""color1"",IF(CU71&gt;='Апрель'!green_percent,'Апрель'!green,IF(CU71&gt;='Апрель'!yellow_percent,'Апрель'!yellow,IF(CU71&gt;='Апрель'!orange_percent,'Апрель'!orange,'Апрель'!red)));""max"",1}))"),"")</f>
        <v/>
      </c>
      <c r="CW71" s="842"/>
      <c r="CX71" s="843"/>
      <c r="CY71" s="842"/>
      <c r="CZ71" s="843"/>
      <c r="DA71" s="843"/>
      <c r="DB71" s="843"/>
      <c r="DC71" s="843"/>
      <c r="DD71" s="843"/>
      <c r="DE71" s="843"/>
      <c r="DF71" s="843"/>
      <c r="DG71" s="843"/>
      <c r="DH71" s="843"/>
      <c r="DI71" s="843"/>
      <c r="DJ71" s="843"/>
      <c r="DK71" s="289"/>
      <c r="DL71" s="844"/>
      <c r="DM71" s="310"/>
      <c r="DN71" s="339"/>
      <c r="DO71" s="843"/>
      <c r="DP71" s="933"/>
    </row>
    <row r="72">
      <c r="A72" s="912"/>
      <c r="B72" s="937" t="s">
        <v>26</v>
      </c>
      <c r="C72" s="242"/>
      <c r="D72" s="242"/>
      <c r="E72" s="243"/>
      <c r="F72" s="244">
        <v>4.0</v>
      </c>
      <c r="G72" s="244">
        <f>Z72+AR72+BJ72+CB72+CT72</f>
        <v>0</v>
      </c>
      <c r="H72" s="704">
        <f t="shared" si="170"/>
        <v>0</v>
      </c>
      <c r="I72" s="427" t="str">
        <f>IFERROR(__xludf.DUMMYFUNCTION("IFERROR(SPARKLINE(H72,{""charttype"",""bar"";""color1"",IF(H72&gt;='Апрель'!green_percent,'Апрель'!green,IF(H72&gt;='Апрель'!yellow_percent,'Апрель'!yellow,IF(H72&gt;='Апрель'!orange_percent,'Апрель'!orange,'Апрель'!red)));""max"",1}))"),"")</f>
        <v/>
      </c>
      <c r="K72" s="929"/>
      <c r="L72" s="773">
        <v>0.0</v>
      </c>
      <c r="M72" s="929"/>
      <c r="N72" s="773">
        <v>0.0</v>
      </c>
      <c r="O72" s="929">
        <f t="shared" ref="O72:O74" si="190">F72/31</f>
        <v>0.1290322581</v>
      </c>
      <c r="P72" s="776">
        <v>0.0</v>
      </c>
      <c r="Q72" s="929">
        <f t="shared" ref="Q72:Q74" si="191">F72/31</f>
        <v>0.1290322581</v>
      </c>
      <c r="R72" s="776">
        <v>0.0</v>
      </c>
      <c r="S72" s="929">
        <v>0.12903225806451613</v>
      </c>
      <c r="T72" s="776"/>
      <c r="U72" s="929">
        <v>0.12903225806451613</v>
      </c>
      <c r="V72" s="776">
        <v>0.0</v>
      </c>
      <c r="W72" s="256">
        <v>0.12903225806451613</v>
      </c>
      <c r="X72" s="822">
        <v>0.0</v>
      </c>
      <c r="Y72" s="255">
        <f t="shared" ref="Y72:Y73" si="192">O72+Q72+S72+U72+W72</f>
        <v>0.6451612903</v>
      </c>
      <c r="Z72" s="244">
        <v>0.0</v>
      </c>
      <c r="AA72" s="412">
        <f t="shared" si="173"/>
        <v>0</v>
      </c>
      <c r="AB72" s="413" t="str">
        <f>IFERROR(__xludf.DUMMYFUNCTION("IFERROR(SPARKLINE(AA72,{""charttype"",""bar"";""color1"",IF(AA72&gt;='Апрель'!green_percent,'Апрель'!green,IF(AA72&gt;='Апрель'!yellow_percent,'Апрель'!yellow,IF(AA72&gt;='Апрель'!orange_percent,'Апрель'!orange,'Апрель'!red)));""max"",1}))"),"")</f>
        <v/>
      </c>
      <c r="AC72" s="711">
        <v>0.12903225806451613</v>
      </c>
      <c r="AD72" s="824"/>
      <c r="AE72" s="711">
        <v>0.12903225806451613</v>
      </c>
      <c r="AF72" s="824"/>
      <c r="AG72" s="711">
        <v>0.12903225806451613</v>
      </c>
      <c r="AH72" s="824"/>
      <c r="AI72" s="711">
        <v>0.12903225806451613</v>
      </c>
      <c r="AJ72" s="824"/>
      <c r="AK72" s="711">
        <v>0.12903225806451613</v>
      </c>
      <c r="AL72" s="824"/>
      <c r="AM72" s="711">
        <v>0.12903225806451613</v>
      </c>
      <c r="AN72" s="825"/>
      <c r="AO72" s="711">
        <v>0.12903225806451613</v>
      </c>
      <c r="AP72" s="459"/>
      <c r="AQ72" s="255">
        <v>0.6451612903225806</v>
      </c>
      <c r="AR72" s="244">
        <v>0.0</v>
      </c>
      <c r="AS72" s="253"/>
      <c r="AT72" s="427"/>
      <c r="AU72" s="711">
        <v>0.12903225806451613</v>
      </c>
      <c r="AV72" s="822">
        <v>0.0</v>
      </c>
      <c r="AW72" s="711">
        <v>0.12903225806451613</v>
      </c>
      <c r="AX72" s="822"/>
      <c r="AY72" s="711">
        <v>0.12903225806451613</v>
      </c>
      <c r="AZ72" s="776"/>
      <c r="BA72" s="711">
        <v>0.12903225806451613</v>
      </c>
      <c r="BB72" s="776"/>
      <c r="BC72" s="711">
        <v>0.12903225806451613</v>
      </c>
      <c r="BD72" s="776"/>
      <c r="BE72" s="711">
        <v>0.12903225806451613</v>
      </c>
      <c r="BF72" s="776"/>
      <c r="BG72" s="711">
        <v>0.12903225806451613</v>
      </c>
      <c r="BH72" s="822"/>
      <c r="BI72" s="255">
        <v>0.6451612903225806</v>
      </c>
      <c r="BJ72" s="244">
        <f t="shared" ref="BJ72:BJ73" si="193">AV72+AX72+AZ72+BB72+BD72+BF72+BH72</f>
        <v>0</v>
      </c>
      <c r="BK72" s="253">
        <f t="shared" si="166"/>
        <v>0</v>
      </c>
      <c r="BL72" s="427" t="str">
        <f>IFERROR(__xludf.DUMMYFUNCTION("IFERROR(SPARKLINE(BK72,{""charttype"",""bar"";""color1"",IF(BK72&gt;='Апрель'!green_percent,'Апрель'!green,IF(BK72&gt;='Апрель'!yellow_percent,'Апрель'!yellow,IF(BK72&gt;='Апрель'!orange_percent,'Апрель'!orange,'Апрель'!red)));""max"",1}))"),"")</f>
        <v/>
      </c>
      <c r="BM72" s="711">
        <v>0.12903225806451613</v>
      </c>
      <c r="BN72" s="710"/>
      <c r="BO72" s="711">
        <v>0.12903225806451613</v>
      </c>
      <c r="BP72" s="465"/>
      <c r="BQ72" s="711">
        <v>0.12903225806451613</v>
      </c>
      <c r="BR72" s="716">
        <v>0.0</v>
      </c>
      <c r="BS72" s="711">
        <v>0.12903225806451613</v>
      </c>
      <c r="BT72" s="716"/>
      <c r="BU72" s="711">
        <v>0.12903225806451613</v>
      </c>
      <c r="BV72" s="716"/>
      <c r="BW72" s="711">
        <v>0.12903225806451613</v>
      </c>
      <c r="BX72" s="716"/>
      <c r="BY72" s="711">
        <v>0.12903225806451613</v>
      </c>
      <c r="BZ72" s="716"/>
      <c r="CA72" s="255">
        <v>0.6451612903225806</v>
      </c>
      <c r="CB72" s="244">
        <v>0.0</v>
      </c>
      <c r="CC72" s="253">
        <f t="shared" si="167"/>
        <v>0</v>
      </c>
      <c r="CD72" s="427" t="str">
        <f>IFERROR(__xludf.DUMMYFUNCTION("IFERROR(SPARKLINE(CC72,{""charttype"",""bar"";""color1"",IF(CC72&gt;='Апрель'!green_percent,'Апрель'!green,IF(CC72&gt;='Апрель'!yellow_percent,'Апрель'!yellow,IF(CC72&gt;='Апрель'!orange_percent,'Апрель'!orange,'Апрель'!red)));""max"",1}))"),"")</f>
        <v/>
      </c>
      <c r="CE72" s="711">
        <v>0.12903225806451613</v>
      </c>
      <c r="CF72" s="710"/>
      <c r="CG72" s="711">
        <v>0.12903225806451613</v>
      </c>
      <c r="CH72" s="710"/>
      <c r="CI72" s="711">
        <v>0.12903225806451613</v>
      </c>
      <c r="CJ72" s="710"/>
      <c r="CK72" s="711">
        <v>0.12903225806451613</v>
      </c>
      <c r="CL72" s="710"/>
      <c r="CM72" s="256"/>
      <c r="CN72" s="710"/>
      <c r="CO72" s="924"/>
      <c r="CP72" s="244"/>
      <c r="CQ72" s="925"/>
      <c r="CR72" s="708"/>
      <c r="CS72" s="255">
        <v>0.6451612903225806</v>
      </c>
      <c r="CT72" s="244">
        <v>0.0</v>
      </c>
      <c r="CU72" s="253">
        <f t="shared" si="168"/>
        <v>0</v>
      </c>
      <c r="CV72" s="427" t="str">
        <f>IFERROR(__xludf.DUMMYFUNCTION("IFERROR(SPARKLINE(CU72,{""charttype"",""bar"";""color1"",IF(CU72&gt;='Апрель'!green_percent,'Апрель'!green,IF(CU72&gt;='Апрель'!yellow_percent,'Апрель'!yellow,IF(CU72&gt;='Апрель'!orange_percent,'Апрель'!orange,'Апрель'!red)));""max"",1}))"),"")</f>
        <v/>
      </c>
      <c r="CW72" s="842"/>
      <c r="CX72" s="875"/>
      <c r="CY72" s="842"/>
      <c r="CZ72" s="875"/>
      <c r="DA72" s="875"/>
      <c r="DB72" s="875"/>
      <c r="DC72" s="875"/>
      <c r="DD72" s="875"/>
      <c r="DE72" s="875"/>
      <c r="DF72" s="875"/>
      <c r="DG72" s="875"/>
      <c r="DH72" s="875"/>
      <c r="DI72" s="875"/>
      <c r="DJ72" s="875"/>
      <c r="DK72" s="326"/>
      <c r="DL72" s="876"/>
      <c r="DM72" s="327"/>
      <c r="DN72" s="329"/>
      <c r="DO72" s="875"/>
      <c r="DP72" s="926"/>
    </row>
    <row r="73">
      <c r="A73" s="927"/>
      <c r="B73" s="934" t="s">
        <v>39</v>
      </c>
      <c r="C73" s="217"/>
      <c r="D73" s="217"/>
      <c r="E73" s="218"/>
      <c r="F73" s="950">
        <v>600000.0</v>
      </c>
      <c r="G73" s="495">
        <f>Z73+BJ73+AR73+CB73+CT73</f>
        <v>0</v>
      </c>
      <c r="H73" s="543">
        <f t="shared" si="170"/>
        <v>0</v>
      </c>
      <c r="I73" s="462" t="str">
        <f>IFERROR(__xludf.DUMMYFUNCTION("IFERROR(SPARKLINE(H73,{""charttype"",""bar"";""color1"",IF(H73&gt;='Апрель'!green_percent,'Апрель'!green,IF(H73&gt;='Апрель'!yellow_percent,'Апрель'!yellow,IF(H73&gt;='Апрель'!orange_percent,'Апрель'!orange,'Апрель'!red)));""max"",1}))"),"")</f>
        <v/>
      </c>
      <c r="K73" s="914"/>
      <c r="L73" s="930"/>
      <c r="M73" s="914"/>
      <c r="N73" s="773"/>
      <c r="O73" s="914">
        <f t="shared" si="190"/>
        <v>19354.83871</v>
      </c>
      <c r="P73" s="931"/>
      <c r="Q73" s="914">
        <f t="shared" si="191"/>
        <v>19354.83871</v>
      </c>
      <c r="R73" s="776"/>
      <c r="S73" s="914">
        <v>19354.83870967742</v>
      </c>
      <c r="T73" s="776"/>
      <c r="U73" s="914">
        <v>19354.83870967742</v>
      </c>
      <c r="V73" s="776"/>
      <c r="W73" s="919">
        <v>19354.83870967742</v>
      </c>
      <c r="X73" s="463"/>
      <c r="Y73" s="565">
        <f t="shared" si="192"/>
        <v>96774.19355</v>
      </c>
      <c r="Z73" s="448">
        <v>0.0</v>
      </c>
      <c r="AA73" s="220">
        <f t="shared" si="173"/>
        <v>0</v>
      </c>
      <c r="AB73" s="449" t="str">
        <f>IFERROR(__xludf.DUMMYFUNCTION("IFERROR(SPARKLINE(AA73,{""charttype"",""bar"";""color1"",IF(AA73&gt;='Апрель'!green_percent,'Апрель'!green,IF(AA73&gt;='Апрель'!yellow_percent,'Апрель'!yellow,IF(AA73&gt;='Апрель'!orange_percent,'Апрель'!orange,'Апрель'!red)));""max"",1}))"),"")</f>
        <v/>
      </c>
      <c r="AC73" s="919">
        <v>19354.83870967742</v>
      </c>
      <c r="AD73" s="824"/>
      <c r="AE73" s="919">
        <v>19354.83870967742</v>
      </c>
      <c r="AF73" s="824"/>
      <c r="AG73" s="919">
        <v>19354.83870967742</v>
      </c>
      <c r="AH73" s="824"/>
      <c r="AI73" s="919">
        <v>19354.83870967742</v>
      </c>
      <c r="AJ73" s="824"/>
      <c r="AK73" s="919">
        <v>19354.83870967742</v>
      </c>
      <c r="AL73" s="824"/>
      <c r="AM73" s="919">
        <v>19354.83870967742</v>
      </c>
      <c r="AN73" s="825"/>
      <c r="AO73" s="919">
        <v>19354.83870967742</v>
      </c>
      <c r="AP73" s="459"/>
      <c r="AQ73" s="565">
        <v>96774.1935483871</v>
      </c>
      <c r="AR73" s="448">
        <v>0.0</v>
      </c>
      <c r="AS73" s="279"/>
      <c r="AT73" s="462"/>
      <c r="AU73" s="919">
        <v>19354.83870967742</v>
      </c>
      <c r="AV73" s="763">
        <v>0.0</v>
      </c>
      <c r="AW73" s="919">
        <v>19354.83870967742</v>
      </c>
      <c r="AX73" s="463"/>
      <c r="AY73" s="919">
        <v>19354.83870967742</v>
      </c>
      <c r="AZ73" s="776"/>
      <c r="BA73" s="919">
        <v>19354.83870967742</v>
      </c>
      <c r="BB73" s="776"/>
      <c r="BC73" s="919">
        <v>19354.83870967742</v>
      </c>
      <c r="BD73" s="776"/>
      <c r="BE73" s="919">
        <v>19354.83870967742</v>
      </c>
      <c r="BF73" s="776"/>
      <c r="BG73" s="919">
        <v>19354.83870967742</v>
      </c>
      <c r="BH73" s="463"/>
      <c r="BI73" s="565">
        <v>96774.1935483871</v>
      </c>
      <c r="BJ73" s="495">
        <f t="shared" si="193"/>
        <v>0</v>
      </c>
      <c r="BK73" s="279">
        <f t="shared" si="166"/>
        <v>0</v>
      </c>
      <c r="BL73" s="462" t="str">
        <f>IFERROR(__xludf.DUMMYFUNCTION("IFERROR(SPARKLINE(BK73,{""charttype"",""bar"";""color1"",IF(BK73&gt;='Апрель'!green_percent,'Апрель'!green,IF(BK73&gt;='Апрель'!yellow_percent,'Апрель'!yellow,IF(BK73&gt;='Апрель'!orange_percent,'Апрель'!orange,'Апрель'!red)));""max"",1}))"),"")</f>
        <v/>
      </c>
      <c r="BM73" s="919">
        <v>19354.83870967742</v>
      </c>
      <c r="BN73" s="466"/>
      <c r="BO73" s="919">
        <v>19354.83870967742</v>
      </c>
      <c r="BP73" s="465"/>
      <c r="BQ73" s="919">
        <v>19354.83870967742</v>
      </c>
      <c r="BR73" s="465"/>
      <c r="BS73" s="919">
        <v>19354.83870967742</v>
      </c>
      <c r="BT73" s="465"/>
      <c r="BU73" s="919">
        <v>19354.83870967742</v>
      </c>
      <c r="BV73" s="465"/>
      <c r="BW73" s="919">
        <v>19354.83870967742</v>
      </c>
      <c r="BX73" s="465"/>
      <c r="BY73" s="919">
        <v>19354.83870967742</v>
      </c>
      <c r="BZ73" s="465"/>
      <c r="CA73" s="565">
        <v>96774.1935483871</v>
      </c>
      <c r="CB73" s="448">
        <v>0.0</v>
      </c>
      <c r="CC73" s="279">
        <f t="shared" si="167"/>
        <v>0</v>
      </c>
      <c r="CD73" s="462" t="str">
        <f>IFERROR(__xludf.DUMMYFUNCTION("IFERROR(SPARKLINE(CC73,{""charttype"",""bar"";""color1"",IF(CC73&gt;='Апрель'!green_percent,'Апрель'!green,IF(CC73&gt;='Апрель'!yellow_percent,'Апрель'!yellow,IF(CC73&gt;='Апрель'!orange_percent,'Апрель'!orange,'Апрель'!red)));""max"",1}))"),"")</f>
        <v/>
      </c>
      <c r="CE73" s="919">
        <v>19354.83870967742</v>
      </c>
      <c r="CF73" s="466"/>
      <c r="CG73" s="919">
        <v>19354.83870967742</v>
      </c>
      <c r="CH73" s="466"/>
      <c r="CI73" s="919">
        <v>19354.83870967742</v>
      </c>
      <c r="CJ73" s="466"/>
      <c r="CK73" s="919">
        <v>19354.83870967742</v>
      </c>
      <c r="CL73" s="466"/>
      <c r="CM73" s="256"/>
      <c r="CN73" s="466"/>
      <c r="CO73" s="924"/>
      <c r="CP73" s="448"/>
      <c r="CQ73" s="925"/>
      <c r="CR73" s="726"/>
      <c r="CS73" s="565">
        <v>96774.1935483871</v>
      </c>
      <c r="CT73" s="448">
        <v>0.0</v>
      </c>
      <c r="CU73" s="279">
        <f t="shared" si="168"/>
        <v>0</v>
      </c>
      <c r="CV73" s="462" t="str">
        <f>IFERROR(__xludf.DUMMYFUNCTION("IFERROR(SPARKLINE(CU73,{""charttype"",""bar"";""color1"",IF(CU73&gt;='Апрель'!green_percent,'Апрель'!green,IF(CU73&gt;='Апрель'!yellow_percent,'Апрель'!yellow,IF(CU73&gt;='Апрель'!orange_percent,'Апрель'!orange,'Апрель'!red)));""max"",1}))"),"")</f>
        <v/>
      </c>
      <c r="CW73" s="842"/>
      <c r="CX73" s="843"/>
      <c r="CY73" s="842"/>
      <c r="CZ73" s="843"/>
      <c r="DA73" s="843"/>
      <c r="DB73" s="843"/>
      <c r="DC73" s="843"/>
      <c r="DD73" s="843"/>
      <c r="DE73" s="843"/>
      <c r="DF73" s="843"/>
      <c r="DG73" s="843"/>
      <c r="DH73" s="843"/>
      <c r="DI73" s="843"/>
      <c r="DJ73" s="843"/>
      <c r="DK73" s="289"/>
      <c r="DL73" s="844"/>
      <c r="DM73" s="310"/>
      <c r="DN73" s="339"/>
      <c r="DO73" s="843"/>
      <c r="DP73" s="933"/>
    </row>
    <row r="74">
      <c r="A74" s="912"/>
      <c r="B74" s="951" t="s">
        <v>57</v>
      </c>
      <c r="C74" s="242"/>
      <c r="D74" s="242"/>
      <c r="E74" s="243"/>
      <c r="F74" s="245">
        <f t="shared" ref="F74:G74" si="194">F72/F67</f>
        <v>0.2</v>
      </c>
      <c r="G74" s="245">
        <f t="shared" si="194"/>
        <v>0</v>
      </c>
      <c r="H74" s="704">
        <f t="shared" si="170"/>
        <v>0</v>
      </c>
      <c r="I74" s="427" t="str">
        <f>IFERROR(__xludf.DUMMYFUNCTION("IFERROR(SPARKLINE(H74,{""charttype"",""bar"";""color1"",IF(H74&gt;='Апрель'!green_percent,'Апрель'!green,IF(H74&gt;='Апрель'!yellow_percent,'Апрель'!yellow,IF(H74&gt;='Апрель'!orange_percent,'Апрель'!orange,'Апрель'!red)));""max"",1}))"),"")</f>
        <v/>
      </c>
      <c r="K74" s="941"/>
      <c r="L74" s="952"/>
      <c r="M74" s="941"/>
      <c r="N74" s="752"/>
      <c r="O74" s="941">
        <f t="shared" si="190"/>
        <v>0.006451612903</v>
      </c>
      <c r="P74" s="953"/>
      <c r="Q74" s="941">
        <f t="shared" si="191"/>
        <v>0.006451612903</v>
      </c>
      <c r="R74" s="755"/>
      <c r="S74" s="941">
        <v>0.0064516129032258064</v>
      </c>
      <c r="T74" s="755"/>
      <c r="U74" s="941">
        <v>0.0064516129032258064</v>
      </c>
      <c r="V74" s="755"/>
      <c r="W74" s="942">
        <v>0.0064516129032258064</v>
      </c>
      <c r="X74" s="822"/>
      <c r="Y74" s="313">
        <f t="shared" ref="Y74:Z74" si="195">Y72/Y67</f>
        <v>0.2</v>
      </c>
      <c r="Z74" s="245" t="str">
        <f t="shared" si="195"/>
        <v>#DIV/0!</v>
      </c>
      <c r="AA74" s="412" t="str">
        <f t="shared" si="173"/>
        <v/>
      </c>
      <c r="AB74" s="413" t="str">
        <f>IFERROR(__xludf.DUMMYFUNCTION("IFERROR(SPARKLINE(AA74,{""charttype"",""bar"";""color1"",IF(AA74&gt;='Апрель'!green_percent,'Апрель'!green,IF(AA74&gt;='Апрель'!yellow_percent,'Апрель'!yellow,IF(AA74&gt;='Апрель'!orange_percent,'Апрель'!orange,'Апрель'!red)));""max"",1}))"),"")</f>
        <v/>
      </c>
      <c r="AC74" s="541">
        <v>0.0064516129032258064</v>
      </c>
      <c r="AD74" s="824"/>
      <c r="AE74" s="541">
        <v>0.0064516129032258064</v>
      </c>
      <c r="AF74" s="824"/>
      <c r="AG74" s="541">
        <v>0.0064516129032258064</v>
      </c>
      <c r="AH74" s="824"/>
      <c r="AI74" s="541">
        <v>0.0064516129032258064</v>
      </c>
      <c r="AJ74" s="824"/>
      <c r="AK74" s="541">
        <v>0.0064516129032258064</v>
      </c>
      <c r="AL74" s="824"/>
      <c r="AM74" s="541">
        <v>0.0064516129032258064</v>
      </c>
      <c r="AN74" s="825"/>
      <c r="AO74" s="541">
        <v>0.0064516129032258064</v>
      </c>
      <c r="AP74" s="459"/>
      <c r="AQ74" s="943">
        <v>0.2</v>
      </c>
      <c r="AR74" s="244">
        <v>0.0</v>
      </c>
      <c r="AS74" s="253"/>
      <c r="AT74" s="427"/>
      <c r="AU74" s="541">
        <v>0.0064516129032258064</v>
      </c>
      <c r="AV74" s="517">
        <f>AV72/AV70</f>
        <v>0</v>
      </c>
      <c r="AW74" s="541">
        <v>0.0064516129032258064</v>
      </c>
      <c r="AX74" s="822"/>
      <c r="AY74" s="541">
        <v>0.0064516129032258064</v>
      </c>
      <c r="AZ74" s="776"/>
      <c r="BA74" s="541">
        <v>0.0064516129032258064</v>
      </c>
      <c r="BB74" s="776"/>
      <c r="BC74" s="541">
        <v>0.0064516129032258064</v>
      </c>
      <c r="BD74" s="776"/>
      <c r="BE74" s="541">
        <v>0.0064516129032258064</v>
      </c>
      <c r="BF74" s="776"/>
      <c r="BG74" s="541">
        <v>0.0064516129032258064</v>
      </c>
      <c r="BH74" s="822"/>
      <c r="BI74" s="943">
        <v>0.2</v>
      </c>
      <c r="BJ74" s="412">
        <f>BJ72/BJ70</f>
        <v>0</v>
      </c>
      <c r="BK74" s="253">
        <f t="shared" si="166"/>
        <v>0</v>
      </c>
      <c r="BL74" s="427" t="str">
        <f>IFERROR(__xludf.DUMMYFUNCTION("IFERROR(SPARKLINE(BK74,{""charttype"",""bar"";""color1"",IF(BK74&gt;='Апрель'!green_percent,'Апрель'!green,IF(BK74&gt;='Апрель'!yellow_percent,'Апрель'!yellow,IF(BK74&gt;='Апрель'!orange_percent,'Апрель'!orange,'Апрель'!red)));""max"",1}))"),"")</f>
        <v/>
      </c>
      <c r="BM74" s="541">
        <v>0.0064516129032258064</v>
      </c>
      <c r="BN74" s="710"/>
      <c r="BO74" s="541">
        <v>0.0064516129032258064</v>
      </c>
      <c r="BP74" s="465"/>
      <c r="BQ74" s="541">
        <v>0.0064516129032258064</v>
      </c>
      <c r="BR74" s="716"/>
      <c r="BS74" s="541">
        <v>0.0064516129032258064</v>
      </c>
      <c r="BT74" s="716"/>
      <c r="BU74" s="541">
        <v>0.0064516129032258064</v>
      </c>
      <c r="BV74" s="716"/>
      <c r="BW74" s="541">
        <v>0.0064516129032258064</v>
      </c>
      <c r="BX74" s="716"/>
      <c r="BY74" s="541">
        <v>0.0064516129032258064</v>
      </c>
      <c r="BZ74" s="716"/>
      <c r="CA74" s="943">
        <v>0.2</v>
      </c>
      <c r="CB74" s="244">
        <v>0.0</v>
      </c>
      <c r="CC74" s="253">
        <f t="shared" si="167"/>
        <v>0</v>
      </c>
      <c r="CD74" s="427" t="str">
        <f>IFERROR(__xludf.DUMMYFUNCTION("IFERROR(SPARKLINE(CC74,{""charttype"",""bar"";""color1"",IF(CC74&gt;='Апрель'!green_percent,'Апрель'!green,IF(CC74&gt;='Апрель'!yellow_percent,'Апрель'!yellow,IF(CC74&gt;='Апрель'!orange_percent,'Апрель'!orange,'Апрель'!red)));""max"",1}))"),"")</f>
        <v/>
      </c>
      <c r="CE74" s="541">
        <v>0.0064516129032258064</v>
      </c>
      <c r="CF74" s="710"/>
      <c r="CG74" s="541">
        <v>0.0064516129032258064</v>
      </c>
      <c r="CH74" s="710"/>
      <c r="CI74" s="541">
        <v>0.0064516129032258064</v>
      </c>
      <c r="CJ74" s="710"/>
      <c r="CK74" s="541">
        <v>0.0064516129032258064</v>
      </c>
      <c r="CL74" s="710"/>
      <c r="CM74" s="256"/>
      <c r="CN74" s="710"/>
      <c r="CO74" s="924"/>
      <c r="CP74" s="244"/>
      <c r="CQ74" s="925"/>
      <c r="CR74" s="708"/>
      <c r="CS74" s="943">
        <v>0.2</v>
      </c>
      <c r="CT74" s="244">
        <v>0.0</v>
      </c>
      <c r="CU74" s="253">
        <f t="shared" si="168"/>
        <v>0</v>
      </c>
      <c r="CV74" s="427" t="str">
        <f>IFERROR(__xludf.DUMMYFUNCTION("IFERROR(SPARKLINE(CU74,{""charttype"",""bar"";""color1"",IF(CU74&gt;='Апрель'!green_percent,'Апрель'!green,IF(CU74&gt;='Апрель'!yellow_percent,'Апрель'!yellow,IF(CU74&gt;='Апрель'!orange_percent,'Апрель'!orange,'Апрель'!red)));""max"",1}))"),"")</f>
        <v/>
      </c>
      <c r="CW74" s="842"/>
      <c r="CX74" s="875"/>
      <c r="CY74" s="842"/>
      <c r="CZ74" s="875"/>
      <c r="DA74" s="875"/>
      <c r="DB74" s="875"/>
      <c r="DC74" s="875"/>
      <c r="DD74" s="875"/>
      <c r="DE74" s="875"/>
      <c r="DF74" s="875"/>
      <c r="DG74" s="875"/>
      <c r="DH74" s="875"/>
      <c r="DI74" s="875"/>
      <c r="DJ74" s="875"/>
      <c r="DK74" s="326"/>
      <c r="DL74" s="876"/>
      <c r="DM74" s="327"/>
      <c r="DN74" s="329"/>
      <c r="DO74" s="875"/>
      <c r="DP74" s="926"/>
    </row>
    <row r="75">
      <c r="A75" s="927"/>
      <c r="B75" s="954" t="s">
        <v>27</v>
      </c>
      <c r="C75" s="217"/>
      <c r="D75" s="217"/>
      <c r="E75" s="218"/>
      <c r="F75" s="270">
        <f t="shared" ref="F75:G75" si="196">F58/F72</f>
        <v>47875</v>
      </c>
      <c r="G75" s="270" t="str">
        <f t="shared" si="196"/>
        <v>#DIV/0!</v>
      </c>
      <c r="H75" s="543" t="str">
        <f t="shared" si="170"/>
        <v/>
      </c>
      <c r="I75" s="462" t="str">
        <f>IFERROR(__xludf.DUMMYFUNCTION("IFERROR(SPARKLINE(H75,{""charttype"",""bar"";""color1"",IF(H75&gt;='Апрель'!green_percent,'Апрель'!green,IF(H75&gt;='Апрель'!yellow_percent,'Апрель'!yellow,IF(H75&gt;='Апрель'!orange_percent,'Апрель'!orange,'Апрель'!red)));""max"",1}))"),"")</f>
        <v/>
      </c>
      <c r="K75" s="914"/>
      <c r="L75" s="955"/>
      <c r="M75" s="914"/>
      <c r="N75" s="820"/>
      <c r="O75" s="284">
        <f>O58/O72</f>
        <v>47875</v>
      </c>
      <c r="P75" s="931"/>
      <c r="Q75" s="935">
        <f>Q58/Q72</f>
        <v>47875</v>
      </c>
      <c r="R75" s="776"/>
      <c r="S75" s="270">
        <f>S58/S72</f>
        <v>47875</v>
      </c>
      <c r="T75" s="776"/>
      <c r="U75" s="270">
        <f>U58/U72</f>
        <v>47875</v>
      </c>
      <c r="V75" s="776"/>
      <c r="W75" s="270">
        <f>W58/W72</f>
        <v>47875</v>
      </c>
      <c r="X75" s="463"/>
      <c r="Y75" s="565">
        <f t="shared" ref="Y75:Z75" si="197">Y58/Y72</f>
        <v>59365</v>
      </c>
      <c r="Z75" s="563" t="str">
        <f t="shared" si="197"/>
        <v>#DIV/0!</v>
      </c>
      <c r="AA75" s="220" t="str">
        <f t="shared" si="173"/>
        <v/>
      </c>
      <c r="AB75" s="449" t="str">
        <f>IFERROR(__xludf.DUMMYFUNCTION("IFERROR(SPARKLINE(AA75,{""charttype"",""bar"";""color1"",IF(AA75&gt;='Апрель'!green_percent,'Апрель'!green,IF(AA75&gt;='Апрель'!yellow_percent,'Апрель'!yellow,IF(AA75&gt;='Апрель'!orange_percent,'Апрель'!orange,'Апрель'!red)));""max"",1}))"),"")</f>
        <v/>
      </c>
      <c r="AC75" s="936">
        <v>47875.0</v>
      </c>
      <c r="AD75" s="824"/>
      <c r="AE75" s="936">
        <v>47875.0</v>
      </c>
      <c r="AF75" s="824"/>
      <c r="AG75" s="936">
        <v>47875.0</v>
      </c>
      <c r="AH75" s="824"/>
      <c r="AI75" s="936">
        <v>47875.0</v>
      </c>
      <c r="AJ75" s="824"/>
      <c r="AK75" s="936">
        <v>47875.0</v>
      </c>
      <c r="AL75" s="824"/>
      <c r="AM75" s="936">
        <v>47875.0</v>
      </c>
      <c r="AN75" s="825"/>
      <c r="AO75" s="936">
        <v>47875.0</v>
      </c>
      <c r="AP75" s="459"/>
      <c r="AQ75" s="565">
        <v>47875.0</v>
      </c>
      <c r="AR75" s="448">
        <v>0.0</v>
      </c>
      <c r="AS75" s="279"/>
      <c r="AT75" s="462"/>
      <c r="AU75" s="936">
        <v>47875.0</v>
      </c>
      <c r="AV75" s="463"/>
      <c r="AW75" s="936">
        <v>47875.0</v>
      </c>
      <c r="AX75" s="463"/>
      <c r="AY75" s="936">
        <v>47875.0</v>
      </c>
      <c r="AZ75" s="776"/>
      <c r="BA75" s="936">
        <v>47875.0</v>
      </c>
      <c r="BB75" s="776"/>
      <c r="BC75" s="936">
        <v>47875.0</v>
      </c>
      <c r="BD75" s="776"/>
      <c r="BE75" s="936">
        <v>47875.0</v>
      </c>
      <c r="BF75" s="776"/>
      <c r="BG75" s="936">
        <v>47875.0</v>
      </c>
      <c r="BH75" s="463"/>
      <c r="BI75" s="565">
        <v>47875.0</v>
      </c>
      <c r="BJ75" s="495" t="str">
        <f>BJ58/BJ72</f>
        <v>#DIV/0!</v>
      </c>
      <c r="BK75" s="279" t="str">
        <f t="shared" si="166"/>
        <v/>
      </c>
      <c r="BL75" s="462" t="str">
        <f>IFERROR(__xludf.DUMMYFUNCTION("IFERROR(SPARKLINE(BK75,{""charttype"",""bar"";""color1"",IF(BK75&gt;='Апрель'!green_percent,'Апрель'!green,IF(BK75&gt;='Апрель'!yellow_percent,'Апрель'!yellow,IF(BK75&gt;='Апрель'!orange_percent,'Апрель'!orange,'Апрель'!red)));""max"",1}))"),"")</f>
        <v/>
      </c>
      <c r="BM75" s="936">
        <v>47875.0</v>
      </c>
      <c r="BN75" s="466"/>
      <c r="BO75" s="936">
        <v>47875.0</v>
      </c>
      <c r="BP75" s="465"/>
      <c r="BQ75" s="936">
        <v>47875.0</v>
      </c>
      <c r="BR75" s="465"/>
      <c r="BS75" s="936">
        <v>47875.0</v>
      </c>
      <c r="BT75" s="465"/>
      <c r="BU75" s="936">
        <v>47875.0</v>
      </c>
      <c r="BV75" s="465"/>
      <c r="BW75" s="936">
        <v>47875.0</v>
      </c>
      <c r="BX75" s="465"/>
      <c r="BY75" s="936">
        <v>47875.0</v>
      </c>
      <c r="BZ75" s="465"/>
      <c r="CA75" s="565">
        <v>47875.0</v>
      </c>
      <c r="CB75" s="448">
        <v>0.0</v>
      </c>
      <c r="CC75" s="279">
        <f t="shared" si="167"/>
        <v>0</v>
      </c>
      <c r="CD75" s="462" t="str">
        <f>IFERROR(__xludf.DUMMYFUNCTION("IFERROR(SPARKLINE(CC75,{""charttype"",""bar"";""color1"",IF(CC75&gt;='Апрель'!green_percent,'Апрель'!green,IF(CC75&gt;='Апрель'!yellow_percent,'Апрель'!yellow,IF(CC75&gt;='Апрель'!orange_percent,'Апрель'!orange,'Апрель'!red)));""max"",1}))"),"")</f>
        <v/>
      </c>
      <c r="CE75" s="936">
        <v>47875.0</v>
      </c>
      <c r="CF75" s="466"/>
      <c r="CG75" s="936">
        <v>47875.0</v>
      </c>
      <c r="CH75" s="466"/>
      <c r="CI75" s="936">
        <v>47875.0</v>
      </c>
      <c r="CJ75" s="466"/>
      <c r="CK75" s="936">
        <v>47875.0</v>
      </c>
      <c r="CL75" s="466"/>
      <c r="CM75" s="256"/>
      <c r="CN75" s="466"/>
      <c r="CO75" s="924"/>
      <c r="CP75" s="448"/>
      <c r="CQ75" s="925"/>
      <c r="CR75" s="726"/>
      <c r="CS75" s="565">
        <v>47875.0</v>
      </c>
      <c r="CT75" s="448">
        <v>0.0</v>
      </c>
      <c r="CU75" s="279">
        <f t="shared" si="168"/>
        <v>0</v>
      </c>
      <c r="CV75" s="462" t="str">
        <f>IFERROR(__xludf.DUMMYFUNCTION("IFERROR(SPARKLINE(CU75,{""charttype"",""bar"";""color1"",IF(CU75&gt;='Апрель'!green_percent,'Апрель'!green,IF(CU75&gt;='Апрель'!yellow_percent,'Апрель'!yellow,IF(CU75&gt;='Апрель'!orange_percent,'Апрель'!orange,'Апрель'!red)));""max"",1}))"),"")</f>
        <v/>
      </c>
      <c r="CW75" s="956"/>
      <c r="CX75" s="957"/>
      <c r="CY75" s="956"/>
      <c r="CZ75" s="957"/>
      <c r="DA75" s="957"/>
      <c r="DB75" s="957"/>
      <c r="DC75" s="957"/>
      <c r="DD75" s="957"/>
      <c r="DE75" s="957"/>
      <c r="DF75" s="957"/>
      <c r="DG75" s="957"/>
      <c r="DH75" s="957"/>
      <c r="DI75" s="957"/>
      <c r="DJ75" s="957"/>
      <c r="DK75" s="958"/>
      <c r="DL75" s="959"/>
      <c r="DM75" s="960"/>
      <c r="DN75" s="961"/>
      <c r="DO75" s="957"/>
      <c r="DP75" s="962"/>
    </row>
    <row r="76">
      <c r="A76" s="912"/>
      <c r="B76" s="937" t="s">
        <v>28</v>
      </c>
      <c r="C76" s="242"/>
      <c r="D76" s="242"/>
      <c r="E76" s="243"/>
      <c r="F76" s="581"/>
      <c r="G76" s="244">
        <f>Z76+AR76+BJ76+CB76+CT76</f>
        <v>0</v>
      </c>
      <c r="H76" s="704"/>
      <c r="I76" s="427"/>
      <c r="K76" s="963"/>
      <c r="L76" s="964"/>
      <c r="M76" s="963"/>
      <c r="N76" s="834"/>
      <c r="O76" s="914"/>
      <c r="P76" s="931"/>
      <c r="Q76" s="914"/>
      <c r="R76" s="776"/>
      <c r="S76" s="914"/>
      <c r="T76" s="776"/>
      <c r="U76" s="914"/>
      <c r="V76" s="776"/>
      <c r="W76" s="919"/>
      <c r="X76" s="822"/>
      <c r="Y76" s="591"/>
      <c r="Z76" s="592"/>
      <c r="AA76" s="412"/>
      <c r="AB76" s="413"/>
      <c r="AC76" s="921"/>
      <c r="AD76" s="824"/>
      <c r="AE76" s="921"/>
      <c r="AF76" s="824"/>
      <c r="AG76" s="921"/>
      <c r="AH76" s="824"/>
      <c r="AI76" s="921"/>
      <c r="AJ76" s="824"/>
      <c r="AK76" s="921"/>
      <c r="AL76" s="824"/>
      <c r="AM76" s="921"/>
      <c r="AN76" s="825"/>
      <c r="AO76" s="921"/>
      <c r="AP76" s="459"/>
      <c r="AQ76" s="591"/>
      <c r="AR76" s="244">
        <v>0.0</v>
      </c>
      <c r="AS76" s="253"/>
      <c r="AT76" s="427"/>
      <c r="AU76" s="921"/>
      <c r="AV76" s="822"/>
      <c r="AW76" s="921"/>
      <c r="AX76" s="822"/>
      <c r="AY76" s="921"/>
      <c r="AZ76" s="776"/>
      <c r="BA76" s="921"/>
      <c r="BB76" s="776"/>
      <c r="BC76" s="921"/>
      <c r="BD76" s="776"/>
      <c r="BE76" s="921"/>
      <c r="BF76" s="776"/>
      <c r="BG76" s="921"/>
      <c r="BH76" s="822"/>
      <c r="BI76" s="591"/>
      <c r="BJ76" s="244">
        <v>0.0</v>
      </c>
      <c r="BK76" s="253"/>
      <c r="BL76" s="427"/>
      <c r="BM76" s="921"/>
      <c r="BN76" s="710"/>
      <c r="BO76" s="921"/>
      <c r="BP76" s="465"/>
      <c r="BQ76" s="921"/>
      <c r="BR76" s="716"/>
      <c r="BS76" s="921"/>
      <c r="BT76" s="716"/>
      <c r="BU76" s="921"/>
      <c r="BV76" s="716"/>
      <c r="BW76" s="921"/>
      <c r="BX76" s="716"/>
      <c r="BY76" s="921"/>
      <c r="BZ76" s="716"/>
      <c r="CA76" s="591"/>
      <c r="CB76" s="486"/>
      <c r="CC76" s="253"/>
      <c r="CD76" s="427"/>
      <c r="CE76" s="921"/>
      <c r="CF76" s="710"/>
      <c r="CG76" s="921"/>
      <c r="CH76" s="710"/>
      <c r="CI76" s="921"/>
      <c r="CJ76" s="710"/>
      <c r="CK76" s="921"/>
      <c r="CL76" s="710"/>
      <c r="CM76" s="256"/>
      <c r="CN76" s="710"/>
      <c r="CO76" s="924"/>
      <c r="CP76" s="244"/>
      <c r="CQ76" s="925"/>
      <c r="CR76" s="708"/>
      <c r="CS76" s="591"/>
      <c r="CT76" s="486"/>
      <c r="CU76" s="253"/>
      <c r="CV76" s="427"/>
      <c r="CW76" s="842"/>
      <c r="CX76" s="875"/>
      <c r="CY76" s="842"/>
      <c r="CZ76" s="875"/>
      <c r="DA76" s="875"/>
      <c r="DB76" s="875"/>
      <c r="DC76" s="875"/>
      <c r="DD76" s="875"/>
      <c r="DE76" s="875"/>
      <c r="DF76" s="875"/>
      <c r="DG76" s="875"/>
      <c r="DH76" s="875"/>
      <c r="DI76" s="875"/>
      <c r="DJ76" s="875"/>
      <c r="DK76" s="326"/>
      <c r="DL76" s="876"/>
      <c r="DM76" s="327"/>
      <c r="DN76" s="329"/>
      <c r="DO76" s="875"/>
      <c r="DP76" s="926"/>
    </row>
    <row r="77">
      <c r="A77" s="965"/>
      <c r="B77" s="966" t="s">
        <v>41</v>
      </c>
      <c r="C77" s="967"/>
      <c r="D77" s="967"/>
      <c r="E77" s="968"/>
      <c r="F77" s="969"/>
      <c r="G77" s="969">
        <f>SUMIFS(O77:DN77,$O$11:$DN$11,"Факт",$O$3:$DN$3,"&gt;"&amp;EOMONTH('Апрель'!date,-1),$O$3:$DN$3,"&lt;="&amp;EOMONTH('Апрель'!date,0))</f>
        <v>0</v>
      </c>
      <c r="H77" s="970"/>
      <c r="I77" s="630"/>
      <c r="K77" s="963"/>
      <c r="L77" s="964"/>
      <c r="M77" s="963"/>
      <c r="N77" s="834"/>
      <c r="O77" s="971"/>
      <c r="P77" s="972"/>
      <c r="Q77" s="973"/>
      <c r="R77" s="849"/>
      <c r="S77" s="973"/>
      <c r="T77" s="849"/>
      <c r="U77" s="973"/>
      <c r="V77" s="849"/>
      <c r="W77" s="974"/>
      <c r="X77" s="975"/>
      <c r="Y77" s="627"/>
      <c r="Z77" s="628"/>
      <c r="AA77" s="812"/>
      <c r="AB77" s="976"/>
      <c r="AC77" s="974"/>
      <c r="AD77" s="977"/>
      <c r="AE77" s="974"/>
      <c r="AF77" s="977"/>
      <c r="AG77" s="974"/>
      <c r="AH77" s="977"/>
      <c r="AI77" s="974"/>
      <c r="AJ77" s="977"/>
      <c r="AK77" s="974"/>
      <c r="AL77" s="977"/>
      <c r="AM77" s="974"/>
      <c r="AN77" s="978"/>
      <c r="AO77" s="974"/>
      <c r="AP77" s="979"/>
      <c r="AQ77" s="627"/>
      <c r="AR77" s="980">
        <v>0.0</v>
      </c>
      <c r="AS77" s="629"/>
      <c r="AT77" s="630"/>
      <c r="AU77" s="974"/>
      <c r="AV77" s="975"/>
      <c r="AW77" s="974"/>
      <c r="AX77" s="975"/>
      <c r="AY77" s="974"/>
      <c r="AZ77" s="849"/>
      <c r="BA77" s="974"/>
      <c r="BB77" s="849"/>
      <c r="BC77" s="974"/>
      <c r="BD77" s="849"/>
      <c r="BE77" s="974"/>
      <c r="BF77" s="849"/>
      <c r="BG77" s="974"/>
      <c r="BH77" s="975"/>
      <c r="BI77" s="627"/>
      <c r="BJ77" s="980">
        <v>0.0</v>
      </c>
      <c r="BK77" s="629"/>
      <c r="BL77" s="630"/>
      <c r="BM77" s="974"/>
      <c r="BN77" s="981"/>
      <c r="BO77" s="974"/>
      <c r="BP77" s="982"/>
      <c r="BQ77" s="974"/>
      <c r="BR77" s="982"/>
      <c r="BS77" s="974"/>
      <c r="BT77" s="982"/>
      <c r="BU77" s="974"/>
      <c r="BV77" s="982"/>
      <c r="BW77" s="974"/>
      <c r="BX77" s="982"/>
      <c r="BY77" s="974"/>
      <c r="BZ77" s="982"/>
      <c r="CA77" s="627"/>
      <c r="CB77" s="811"/>
      <c r="CC77" s="629"/>
      <c r="CD77" s="630"/>
      <c r="CE77" s="974"/>
      <c r="CF77" s="981"/>
      <c r="CG77" s="974"/>
      <c r="CH77" s="981"/>
      <c r="CI77" s="974"/>
      <c r="CJ77" s="981"/>
      <c r="CK77" s="974"/>
      <c r="CL77" s="981"/>
      <c r="CM77" s="983"/>
      <c r="CN77" s="981"/>
      <c r="CO77" s="984"/>
      <c r="CP77" s="980"/>
      <c r="CQ77" s="985"/>
      <c r="CR77" s="986"/>
      <c r="CS77" s="627"/>
      <c r="CT77" s="811"/>
      <c r="CU77" s="629"/>
      <c r="CV77" s="630"/>
      <c r="CW77" s="842"/>
      <c r="CX77" s="843"/>
      <c r="CY77" s="842"/>
      <c r="CZ77" s="843"/>
      <c r="DA77" s="843"/>
      <c r="DB77" s="843"/>
      <c r="DC77" s="843"/>
      <c r="DD77" s="843"/>
      <c r="DE77" s="843"/>
      <c r="DF77" s="843"/>
      <c r="DG77" s="843"/>
      <c r="DH77" s="843"/>
      <c r="DI77" s="843"/>
      <c r="DJ77" s="843"/>
      <c r="DK77" s="289"/>
      <c r="DL77" s="844"/>
      <c r="DM77" s="310"/>
      <c r="DN77" s="339"/>
      <c r="DO77" s="843"/>
      <c r="DP77" s="933"/>
    </row>
    <row r="78">
      <c r="A78" s="987" t="s">
        <v>58</v>
      </c>
      <c r="B78" s="988" t="s">
        <v>20</v>
      </c>
      <c r="C78" s="185"/>
      <c r="D78" s="185"/>
      <c r="E78" s="186"/>
      <c r="F78" s="989">
        <f t="shared" ref="F78:G78" si="198">F79/F94</f>
        <v>0.2166666667</v>
      </c>
      <c r="G78" s="989">
        <f t="shared" si="198"/>
        <v>0.025</v>
      </c>
      <c r="H78" s="990">
        <f t="shared" ref="H78:H96" si="199">IFERROR(G78/F78,"")</f>
        <v>0.1153846154</v>
      </c>
      <c r="I78" s="991" t="str">
        <f>IFERROR(__xludf.DUMMYFUNCTION("IFERROR(SPARKLINE(H78,{""charttype"",""bar"";""color1"",IF(H78&gt;='Апрель'!green_percent,'Апрель'!green,IF(H78&gt;='Апрель'!yellow_percent,'Апрель'!yellow,IF(H78&gt;='Апрель'!orange_percent,'Апрель'!orange,'Апрель'!red)));""max"",1}))"),"")</f>
        <v/>
      </c>
      <c r="J78" s="884"/>
      <c r="K78" s="992"/>
      <c r="L78" s="886"/>
      <c r="M78" s="887"/>
      <c r="N78" s="888"/>
      <c r="O78" s="989">
        <v>0.21666666666666667</v>
      </c>
      <c r="P78" s="889"/>
      <c r="Q78" s="993">
        <v>0.21666666666666667</v>
      </c>
      <c r="R78" s="890"/>
      <c r="S78" s="993">
        <v>0.21666666666666667</v>
      </c>
      <c r="T78" s="890"/>
      <c r="U78" s="993">
        <v>0.21666666666666667</v>
      </c>
      <c r="V78" s="890"/>
      <c r="W78" s="994">
        <v>0.21666666666666667</v>
      </c>
      <c r="X78" s="995"/>
      <c r="Y78" s="996">
        <v>0.21666666666666667</v>
      </c>
      <c r="Z78" s="989">
        <f>Z79/Z94</f>
        <v>0</v>
      </c>
      <c r="AA78" s="997">
        <f t="shared" ref="AA78:AA96" si="200">IFERROR(Z78/Y78,"")</f>
        <v>0</v>
      </c>
      <c r="AB78" s="998" t="str">
        <f>IFERROR(__xludf.DUMMYFUNCTION("IFERROR(SPARKLINE(AA78,{""charttype"",""bar"";""color1"",IF(AA78&gt;='Апрель'!green_percent,'Апрель'!green,IF(AA78&gt;='Апрель'!yellow_percent,'Апрель'!yellow,IF(AA78&gt;='Апрель'!orange_percent,'Апрель'!orange,'Апрель'!red)));""max"",1}))"),"")</f>
        <v/>
      </c>
      <c r="AC78" s="999">
        <v>0.21666666666666667</v>
      </c>
      <c r="AD78" s="1000"/>
      <c r="AE78" s="999">
        <v>0.21666666666666667</v>
      </c>
      <c r="AF78" s="1000"/>
      <c r="AG78" s="999">
        <v>0.21666666666666667</v>
      </c>
      <c r="AH78" s="1000"/>
      <c r="AI78" s="999">
        <v>0.21666666666666667</v>
      </c>
      <c r="AJ78" s="1000"/>
      <c r="AK78" s="999">
        <v>0.21666666666666667</v>
      </c>
      <c r="AL78" s="1000"/>
      <c r="AM78" s="999">
        <v>0.21666666666666667</v>
      </c>
      <c r="AN78" s="1001"/>
      <c r="AO78" s="999">
        <v>0.21666666666666667</v>
      </c>
      <c r="AP78" s="1002"/>
      <c r="AQ78" s="996">
        <v>0.21666666666666667</v>
      </c>
      <c r="AR78" s="1003"/>
      <c r="AS78" s="1004"/>
      <c r="AT78" s="1005"/>
      <c r="AU78" s="999">
        <v>0.21666666666666667</v>
      </c>
      <c r="AV78" s="995"/>
      <c r="AW78" s="999">
        <v>0.21666666666666667</v>
      </c>
      <c r="AX78" s="995"/>
      <c r="AY78" s="999">
        <v>0.21666666666666667</v>
      </c>
      <c r="AZ78" s="890"/>
      <c r="BA78" s="999">
        <v>0.21666666666666667</v>
      </c>
      <c r="BB78" s="890"/>
      <c r="BC78" s="999">
        <v>0.21666666666666667</v>
      </c>
      <c r="BD78" s="890"/>
      <c r="BE78" s="999">
        <v>0.21666666666666667</v>
      </c>
      <c r="BF78" s="890"/>
      <c r="BG78" s="999">
        <v>0.21666666666666667</v>
      </c>
      <c r="BH78" s="995"/>
      <c r="BI78" s="1006">
        <v>0.21666666666666667</v>
      </c>
      <c r="BJ78" s="1006">
        <v>0.0</v>
      </c>
      <c r="BK78" s="1004">
        <f t="shared" ref="BK78:BK96" si="201">IFERROR(BJ78/BI78,"")</f>
        <v>0</v>
      </c>
      <c r="BL78" s="1005" t="str">
        <f>IFERROR(__xludf.DUMMYFUNCTION("IFERROR(SPARKLINE(BK78,{""charttype"",""bar"";""color1"",IF(BK78&gt;='Апрель'!green_percent,'Апрель'!green,IF(BK78&gt;='Апрель'!yellow_percent,'Апрель'!yellow,IF(BK78&gt;='Апрель'!orange_percent,'Апрель'!orange,'Апрель'!red)));""max"",1}))"),"")</f>
        <v/>
      </c>
      <c r="BM78" s="1007"/>
      <c r="BN78" s="1008"/>
      <c r="BO78" s="1007"/>
      <c r="BP78" s="1009"/>
      <c r="BQ78" s="1007"/>
      <c r="BR78" s="1010"/>
      <c r="BS78" s="1007"/>
      <c r="BT78" s="1010"/>
      <c r="BU78" s="1007"/>
      <c r="BV78" s="1010"/>
      <c r="BW78" s="1007"/>
      <c r="BX78" s="1010"/>
      <c r="BY78" s="1007"/>
      <c r="BZ78" s="1010"/>
      <c r="CA78" s="1006">
        <v>0.21666666666666667</v>
      </c>
      <c r="CB78" s="1006">
        <v>0.0</v>
      </c>
      <c r="CC78" s="1004">
        <f t="shared" ref="CC78:CC96" si="202">IFERROR(CB78/CA78,"")</f>
        <v>0</v>
      </c>
      <c r="CD78" s="1005" t="str">
        <f>IFERROR(__xludf.DUMMYFUNCTION("IFERROR(SPARKLINE(CC78,{""charttype"",""bar"";""color1"",IF(CC78&gt;='Апрель'!green_percent,'Апрель'!green,IF(CC78&gt;='Апрель'!yellow_percent,'Апрель'!yellow,IF(CC78&gt;='Апрель'!orange_percent,'Апрель'!orange,'Апрель'!red)));""max"",1}))"),"")</f>
        <v/>
      </c>
      <c r="CE78" s="1007"/>
      <c r="CF78" s="1008"/>
      <c r="CG78" s="1007"/>
      <c r="CH78" s="1008"/>
      <c r="CI78" s="1007"/>
      <c r="CJ78" s="1008"/>
      <c r="CK78" s="1007"/>
      <c r="CL78" s="1008"/>
      <c r="CM78" s="1011"/>
      <c r="CN78" s="1008"/>
      <c r="CO78" s="1011"/>
      <c r="CP78" s="1008"/>
      <c r="CQ78" s="924"/>
      <c r="CR78" s="708"/>
      <c r="CS78" s="1006">
        <v>0.21666666666666667</v>
      </c>
      <c r="CT78" s="1006">
        <v>0.0</v>
      </c>
      <c r="CU78" s="1004">
        <f t="shared" ref="CU78:CU96" si="203">IFERROR(CT78/CS78,"")</f>
        <v>0</v>
      </c>
      <c r="CV78" s="1005" t="str">
        <f>IFERROR(__xludf.DUMMYFUNCTION("IFERROR(SPARKLINE(CU78,{""charttype"",""bar"";""color1"",IF(CU78&gt;='Апрель'!green_percent,'Апрель'!green,IF(CU78&gt;='Апрель'!yellow_percent,'Апрель'!yellow,IF(CU78&gt;='Апрель'!orange_percent,'Апрель'!orange,'Апрель'!red)));""max"",1}))"),"")</f>
        <v/>
      </c>
      <c r="CW78" s="924"/>
      <c r="CX78" s="244"/>
      <c r="CY78" s="905"/>
      <c r="CZ78" s="1012"/>
      <c r="DA78" s="1012"/>
      <c r="DB78" s="1012"/>
      <c r="DC78" s="1012"/>
      <c r="DD78" s="1012"/>
      <c r="DE78" s="1012"/>
      <c r="DF78" s="1012"/>
      <c r="DG78" s="1012"/>
      <c r="DH78" s="1012"/>
      <c r="DI78" s="1012"/>
      <c r="DJ78" s="1012"/>
      <c r="DK78" s="1013"/>
      <c r="DL78" s="1014"/>
      <c r="DM78" s="1015"/>
      <c r="DN78" s="1016"/>
      <c r="DO78" s="1012"/>
      <c r="DP78" s="1017"/>
    </row>
    <row r="79">
      <c r="A79" s="927"/>
      <c r="B79" s="928" t="s">
        <v>49</v>
      </c>
      <c r="C79" s="217"/>
      <c r="D79" s="217"/>
      <c r="E79" s="218"/>
      <c r="F79" s="270">
        <v>6500.0</v>
      </c>
      <c r="G79" s="270">
        <f t="shared" ref="G79:G83" si="204">Z79+AR79+BJ79+CB79+CT79</f>
        <v>5000</v>
      </c>
      <c r="H79" s="543">
        <f t="shared" si="199"/>
        <v>0.7692307692</v>
      </c>
      <c r="I79" s="462" t="str">
        <f>IFERROR(__xludf.DUMMYFUNCTION("IFERROR(SPARKLINE(H79,{""charttype"",""bar"";""color1"",IF(H79&gt;='Апрель'!green_percent,'Апрель'!green,IF(H79&gt;='Апрель'!yellow_percent,'Апрель'!yellow,IF(H79&gt;='Апрель'!orange_percent,'Апрель'!orange,'Апрель'!red)));""max"",1}))"),"")</f>
        <v/>
      </c>
      <c r="K79" s="419"/>
      <c r="L79" s="930"/>
      <c r="M79" s="1018"/>
      <c r="N79" s="773"/>
      <c r="O79" s="419">
        <f t="shared" ref="O79:O81" si="205">F79/30</f>
        <v>216.6666667</v>
      </c>
      <c r="P79" s="931"/>
      <c r="Q79" s="1018">
        <v>216.66666666666666</v>
      </c>
      <c r="R79" s="776"/>
      <c r="S79" s="1018">
        <v>216.66666666666666</v>
      </c>
      <c r="T79" s="786"/>
      <c r="U79" s="1018">
        <v>216.66666666666666</v>
      </c>
      <c r="V79" s="786"/>
      <c r="W79" s="837">
        <v>216.66666666666666</v>
      </c>
      <c r="X79" s="463"/>
      <c r="Y79" s="565">
        <f>O79+Q79+S79+U79+W79</f>
        <v>1083.333333</v>
      </c>
      <c r="Z79" s="448">
        <v>0.0</v>
      </c>
      <c r="AA79" s="219">
        <f t="shared" si="200"/>
        <v>0</v>
      </c>
      <c r="AB79" s="1019" t="str">
        <f>IFERROR(__xludf.DUMMYFUNCTION("IFERROR(SPARKLINE(AA79,{""charttype"",""bar"";""color1"",IF(AA79&gt;='Апрель'!green_percent,'Апрель'!green,IF(AA79&gt;='Апрель'!yellow_percent,'Апрель'!yellow,IF(AA79&gt;='Апрель'!orange_percent,'Апрель'!orange,'Апрель'!red)));""max"",1}))"),"")</f>
        <v/>
      </c>
      <c r="AC79" s="837">
        <v>216.66666666666666</v>
      </c>
      <c r="AD79" s="824"/>
      <c r="AE79" s="837">
        <v>216.66666666666666</v>
      </c>
      <c r="AF79" s="824"/>
      <c r="AG79" s="837">
        <v>216.66666666666666</v>
      </c>
      <c r="AH79" s="824"/>
      <c r="AI79" s="837">
        <v>216.66666666666666</v>
      </c>
      <c r="AJ79" s="824"/>
      <c r="AK79" s="837">
        <v>216.66666666666666</v>
      </c>
      <c r="AL79" s="824"/>
      <c r="AM79" s="837">
        <v>216.66666666666666</v>
      </c>
      <c r="AN79" s="825"/>
      <c r="AO79" s="837">
        <v>216.66666666666666</v>
      </c>
      <c r="AP79" s="459"/>
      <c r="AQ79" s="565">
        <f t="shared" ref="AQ79:AQ80" si="206">AC79+AE79+AG79+AI79+AK79+AM79+AO79</f>
        <v>1516.666667</v>
      </c>
      <c r="AR79" s="495">
        <v>5000.0</v>
      </c>
      <c r="AS79" s="688">
        <f t="shared" ref="AS79:AS92" si="207">IFERROR(AR79/AQ79,"")</f>
        <v>3.296703297</v>
      </c>
      <c r="AT79" s="689" t="str">
        <f>IFERROR(__xludf.DUMMYFUNCTION("IFERROR(SPARKLINE(AS79,{""charttype"",""bar"";""color1"",IF(AS79&gt;='Апрель'!green_percent,'Апрель'!green,IF(AS79&gt;='Апрель'!yellow_percent,'Апрель'!yellow,IF(AS79&gt;='Апрель'!orange_percent,'Апрель'!orange,'Апрель'!red)));""max"",1}))"),"")</f>
        <v/>
      </c>
      <c r="AU79" s="837">
        <v>216.66666666666666</v>
      </c>
      <c r="AV79" s="463"/>
      <c r="AW79" s="837">
        <v>216.66666666666666</v>
      </c>
      <c r="AX79" s="463"/>
      <c r="AY79" s="837">
        <v>216.66666666666666</v>
      </c>
      <c r="AZ79" s="776"/>
      <c r="BA79" s="837">
        <v>216.66666666666666</v>
      </c>
      <c r="BB79" s="776"/>
      <c r="BC79" s="837">
        <v>216.66666666666666</v>
      </c>
      <c r="BD79" s="776"/>
      <c r="BE79" s="837">
        <v>216.66666666666666</v>
      </c>
      <c r="BF79" s="776"/>
      <c r="BG79" s="837">
        <v>216.66666666666666</v>
      </c>
      <c r="BH79" s="463"/>
      <c r="BI79" s="565">
        <v>1083.3333333333333</v>
      </c>
      <c r="BJ79" s="448">
        <v>0.0</v>
      </c>
      <c r="BK79" s="279">
        <f t="shared" si="201"/>
        <v>0</v>
      </c>
      <c r="BL79" s="462" t="str">
        <f>IFERROR(__xludf.DUMMYFUNCTION("IFERROR(SPARKLINE(BK79,{""charttype"",""bar"";""color1"",IF(BK79&gt;='Апрель'!green_percent,'Апрель'!green,IF(BK79&gt;='Апрель'!yellow_percent,'Апрель'!yellow,IF(BK79&gt;='Апрель'!orange_percent,'Апрель'!orange,'Апрель'!red)));""max"",1}))"),"")</f>
        <v/>
      </c>
      <c r="BM79" s="837">
        <v>216.66666666666666</v>
      </c>
      <c r="BN79" s="466"/>
      <c r="BO79" s="837">
        <v>216.66666666666666</v>
      </c>
      <c r="BP79" s="465"/>
      <c r="BQ79" s="837">
        <v>216.66666666666666</v>
      </c>
      <c r="BR79" s="465"/>
      <c r="BS79" s="837">
        <v>216.66666666666666</v>
      </c>
      <c r="BT79" s="465"/>
      <c r="BU79" s="837">
        <v>216.66666666666666</v>
      </c>
      <c r="BV79" s="465"/>
      <c r="BW79" s="837">
        <v>216.66666666666666</v>
      </c>
      <c r="BX79" s="465"/>
      <c r="BY79" s="837">
        <v>216.66666666666666</v>
      </c>
      <c r="BZ79" s="465"/>
      <c r="CA79" s="565">
        <v>1083.3333333333333</v>
      </c>
      <c r="CB79" s="448">
        <v>0.0</v>
      </c>
      <c r="CC79" s="279">
        <f t="shared" si="202"/>
        <v>0</v>
      </c>
      <c r="CD79" s="462" t="str">
        <f>IFERROR(__xludf.DUMMYFUNCTION("IFERROR(SPARKLINE(CC79,{""charttype"",""bar"";""color1"",IF(CC79&gt;='Апрель'!green_percent,'Апрель'!green,IF(CC79&gt;='Апрель'!yellow_percent,'Апрель'!yellow,IF(CC79&gt;='Апрель'!orange_percent,'Апрель'!orange,'Апрель'!red)));""max"",1}))"),"")</f>
        <v/>
      </c>
      <c r="CE79" s="837">
        <v>216.66666666666666</v>
      </c>
      <c r="CF79" s="466"/>
      <c r="CG79" s="837">
        <v>216.66666666666666</v>
      </c>
      <c r="CH79" s="466"/>
      <c r="CI79" s="837">
        <v>216.66666666666666</v>
      </c>
      <c r="CJ79" s="466"/>
      <c r="CK79" s="837">
        <v>216.66666666666666</v>
      </c>
      <c r="CL79" s="466"/>
      <c r="CM79" s="256"/>
      <c r="CN79" s="466"/>
      <c r="CO79" s="256"/>
      <c r="CP79" s="466"/>
      <c r="CQ79" s="924"/>
      <c r="CR79" s="726"/>
      <c r="CS79" s="565">
        <v>1083.3333333333333</v>
      </c>
      <c r="CT79" s="448">
        <v>0.0</v>
      </c>
      <c r="CU79" s="279">
        <f t="shared" si="203"/>
        <v>0</v>
      </c>
      <c r="CV79" s="462" t="str">
        <f>IFERROR(__xludf.DUMMYFUNCTION("IFERROR(SPARKLINE(CU79,{""charttype"",""bar"";""color1"",IF(CU79&gt;='Апрель'!green_percent,'Апрель'!green,IF(CU79&gt;='Апрель'!yellow_percent,'Апрель'!yellow,IF(CU79&gt;='Апрель'!orange_percent,'Апрель'!orange,'Апрель'!red)));""max"",1}))"),"")</f>
        <v/>
      </c>
      <c r="CW79" s="924"/>
      <c r="CX79" s="448"/>
      <c r="CY79" s="842"/>
      <c r="CZ79" s="843"/>
      <c r="DA79" s="843"/>
      <c r="DB79" s="843"/>
      <c r="DC79" s="843"/>
      <c r="DD79" s="843"/>
      <c r="DE79" s="843"/>
      <c r="DF79" s="843"/>
      <c r="DG79" s="843"/>
      <c r="DH79" s="843"/>
      <c r="DI79" s="843"/>
      <c r="DJ79" s="843"/>
      <c r="DK79" s="289"/>
      <c r="DL79" s="844"/>
      <c r="DM79" s="310"/>
      <c r="DN79" s="339"/>
      <c r="DO79" s="843"/>
      <c r="DP79" s="933"/>
    </row>
    <row r="80">
      <c r="A80" s="912"/>
      <c r="B80" s="913" t="s">
        <v>59</v>
      </c>
      <c r="C80" s="242"/>
      <c r="D80" s="242"/>
      <c r="E80" s="243"/>
      <c r="F80" s="244">
        <v>10000.0</v>
      </c>
      <c r="G80" s="244">
        <f t="shared" si="204"/>
        <v>15806</v>
      </c>
      <c r="H80" s="704">
        <f t="shared" si="199"/>
        <v>1.5806</v>
      </c>
      <c r="I80" s="427" t="str">
        <f>IFERROR(__xludf.DUMMYFUNCTION("IFERROR(SPARKLINE(H80,{""charttype"",""bar"";""color1"",IF(H80&gt;='Апрель'!green_percent,'Апрель'!green,IF(H80&gt;='Апрель'!yellow_percent,'Апрель'!yellow,IF(H80&gt;='Апрель'!orange_percent,'Апрель'!orange,'Апрель'!red)));""max"",1}))"),"")</f>
        <v/>
      </c>
      <c r="K80" s="1020"/>
      <c r="L80" s="930"/>
      <c r="M80" s="929"/>
      <c r="N80" s="773"/>
      <c r="O80" s="1020">
        <f t="shared" si="205"/>
        <v>333.3333333</v>
      </c>
      <c r="P80" s="931"/>
      <c r="Q80" s="929">
        <v>333.3333333333333</v>
      </c>
      <c r="R80" s="776"/>
      <c r="S80" s="929">
        <v>333.3333333333333</v>
      </c>
      <c r="T80" s="776"/>
      <c r="U80" s="929">
        <v>333.3333333333333</v>
      </c>
      <c r="V80" s="776"/>
      <c r="W80" s="256">
        <v>333.3333333333333</v>
      </c>
      <c r="X80" s="822"/>
      <c r="Y80" s="255">
        <f>K80+M80+O80+Q80+S80+U80+W80</f>
        <v>1666.666667</v>
      </c>
      <c r="Z80" s="244">
        <v>2581.0</v>
      </c>
      <c r="AA80" s="412">
        <f t="shared" si="200"/>
        <v>1.5486</v>
      </c>
      <c r="AB80" s="413" t="str">
        <f>IFERROR(__xludf.DUMMYFUNCTION("IFERROR(SPARKLINE(AA80,{""charttype"",""bar"";""color1"",IF(AA80&gt;='Апрель'!green_percent,'Апрель'!green,IF(AA80&gt;='Апрель'!yellow_percent,'Апрель'!yellow,IF(AA80&gt;='Апрель'!orange_percent,'Апрель'!orange,'Апрель'!red)));""max"",1}))"),"")</f>
        <v/>
      </c>
      <c r="AC80" s="711">
        <v>333.3333333333333</v>
      </c>
      <c r="AD80" s="824"/>
      <c r="AE80" s="711">
        <v>333.3333333333333</v>
      </c>
      <c r="AF80" s="824"/>
      <c r="AG80" s="711">
        <v>333.3333333333333</v>
      </c>
      <c r="AH80" s="824"/>
      <c r="AI80" s="711">
        <v>333.3333333333333</v>
      </c>
      <c r="AJ80" s="824"/>
      <c r="AK80" s="711">
        <v>333.3333333333333</v>
      </c>
      <c r="AL80" s="824"/>
      <c r="AM80" s="711">
        <v>333.3333333333333</v>
      </c>
      <c r="AN80" s="825"/>
      <c r="AO80" s="711">
        <v>333.3333333333333</v>
      </c>
      <c r="AP80" s="459"/>
      <c r="AQ80" s="255">
        <f t="shared" si="206"/>
        <v>2333.333333</v>
      </c>
      <c r="AR80" s="244">
        <v>3676.0</v>
      </c>
      <c r="AS80" s="253">
        <f t="shared" si="207"/>
        <v>1.575428571</v>
      </c>
      <c r="AT80" s="427" t="str">
        <f>IFERROR(__xludf.DUMMYFUNCTION("IFERROR(SPARKLINE(AS80,{""charttype"",""bar"";""color1"",IF(AS80&gt;='Апрель'!green_percent,'Апрель'!green,IF(AS80&gt;='Апрель'!yellow_percent,'Апрель'!yellow,IF(AS80&gt;='Апрель'!orange_percent,'Апрель'!orange,'Апрель'!red)));""max"",1}))"),"")</f>
        <v/>
      </c>
      <c r="AU80" s="711">
        <v>333.3333333333333</v>
      </c>
      <c r="AV80" s="822"/>
      <c r="AW80" s="711">
        <v>333.3333333333333</v>
      </c>
      <c r="AX80" s="822"/>
      <c r="AY80" s="711">
        <v>333.3333333333333</v>
      </c>
      <c r="AZ80" s="776"/>
      <c r="BA80" s="711">
        <v>333.3333333333333</v>
      </c>
      <c r="BB80" s="776"/>
      <c r="BC80" s="711">
        <v>333.3333333333333</v>
      </c>
      <c r="BD80" s="776"/>
      <c r="BE80" s="711">
        <v>333.3333333333333</v>
      </c>
      <c r="BF80" s="776"/>
      <c r="BG80" s="711">
        <v>333.3333333333333</v>
      </c>
      <c r="BH80" s="822"/>
      <c r="BI80" s="255">
        <v>1666.6666666666665</v>
      </c>
      <c r="BJ80" s="244">
        <v>1122.0</v>
      </c>
      <c r="BK80" s="253">
        <f t="shared" si="201"/>
        <v>0.6732</v>
      </c>
      <c r="BL80" s="427" t="str">
        <f>IFERROR(__xludf.DUMMYFUNCTION("IFERROR(SPARKLINE(BK80,{""charttype"",""bar"";""color1"",IF(BK80&gt;='Апрель'!green_percent,'Апрель'!green,IF(BK80&gt;='Апрель'!yellow_percent,'Апрель'!yellow,IF(BK80&gt;='Апрель'!orange_percent,'Апрель'!orange,'Апрель'!red)));""max"",1}))"),"")</f>
        <v/>
      </c>
      <c r="BM80" s="711">
        <v>333.3333333333333</v>
      </c>
      <c r="BN80" s="710"/>
      <c r="BO80" s="711">
        <v>333.3333333333333</v>
      </c>
      <c r="BP80" s="465"/>
      <c r="BQ80" s="711">
        <v>333.3333333333333</v>
      </c>
      <c r="BR80" s="716"/>
      <c r="BS80" s="711">
        <v>333.3333333333333</v>
      </c>
      <c r="BT80" s="716"/>
      <c r="BU80" s="711">
        <v>333.3333333333333</v>
      </c>
      <c r="BV80" s="716"/>
      <c r="BW80" s="711">
        <v>333.3333333333333</v>
      </c>
      <c r="BX80" s="716"/>
      <c r="BY80" s="711">
        <v>333.3333333333333</v>
      </c>
      <c r="BZ80" s="716"/>
      <c r="CA80" s="255">
        <v>1666.6666666666665</v>
      </c>
      <c r="CB80" s="244">
        <v>4999.0</v>
      </c>
      <c r="CC80" s="253">
        <f t="shared" si="202"/>
        <v>2.9994</v>
      </c>
      <c r="CD80" s="427" t="str">
        <f>IFERROR(__xludf.DUMMYFUNCTION("IFERROR(SPARKLINE(CC80,{""charttype"",""bar"";""color1"",IF(CC80&gt;='Апрель'!green_percent,'Апрель'!green,IF(CC80&gt;='Апрель'!yellow_percent,'Апрель'!yellow,IF(CC80&gt;='Апрель'!orange_percent,'Апрель'!orange,'Апрель'!red)));""max"",1}))"),"")</f>
        <v/>
      </c>
      <c r="CE80" s="711">
        <v>333.3333333333333</v>
      </c>
      <c r="CF80" s="710"/>
      <c r="CG80" s="711">
        <v>333.3333333333333</v>
      </c>
      <c r="CH80" s="710"/>
      <c r="CI80" s="711">
        <v>333.3333333333333</v>
      </c>
      <c r="CJ80" s="710"/>
      <c r="CK80" s="711">
        <v>333.3333333333333</v>
      </c>
      <c r="CL80" s="710"/>
      <c r="CM80" s="256"/>
      <c r="CN80" s="710"/>
      <c r="CO80" s="256"/>
      <c r="CP80" s="710"/>
      <c r="CQ80" s="924"/>
      <c r="CR80" s="708"/>
      <c r="CS80" s="255">
        <v>1666.6666666666665</v>
      </c>
      <c r="CT80" s="244">
        <v>3428.0</v>
      </c>
      <c r="CU80" s="253">
        <f t="shared" si="203"/>
        <v>2.0568</v>
      </c>
      <c r="CV80" s="427" t="str">
        <f>IFERROR(__xludf.DUMMYFUNCTION("IFERROR(SPARKLINE(CU80,{""charttype"",""bar"";""color1"",IF(CU80&gt;='Апрель'!green_percent,'Апрель'!green,IF(CU80&gt;='Апрель'!yellow_percent,'Апрель'!yellow,IF(CU80&gt;='Апрель'!orange_percent,'Апрель'!orange,'Апрель'!red)));""max"",1}))"),"")</f>
        <v/>
      </c>
      <c r="CW80" s="924"/>
      <c r="CX80" s="244"/>
      <c r="CY80" s="842"/>
      <c r="CZ80" s="875"/>
      <c r="DA80" s="875"/>
      <c r="DB80" s="875"/>
      <c r="DC80" s="875"/>
      <c r="DD80" s="875"/>
      <c r="DE80" s="875"/>
      <c r="DF80" s="875"/>
      <c r="DG80" s="875"/>
      <c r="DH80" s="875"/>
      <c r="DI80" s="875"/>
      <c r="DJ80" s="875"/>
      <c r="DK80" s="326"/>
      <c r="DL80" s="876"/>
      <c r="DM80" s="327"/>
      <c r="DN80" s="329"/>
      <c r="DO80" s="875"/>
      <c r="DP80" s="926"/>
    </row>
    <row r="81">
      <c r="A81" s="927"/>
      <c r="B81" s="928" t="s">
        <v>60</v>
      </c>
      <c r="C81" s="217"/>
      <c r="D81" s="217"/>
      <c r="E81" s="218"/>
      <c r="F81" s="448">
        <v>40.0</v>
      </c>
      <c r="G81" s="448">
        <f t="shared" si="204"/>
        <v>9</v>
      </c>
      <c r="H81" s="543">
        <f t="shared" si="199"/>
        <v>0.225</v>
      </c>
      <c r="I81" s="462" t="str">
        <f>IFERROR(__xludf.DUMMYFUNCTION("IFERROR(SPARKLINE(H81,{""charttype"",""bar"";""color1"",IF(H81&gt;='Апрель'!green_percent,'Апрель'!green,IF(H81&gt;='Апрель'!yellow_percent,'Апрель'!yellow,IF(H81&gt;='Апрель'!orange_percent,'Апрель'!orange,'Апрель'!red)));""max"",1}))"),"")</f>
        <v/>
      </c>
      <c r="K81" s="282"/>
      <c r="L81" s="930"/>
      <c r="M81" s="929"/>
      <c r="N81" s="773"/>
      <c r="O81" s="282">
        <f t="shared" si="205"/>
        <v>1.333333333</v>
      </c>
      <c r="P81" s="931"/>
      <c r="Q81" s="929">
        <v>1.3333333333333333</v>
      </c>
      <c r="R81" s="776"/>
      <c r="S81" s="929">
        <v>1.3333333333333333</v>
      </c>
      <c r="T81" s="776"/>
      <c r="U81" s="929">
        <v>1.3333333333333333</v>
      </c>
      <c r="V81" s="776"/>
      <c r="W81" s="256">
        <v>1.3333333333333333</v>
      </c>
      <c r="X81" s="463"/>
      <c r="Y81" s="349">
        <f>O81+Q81+S81+U81+W81</f>
        <v>6.666666667</v>
      </c>
      <c r="Z81" s="448">
        <v>1.0</v>
      </c>
      <c r="AA81" s="220">
        <f t="shared" si="200"/>
        <v>0.15</v>
      </c>
      <c r="AB81" s="449" t="str">
        <f>IFERROR(__xludf.DUMMYFUNCTION("IFERROR(SPARKLINE(AA81,{""charttype"",""bar"";""color1"",IF(AA81&gt;='Апрель'!green_percent,'Апрель'!green,IF(AA81&gt;='Апрель'!yellow_percent,'Апрель'!yellow,IF(AA81&gt;='Апрель'!orange_percent,'Апрель'!orange,'Апрель'!red)));""max"",1}))"),"")</f>
        <v/>
      </c>
      <c r="AC81" s="256">
        <v>1.3333333333333333</v>
      </c>
      <c r="AD81" s="824"/>
      <c r="AE81" s="256">
        <v>1.3333333333333333</v>
      </c>
      <c r="AF81" s="824"/>
      <c r="AG81" s="256">
        <v>1.3333333333333333</v>
      </c>
      <c r="AH81" s="824"/>
      <c r="AI81" s="256">
        <v>1.3333333333333333</v>
      </c>
      <c r="AJ81" s="824"/>
      <c r="AK81" s="256">
        <v>1.3333333333333333</v>
      </c>
      <c r="AL81" s="824"/>
      <c r="AM81" s="256">
        <v>1.3333333333333333</v>
      </c>
      <c r="AN81" s="825"/>
      <c r="AO81" s="256">
        <v>1.3333333333333333</v>
      </c>
      <c r="AP81" s="459"/>
      <c r="AQ81" s="349">
        <f>AG81+AI81+AK81+AM81+AO81</f>
        <v>6.666666667</v>
      </c>
      <c r="AR81" s="448">
        <v>1.0</v>
      </c>
      <c r="AS81" s="279">
        <f t="shared" si="207"/>
        <v>0.15</v>
      </c>
      <c r="AT81" s="462" t="str">
        <f>IFERROR(__xludf.DUMMYFUNCTION("IFERROR(SPARKLINE(AS81,{""charttype"",""bar"";""color1"",IF(AS81&gt;='Апрель'!green_percent,'Апрель'!green,IF(AS81&gt;='Апрель'!yellow_percent,'Апрель'!yellow,IF(AS81&gt;='Апрель'!orange_percent,'Апрель'!orange,'Апрель'!red)));""max"",1}))"),"")</f>
        <v/>
      </c>
      <c r="AU81" s="256">
        <v>1.3333333333333333</v>
      </c>
      <c r="AV81" s="463"/>
      <c r="AW81" s="256">
        <v>1.3333333333333333</v>
      </c>
      <c r="AX81" s="463"/>
      <c r="AY81" s="256">
        <v>1.3333333333333333</v>
      </c>
      <c r="AZ81" s="776"/>
      <c r="BA81" s="256">
        <v>1.3333333333333333</v>
      </c>
      <c r="BB81" s="776"/>
      <c r="BC81" s="256">
        <v>1.3333333333333333</v>
      </c>
      <c r="BD81" s="776"/>
      <c r="BE81" s="256">
        <v>1.3333333333333333</v>
      </c>
      <c r="BF81" s="776"/>
      <c r="BG81" s="256">
        <v>1.3333333333333333</v>
      </c>
      <c r="BH81" s="463"/>
      <c r="BI81" s="349">
        <v>6.666666666666666</v>
      </c>
      <c r="BJ81" s="448">
        <v>1.0</v>
      </c>
      <c r="BK81" s="279">
        <f t="shared" si="201"/>
        <v>0.15</v>
      </c>
      <c r="BL81" s="462" t="str">
        <f>IFERROR(__xludf.DUMMYFUNCTION("IFERROR(SPARKLINE(BK81,{""charttype"",""bar"";""color1"",IF(BK81&gt;='Апрель'!green_percent,'Апрель'!green,IF(BK81&gt;='Апрель'!yellow_percent,'Апрель'!yellow,IF(BK81&gt;='Апрель'!orange_percent,'Апрель'!orange,'Апрель'!red)));""max"",1}))"),"")</f>
        <v/>
      </c>
      <c r="BM81" s="256">
        <v>1.3333333333333333</v>
      </c>
      <c r="BN81" s="466"/>
      <c r="BO81" s="256">
        <v>1.3333333333333333</v>
      </c>
      <c r="BP81" s="465"/>
      <c r="BQ81" s="256">
        <v>1.3333333333333333</v>
      </c>
      <c r="BR81" s="465"/>
      <c r="BS81" s="256">
        <v>1.3333333333333333</v>
      </c>
      <c r="BT81" s="465"/>
      <c r="BU81" s="256">
        <v>1.3333333333333333</v>
      </c>
      <c r="BV81" s="465"/>
      <c r="BW81" s="256">
        <v>1.3333333333333333</v>
      </c>
      <c r="BX81" s="465"/>
      <c r="BY81" s="256">
        <v>1.3333333333333333</v>
      </c>
      <c r="BZ81" s="465"/>
      <c r="CA81" s="349">
        <v>6.666666666666666</v>
      </c>
      <c r="CB81" s="448">
        <v>5.0</v>
      </c>
      <c r="CC81" s="279">
        <f t="shared" si="202"/>
        <v>0.75</v>
      </c>
      <c r="CD81" s="462" t="str">
        <f>IFERROR(__xludf.DUMMYFUNCTION("IFERROR(SPARKLINE(CC81,{""charttype"",""bar"";""color1"",IF(CC81&gt;='Апрель'!green_percent,'Апрель'!green,IF(CC81&gt;='Апрель'!yellow_percent,'Апрель'!yellow,IF(CC81&gt;='Апрель'!orange_percent,'Апрель'!orange,'Апрель'!red)));""max"",1}))"),"")</f>
        <v/>
      </c>
      <c r="CE81" s="256">
        <v>1.3333333333333333</v>
      </c>
      <c r="CF81" s="466"/>
      <c r="CG81" s="256">
        <v>1.3333333333333333</v>
      </c>
      <c r="CH81" s="466"/>
      <c r="CI81" s="256">
        <v>1.3333333333333333</v>
      </c>
      <c r="CJ81" s="466"/>
      <c r="CK81" s="256">
        <v>1.3333333333333333</v>
      </c>
      <c r="CL81" s="466"/>
      <c r="CM81" s="256"/>
      <c r="CN81" s="466"/>
      <c r="CO81" s="256"/>
      <c r="CP81" s="466"/>
      <c r="CQ81" s="924"/>
      <c r="CR81" s="726"/>
      <c r="CS81" s="349">
        <v>6.666666666666666</v>
      </c>
      <c r="CT81" s="448">
        <v>1.0</v>
      </c>
      <c r="CU81" s="279">
        <f t="shared" si="203"/>
        <v>0.15</v>
      </c>
      <c r="CV81" s="462" t="str">
        <f>IFERROR(__xludf.DUMMYFUNCTION("IFERROR(SPARKLINE(CU81,{""charttype"",""bar"";""color1"",IF(CU81&gt;='Апрель'!green_percent,'Апрель'!green,IF(CU81&gt;='Апрель'!yellow_percent,'Апрель'!yellow,IF(CU81&gt;='Апрель'!orange_percent,'Апрель'!orange,'Апрель'!red)));""max"",1}))"),"")</f>
        <v/>
      </c>
      <c r="CW81" s="924"/>
      <c r="CX81" s="448"/>
      <c r="CY81" s="842"/>
      <c r="CZ81" s="843"/>
      <c r="DA81" s="843"/>
      <c r="DB81" s="843"/>
      <c r="DC81" s="843"/>
      <c r="DD81" s="843"/>
      <c r="DE81" s="843"/>
      <c r="DF81" s="843"/>
      <c r="DG81" s="843"/>
      <c r="DH81" s="843"/>
      <c r="DI81" s="843"/>
      <c r="DJ81" s="843"/>
      <c r="DK81" s="289"/>
      <c r="DL81" s="844"/>
      <c r="DM81" s="310"/>
      <c r="DN81" s="339"/>
      <c r="DO81" s="843"/>
      <c r="DP81" s="933"/>
    </row>
    <row r="82">
      <c r="A82" s="912"/>
      <c r="B82" s="937" t="s">
        <v>52</v>
      </c>
      <c r="C82" s="242"/>
      <c r="D82" s="242"/>
      <c r="E82" s="243"/>
      <c r="F82" s="244">
        <v>60000.0</v>
      </c>
      <c r="G82" s="244">
        <f t="shared" si="204"/>
        <v>21000</v>
      </c>
      <c r="H82" s="704">
        <f t="shared" si="199"/>
        <v>0.35</v>
      </c>
      <c r="I82" s="427" t="str">
        <f>IFERROR(__xludf.DUMMYFUNCTION("IFERROR(SPARKLINE(H82,{""charttype"",""bar"";""color1"",IF(H82&gt;='Апрель'!green_percent,'Апрель'!green,IF(H82&gt;='Апрель'!yellow_percent,'Апрель'!yellow,IF(H82&gt;='Апрель'!orange_percent,'Апрель'!orange,'Апрель'!red)));""max"",1}))"),"")</f>
        <v/>
      </c>
      <c r="K82" s="1020"/>
      <c r="L82" s="930"/>
      <c r="M82" s="929"/>
      <c r="N82" s="773"/>
      <c r="O82" s="1020">
        <f>F82/31</f>
        <v>1935.483871</v>
      </c>
      <c r="P82" s="931"/>
      <c r="Q82" s="929">
        <v>1935.483870967742</v>
      </c>
      <c r="R82" s="776"/>
      <c r="S82" s="929">
        <v>1935.483870967742</v>
      </c>
      <c r="T82" s="776"/>
      <c r="U82" s="929">
        <v>1935.483870967742</v>
      </c>
      <c r="V82" s="776"/>
      <c r="W82" s="256">
        <v>1935.483870967742</v>
      </c>
      <c r="X82" s="822"/>
      <c r="Y82" s="255">
        <f>K82+M82+O82+Q82+S82+U82+W82</f>
        <v>9677.419355</v>
      </c>
      <c r="Z82" s="244">
        <v>0.0</v>
      </c>
      <c r="AA82" s="412">
        <f t="shared" si="200"/>
        <v>0</v>
      </c>
      <c r="AB82" s="413" t="str">
        <f>IFERROR(__xludf.DUMMYFUNCTION("IFERROR(SPARKLINE(AA82,{""charttype"",""bar"";""color1"",IF(AA82&gt;='Апрель'!green_percent,'Апрель'!green,IF(AA82&gt;='Апрель'!yellow_percent,'Апрель'!yellow,IF(AA82&gt;='Апрель'!orange_percent,'Апрель'!orange,'Апрель'!red)));""max"",1}))"),"")</f>
        <v/>
      </c>
      <c r="AC82" s="711">
        <v>1935.483870967742</v>
      </c>
      <c r="AD82" s="824"/>
      <c r="AE82" s="711">
        <v>1935.483870967742</v>
      </c>
      <c r="AF82" s="824"/>
      <c r="AG82" s="711">
        <v>1935.483870967742</v>
      </c>
      <c r="AH82" s="824"/>
      <c r="AI82" s="711">
        <v>1935.483870967742</v>
      </c>
      <c r="AJ82" s="824"/>
      <c r="AK82" s="711">
        <v>1935.483870967742</v>
      </c>
      <c r="AL82" s="824"/>
      <c r="AM82" s="711">
        <v>1935.483870967742</v>
      </c>
      <c r="AN82" s="825"/>
      <c r="AO82" s="711">
        <v>1935.483870967742</v>
      </c>
      <c r="AP82" s="459"/>
      <c r="AQ82" s="255">
        <f>AC82+AE82+AG82+AI82+AK82+AM82+AO82</f>
        <v>13548.3871</v>
      </c>
      <c r="AR82" s="244">
        <v>21000.0</v>
      </c>
      <c r="AS82" s="253">
        <f t="shared" si="207"/>
        <v>1.55</v>
      </c>
      <c r="AT82" s="427" t="str">
        <f>IFERROR(__xludf.DUMMYFUNCTION("IFERROR(SPARKLINE(AS82,{""charttype"",""bar"";""color1"",IF(AS82&gt;='Апрель'!green_percent,'Апрель'!green,IF(AS82&gt;='Апрель'!yellow_percent,'Апрель'!yellow,IF(AS82&gt;='Апрель'!orange_percent,'Апрель'!orange,'Апрель'!red)));""max"",1}))"),"")</f>
        <v/>
      </c>
      <c r="AU82" s="711">
        <v>1935.483870967742</v>
      </c>
      <c r="AV82" s="822"/>
      <c r="AW82" s="711">
        <v>1935.483870967742</v>
      </c>
      <c r="AX82" s="822"/>
      <c r="AY82" s="711">
        <v>1935.483870967742</v>
      </c>
      <c r="AZ82" s="776"/>
      <c r="BA82" s="711">
        <v>1935.483870967742</v>
      </c>
      <c r="BB82" s="776"/>
      <c r="BC82" s="711">
        <v>1935.483870967742</v>
      </c>
      <c r="BD82" s="776"/>
      <c r="BE82" s="711">
        <v>1935.483870967742</v>
      </c>
      <c r="BF82" s="776"/>
      <c r="BG82" s="711">
        <v>1935.483870967742</v>
      </c>
      <c r="BH82" s="822"/>
      <c r="BI82" s="255">
        <v>9677.41935483871</v>
      </c>
      <c r="BJ82" s="244">
        <v>0.0</v>
      </c>
      <c r="BK82" s="253">
        <f t="shared" si="201"/>
        <v>0</v>
      </c>
      <c r="BL82" s="427" t="str">
        <f>IFERROR(__xludf.DUMMYFUNCTION("IFERROR(SPARKLINE(BK82,{""charttype"",""bar"";""color1"",IF(BK82&gt;='Апрель'!green_percent,'Апрель'!green,IF(BK82&gt;='Апрель'!yellow_percent,'Апрель'!yellow,IF(BK82&gt;='Апрель'!orange_percent,'Апрель'!orange,'Апрель'!red)));""max"",1}))"),"")</f>
        <v/>
      </c>
      <c r="BM82" s="711">
        <v>1935.483870967742</v>
      </c>
      <c r="BN82" s="710"/>
      <c r="BO82" s="711">
        <v>1935.483870967742</v>
      </c>
      <c r="BP82" s="465"/>
      <c r="BQ82" s="711">
        <v>1935.483870967742</v>
      </c>
      <c r="BR82" s="716"/>
      <c r="BS82" s="711">
        <v>1935.483870967742</v>
      </c>
      <c r="BT82" s="716"/>
      <c r="BU82" s="711">
        <v>1935.483870967742</v>
      </c>
      <c r="BV82" s="716"/>
      <c r="BW82" s="711">
        <v>1935.483870967742</v>
      </c>
      <c r="BX82" s="716"/>
      <c r="BY82" s="711">
        <v>1935.483870967742</v>
      </c>
      <c r="BZ82" s="716"/>
      <c r="CA82" s="255">
        <v>9677.41935483871</v>
      </c>
      <c r="CB82" s="244">
        <v>0.0</v>
      </c>
      <c r="CC82" s="253">
        <f t="shared" si="202"/>
        <v>0</v>
      </c>
      <c r="CD82" s="427" t="str">
        <f>IFERROR(__xludf.DUMMYFUNCTION("IFERROR(SPARKLINE(CC82,{""charttype"",""bar"";""color1"",IF(CC82&gt;='Апрель'!green_percent,'Апрель'!green,IF(CC82&gt;='Апрель'!yellow_percent,'Апрель'!yellow,IF(CC82&gt;='Апрель'!orange_percent,'Апрель'!orange,'Апрель'!red)));""max"",1}))"),"")</f>
        <v/>
      </c>
      <c r="CE82" s="711">
        <v>1935.483870967742</v>
      </c>
      <c r="CF82" s="710"/>
      <c r="CG82" s="711">
        <v>1935.483870967742</v>
      </c>
      <c r="CH82" s="710"/>
      <c r="CI82" s="711">
        <v>1935.483870967742</v>
      </c>
      <c r="CJ82" s="710"/>
      <c r="CK82" s="711">
        <v>1935.483870967742</v>
      </c>
      <c r="CL82" s="710"/>
      <c r="CM82" s="256"/>
      <c r="CN82" s="710"/>
      <c r="CO82" s="256"/>
      <c r="CP82" s="710"/>
      <c r="CQ82" s="924"/>
      <c r="CR82" s="708"/>
      <c r="CS82" s="255">
        <v>9677.41935483871</v>
      </c>
      <c r="CT82" s="244">
        <v>0.0</v>
      </c>
      <c r="CU82" s="253">
        <f t="shared" si="203"/>
        <v>0</v>
      </c>
      <c r="CV82" s="427" t="str">
        <f>IFERROR(__xludf.DUMMYFUNCTION("IFERROR(SPARKLINE(CU82,{""charttype"",""bar"";""color1"",IF(CU82&gt;='Апрель'!green_percent,'Апрель'!green,IF(CU82&gt;='Апрель'!yellow_percent,'Апрель'!yellow,IF(CU82&gt;='Апрель'!orange_percent,'Апрель'!orange,'Апрель'!red)));""max"",1}))"),"")</f>
        <v/>
      </c>
      <c r="CW82" s="924"/>
      <c r="CX82" s="244"/>
      <c r="CY82" s="842"/>
      <c r="CZ82" s="875"/>
      <c r="DA82" s="875"/>
      <c r="DB82" s="875"/>
      <c r="DC82" s="875"/>
      <c r="DD82" s="875"/>
      <c r="DE82" s="875"/>
      <c r="DF82" s="875"/>
      <c r="DG82" s="875"/>
      <c r="DH82" s="875"/>
      <c r="DI82" s="875"/>
      <c r="DJ82" s="875"/>
      <c r="DK82" s="326"/>
      <c r="DL82" s="876"/>
      <c r="DM82" s="327"/>
      <c r="DN82" s="329"/>
      <c r="DO82" s="875"/>
      <c r="DP82" s="926"/>
    </row>
    <row r="83">
      <c r="A83" s="927"/>
      <c r="B83" s="928" t="s">
        <v>61</v>
      </c>
      <c r="C83" s="217"/>
      <c r="D83" s="217"/>
      <c r="E83" s="218"/>
      <c r="F83" s="448">
        <v>30.0</v>
      </c>
      <c r="G83" s="448">
        <f t="shared" si="204"/>
        <v>30</v>
      </c>
      <c r="H83" s="543">
        <f t="shared" si="199"/>
        <v>1</v>
      </c>
      <c r="I83" s="462" t="str">
        <f>IFERROR(__xludf.DUMMYFUNCTION("IFERROR(SPARKLINE(H83,{""charttype"",""bar"";""color1"",IF(H83&gt;='Апрель'!green_percent,'Апрель'!green,IF(H83&gt;='Апрель'!yellow_percent,'Апрель'!yellow,IF(H83&gt;='Апрель'!orange_percent,'Апрель'!orange,'Апрель'!red)));""max"",1}))"),"")</f>
        <v/>
      </c>
      <c r="K83" s="282"/>
      <c r="L83" s="930"/>
      <c r="M83" s="929"/>
      <c r="N83" s="773"/>
      <c r="O83" s="282">
        <f>F83/30</f>
        <v>1</v>
      </c>
      <c r="P83" s="931"/>
      <c r="Q83" s="929">
        <v>1.0</v>
      </c>
      <c r="R83" s="776"/>
      <c r="S83" s="929">
        <v>1.0</v>
      </c>
      <c r="T83" s="776"/>
      <c r="U83" s="929">
        <v>1.0</v>
      </c>
      <c r="V83" s="776"/>
      <c r="W83" s="256">
        <v>1.0</v>
      </c>
      <c r="X83" s="463"/>
      <c r="Y83" s="349">
        <f>O83+Q83+S83+U83+W83</f>
        <v>5</v>
      </c>
      <c r="Z83" s="448">
        <v>2.0</v>
      </c>
      <c r="AA83" s="220">
        <f t="shared" si="200"/>
        <v>0.4</v>
      </c>
      <c r="AB83" s="449" t="str">
        <f>IFERROR(__xludf.DUMMYFUNCTION("IFERROR(SPARKLINE(AA83,{""charttype"",""bar"";""color1"",IF(AA83&gt;='Апрель'!green_percent,'Апрель'!green,IF(AA83&gt;='Апрель'!yellow_percent,'Апрель'!yellow,IF(AA83&gt;='Апрель'!orange_percent,'Апрель'!orange,'Апрель'!red)));""max"",1}))"),"")</f>
        <v/>
      </c>
      <c r="AC83" s="256">
        <v>1.0</v>
      </c>
      <c r="AD83" s="824"/>
      <c r="AE83" s="256">
        <v>1.0</v>
      </c>
      <c r="AF83" s="824"/>
      <c r="AG83" s="256">
        <v>1.0</v>
      </c>
      <c r="AH83" s="824"/>
      <c r="AI83" s="256">
        <v>1.0</v>
      </c>
      <c r="AJ83" s="824"/>
      <c r="AK83" s="256">
        <v>1.0</v>
      </c>
      <c r="AL83" s="824"/>
      <c r="AM83" s="256">
        <v>1.0</v>
      </c>
      <c r="AN83" s="825"/>
      <c r="AO83" s="256">
        <v>1.0</v>
      </c>
      <c r="AP83" s="459"/>
      <c r="AQ83" s="349">
        <f>AG83+AI83+AK83+AM83+AO83</f>
        <v>5</v>
      </c>
      <c r="AR83" s="448">
        <v>14.0</v>
      </c>
      <c r="AS83" s="279">
        <f t="shared" si="207"/>
        <v>2.8</v>
      </c>
      <c r="AT83" s="462" t="str">
        <f>IFERROR(__xludf.DUMMYFUNCTION("IFERROR(SPARKLINE(AS83,{""charttype"",""bar"";""color1"",IF(AS83&gt;='Апрель'!green_percent,'Апрель'!green,IF(AS83&gt;='Апрель'!yellow_percent,'Апрель'!yellow,IF(AS83&gt;='Апрель'!orange_percent,'Апрель'!orange,'Апрель'!red)));""max"",1}))"),"")</f>
        <v/>
      </c>
      <c r="AU83" s="256">
        <v>1.0</v>
      </c>
      <c r="AV83" s="463"/>
      <c r="AW83" s="256">
        <v>1.0</v>
      </c>
      <c r="AX83" s="463"/>
      <c r="AY83" s="256">
        <v>1.0</v>
      </c>
      <c r="AZ83" s="776"/>
      <c r="BA83" s="256">
        <v>1.0</v>
      </c>
      <c r="BB83" s="776"/>
      <c r="BC83" s="256">
        <v>1.0</v>
      </c>
      <c r="BD83" s="776"/>
      <c r="BE83" s="256">
        <v>1.0</v>
      </c>
      <c r="BF83" s="776"/>
      <c r="BG83" s="256">
        <v>1.0</v>
      </c>
      <c r="BH83" s="463"/>
      <c r="BI83" s="349">
        <v>5.0</v>
      </c>
      <c r="BJ83" s="448">
        <v>4.0</v>
      </c>
      <c r="BK83" s="279">
        <f t="shared" si="201"/>
        <v>0.8</v>
      </c>
      <c r="BL83" s="462" t="str">
        <f>IFERROR(__xludf.DUMMYFUNCTION("IFERROR(SPARKLINE(BK83,{""charttype"",""bar"";""color1"",IF(BK83&gt;='Апрель'!green_percent,'Апрель'!green,IF(BK83&gt;='Апрель'!yellow_percent,'Апрель'!yellow,IF(BK83&gt;='Апрель'!orange_percent,'Апрель'!orange,'Апрель'!red)));""max"",1}))"),"")</f>
        <v/>
      </c>
      <c r="BM83" s="256">
        <v>1.0</v>
      </c>
      <c r="BN83" s="466"/>
      <c r="BO83" s="256">
        <v>1.0</v>
      </c>
      <c r="BP83" s="465"/>
      <c r="BQ83" s="256">
        <v>1.0</v>
      </c>
      <c r="BR83" s="465"/>
      <c r="BS83" s="256">
        <v>1.0</v>
      </c>
      <c r="BT83" s="465"/>
      <c r="BU83" s="256">
        <v>1.0</v>
      </c>
      <c r="BV83" s="465"/>
      <c r="BW83" s="256">
        <v>1.0</v>
      </c>
      <c r="BX83" s="465"/>
      <c r="BY83" s="256">
        <v>1.0</v>
      </c>
      <c r="BZ83" s="465"/>
      <c r="CA83" s="349">
        <v>5.0</v>
      </c>
      <c r="CB83" s="448">
        <v>5.0</v>
      </c>
      <c r="CC83" s="279">
        <f t="shared" si="202"/>
        <v>1</v>
      </c>
      <c r="CD83" s="462" t="str">
        <f>IFERROR(__xludf.DUMMYFUNCTION("IFERROR(SPARKLINE(CC83,{""charttype"",""bar"";""color1"",IF(CC83&gt;='Апрель'!green_percent,'Апрель'!green,IF(CC83&gt;='Апрель'!yellow_percent,'Апрель'!yellow,IF(CC83&gt;='Апрель'!orange_percent,'Апрель'!orange,'Апрель'!red)));""max"",1}))"),"")</f>
        <v/>
      </c>
      <c r="CE83" s="256">
        <v>1.0</v>
      </c>
      <c r="CF83" s="466"/>
      <c r="CG83" s="256">
        <v>1.0</v>
      </c>
      <c r="CH83" s="466"/>
      <c r="CI83" s="256">
        <v>1.0</v>
      </c>
      <c r="CJ83" s="466"/>
      <c r="CK83" s="256">
        <v>1.0</v>
      </c>
      <c r="CL83" s="466"/>
      <c r="CM83" s="256"/>
      <c r="CN83" s="466"/>
      <c r="CO83" s="256"/>
      <c r="CP83" s="466"/>
      <c r="CQ83" s="924"/>
      <c r="CR83" s="726"/>
      <c r="CS83" s="349">
        <v>5.0</v>
      </c>
      <c r="CT83" s="448">
        <v>5.0</v>
      </c>
      <c r="CU83" s="279">
        <f t="shared" si="203"/>
        <v>1</v>
      </c>
      <c r="CV83" s="462" t="str">
        <f>IFERROR(__xludf.DUMMYFUNCTION("IFERROR(SPARKLINE(CU83,{""charttype"",""bar"";""color1"",IF(CU83&gt;='Апрель'!green_percent,'Апрель'!green,IF(CU83&gt;='Апрель'!yellow_percent,'Апрель'!yellow,IF(CU83&gt;='Апрель'!orange_percent,'Апрель'!orange,'Апрель'!red)));""max"",1}))"),"")</f>
        <v/>
      </c>
      <c r="CW83" s="924"/>
      <c r="CX83" s="448"/>
      <c r="CY83" s="842"/>
      <c r="CZ83" s="843"/>
      <c r="DA83" s="843"/>
      <c r="DB83" s="843"/>
      <c r="DC83" s="843"/>
      <c r="DD83" s="843"/>
      <c r="DE83" s="843"/>
      <c r="DF83" s="843"/>
      <c r="DG83" s="843"/>
      <c r="DH83" s="843"/>
      <c r="DI83" s="843"/>
      <c r="DJ83" s="843"/>
      <c r="DK83" s="289"/>
      <c r="DL83" s="844"/>
      <c r="DM83" s="310"/>
      <c r="DN83" s="339"/>
      <c r="DO83" s="843"/>
      <c r="DP83" s="933"/>
    </row>
    <row r="84">
      <c r="A84" s="912"/>
      <c r="B84" s="937" t="s">
        <v>54</v>
      </c>
      <c r="C84" s="242"/>
      <c r="D84" s="242"/>
      <c r="E84" s="243"/>
      <c r="F84" s="581">
        <f t="shared" ref="F84:G84" si="208">F79/F83</f>
        <v>216.6666667</v>
      </c>
      <c r="G84" s="581">
        <f t="shared" si="208"/>
        <v>166.6666667</v>
      </c>
      <c r="H84" s="704">
        <f t="shared" si="199"/>
        <v>0.7692307692</v>
      </c>
      <c r="I84" s="427" t="str">
        <f>IFERROR(__xludf.DUMMYFUNCTION("IFERROR(SPARKLINE(H84,{""charttype"",""bar"";""color1"",IF(H84&gt;='Апрель'!green_percent,'Апрель'!green,IF(H84&gt;='Апрель'!yellow_percent,'Апрель'!yellow,IF(H84&gt;='Апрель'!orange_percent,'Апрель'!orange,'Апрель'!red)));""max"",1}))"),"")</f>
        <v/>
      </c>
      <c r="K84" s="497"/>
      <c r="L84" s="930"/>
      <c r="M84" s="1018"/>
      <c r="N84" s="773"/>
      <c r="O84" s="1021">
        <f>O79/O83</f>
        <v>216.6666667</v>
      </c>
      <c r="P84" s="931"/>
      <c r="Q84" s="1022">
        <f>Q79/Q83</f>
        <v>216.6666667</v>
      </c>
      <c r="R84" s="776"/>
      <c r="S84" s="581">
        <f>S79/S83</f>
        <v>216.6666667</v>
      </c>
      <c r="T84" s="786"/>
      <c r="U84" s="581">
        <f>U79/U83</f>
        <v>216.6666667</v>
      </c>
      <c r="V84" s="786"/>
      <c r="W84" s="581">
        <f>W79/W83</f>
        <v>216.6666667</v>
      </c>
      <c r="X84" s="822"/>
      <c r="Y84" s="581">
        <f t="shared" ref="Y84:Z84" si="209">Y79/Y83</f>
        <v>216.6666667</v>
      </c>
      <c r="Z84" s="592">
        <f t="shared" si="209"/>
        <v>0</v>
      </c>
      <c r="AA84" s="412">
        <f t="shared" si="200"/>
        <v>0</v>
      </c>
      <c r="AB84" s="413" t="str">
        <f>IFERROR(__xludf.DUMMYFUNCTION("IFERROR(SPARKLINE(AA84,{""charttype"",""bar"";""color1"",IF(AA84&gt;='Апрель'!green_percent,'Апрель'!green,IF(AA84&gt;='Апрель'!yellow_percent,'Апрель'!yellow,IF(AA84&gt;='Апрель'!orange_percent,'Апрель'!orange,'Апрель'!red)));""max"",1}))"),"")</f>
        <v/>
      </c>
      <c r="AC84" s="1023">
        <v>216.66666666666666</v>
      </c>
      <c r="AD84" s="824"/>
      <c r="AE84" s="1023">
        <v>216.66666666666666</v>
      </c>
      <c r="AF84" s="824"/>
      <c r="AG84" s="1023">
        <v>216.66666666666666</v>
      </c>
      <c r="AH84" s="824"/>
      <c r="AI84" s="1023">
        <v>216.66666666666666</v>
      </c>
      <c r="AJ84" s="824"/>
      <c r="AK84" s="1023">
        <v>216.66666666666666</v>
      </c>
      <c r="AL84" s="824"/>
      <c r="AM84" s="1023">
        <v>216.66666666666666</v>
      </c>
      <c r="AN84" s="825"/>
      <c r="AO84" s="1023">
        <v>216.66666666666666</v>
      </c>
      <c r="AP84" s="459"/>
      <c r="AQ84" s="581">
        <f t="shared" ref="AQ84:AR84" si="210">AQ79/AQ83</f>
        <v>303.3333333</v>
      </c>
      <c r="AR84" s="428">
        <f t="shared" si="210"/>
        <v>357.1428571</v>
      </c>
      <c r="AS84" s="253">
        <f t="shared" si="207"/>
        <v>1.177394035</v>
      </c>
      <c r="AT84" s="427" t="str">
        <f>IFERROR(__xludf.DUMMYFUNCTION("IFERROR(SPARKLINE(AS84,{""charttype"",""bar"";""color1"",IF(AS84&gt;='Апрель'!green_percent,'Апрель'!green,IF(AS84&gt;='Апрель'!yellow_percent,'Апрель'!yellow,IF(AS84&gt;='Апрель'!orange_percent,'Апрель'!orange,'Апрель'!red)));""max"",1}))"),"")</f>
        <v/>
      </c>
      <c r="AU84" s="1023">
        <v>216.66666666666666</v>
      </c>
      <c r="AV84" s="822"/>
      <c r="AW84" s="1023">
        <v>216.66666666666666</v>
      </c>
      <c r="AX84" s="822"/>
      <c r="AY84" s="1023">
        <v>216.66666666666666</v>
      </c>
      <c r="AZ84" s="776"/>
      <c r="BA84" s="1023">
        <v>216.66666666666666</v>
      </c>
      <c r="BB84" s="776"/>
      <c r="BC84" s="1023">
        <v>216.66666666666666</v>
      </c>
      <c r="BD84" s="776"/>
      <c r="BE84" s="1023">
        <v>216.66666666666666</v>
      </c>
      <c r="BF84" s="776"/>
      <c r="BG84" s="1023">
        <v>216.66666666666666</v>
      </c>
      <c r="BH84" s="822"/>
      <c r="BI84" s="1021">
        <v>216.66666666666666</v>
      </c>
      <c r="BJ84" s="244">
        <v>0.0</v>
      </c>
      <c r="BK84" s="253">
        <f t="shared" si="201"/>
        <v>0</v>
      </c>
      <c r="BL84" s="427" t="str">
        <f>IFERROR(__xludf.DUMMYFUNCTION("IFERROR(SPARKLINE(BK84,{""charttype"",""bar"";""color1"",IF(BK84&gt;='Апрель'!green_percent,'Апрель'!green,IF(BK84&gt;='Апрель'!yellow_percent,'Апрель'!yellow,IF(BK84&gt;='Апрель'!orange_percent,'Апрель'!orange,'Апрель'!red)));""max"",1}))"),"")</f>
        <v/>
      </c>
      <c r="BM84" s="1023">
        <v>216.66666666666666</v>
      </c>
      <c r="BN84" s="710"/>
      <c r="BO84" s="1023">
        <v>216.66666666666666</v>
      </c>
      <c r="BP84" s="465"/>
      <c r="BQ84" s="1023">
        <v>216.66666666666666</v>
      </c>
      <c r="BR84" s="716"/>
      <c r="BS84" s="1023">
        <v>216.66666666666666</v>
      </c>
      <c r="BT84" s="716"/>
      <c r="BU84" s="1023">
        <v>216.66666666666666</v>
      </c>
      <c r="BV84" s="716"/>
      <c r="BW84" s="1023">
        <v>216.66666666666666</v>
      </c>
      <c r="BX84" s="716"/>
      <c r="BY84" s="1023">
        <v>216.66666666666666</v>
      </c>
      <c r="BZ84" s="716"/>
      <c r="CA84" s="1021">
        <v>216.66666666666666</v>
      </c>
      <c r="CB84" s="244">
        <v>0.0</v>
      </c>
      <c r="CC84" s="253">
        <f t="shared" si="202"/>
        <v>0</v>
      </c>
      <c r="CD84" s="427" t="str">
        <f>IFERROR(__xludf.DUMMYFUNCTION("IFERROR(SPARKLINE(CC84,{""charttype"",""bar"";""color1"",IF(CC84&gt;='Апрель'!green_percent,'Апрель'!green,IF(CC84&gt;='Апрель'!yellow_percent,'Апрель'!yellow,IF(CC84&gt;='Апрель'!orange_percent,'Апрель'!orange,'Апрель'!red)));""max"",1}))"),"")</f>
        <v/>
      </c>
      <c r="CE84" s="1023">
        <v>216.66666666666666</v>
      </c>
      <c r="CF84" s="710"/>
      <c r="CG84" s="1023">
        <v>216.66666666666666</v>
      </c>
      <c r="CH84" s="710"/>
      <c r="CI84" s="1023">
        <v>216.66666666666666</v>
      </c>
      <c r="CJ84" s="710"/>
      <c r="CK84" s="1023">
        <v>216.66666666666666</v>
      </c>
      <c r="CL84" s="710"/>
      <c r="CM84" s="256"/>
      <c r="CN84" s="710"/>
      <c r="CO84" s="256"/>
      <c r="CP84" s="710"/>
      <c r="CQ84" s="924"/>
      <c r="CR84" s="708"/>
      <c r="CS84" s="1021">
        <v>216.66666666666666</v>
      </c>
      <c r="CT84" s="244">
        <v>0.0</v>
      </c>
      <c r="CU84" s="253">
        <f t="shared" si="203"/>
        <v>0</v>
      </c>
      <c r="CV84" s="427" t="str">
        <f>IFERROR(__xludf.DUMMYFUNCTION("IFERROR(SPARKLINE(CU84,{""charttype"",""bar"";""color1"",IF(CU84&gt;='Апрель'!green_percent,'Апрель'!green,IF(CU84&gt;='Апрель'!yellow_percent,'Апрель'!yellow,IF(CU84&gt;='Апрель'!orange_percent,'Апрель'!orange,'Апрель'!red)));""max"",1}))"),"")</f>
        <v/>
      </c>
      <c r="CW84" s="924"/>
      <c r="CX84" s="244"/>
      <c r="CY84" s="842"/>
      <c r="CZ84" s="875"/>
      <c r="DA84" s="875"/>
      <c r="DB84" s="875"/>
      <c r="DC84" s="875"/>
      <c r="DD84" s="875"/>
      <c r="DE84" s="875"/>
      <c r="DF84" s="875"/>
      <c r="DG84" s="875"/>
      <c r="DH84" s="875"/>
      <c r="DI84" s="875"/>
      <c r="DJ84" s="875"/>
      <c r="DK84" s="326"/>
      <c r="DL84" s="876"/>
      <c r="DM84" s="327"/>
      <c r="DN84" s="329"/>
      <c r="DO84" s="875"/>
      <c r="DP84" s="926"/>
    </row>
    <row r="85">
      <c r="A85" s="927"/>
      <c r="B85" s="934" t="s">
        <v>55</v>
      </c>
      <c r="C85" s="217"/>
      <c r="D85" s="217"/>
      <c r="E85" s="218"/>
      <c r="F85" s="448">
        <v>3.0</v>
      </c>
      <c r="G85" s="448">
        <f>Z85+AR85+BJ85+CB85+CT85</f>
        <v>1</v>
      </c>
      <c r="H85" s="543">
        <f t="shared" si="199"/>
        <v>0.3333333333</v>
      </c>
      <c r="I85" s="462" t="str">
        <f>IFERROR(__xludf.DUMMYFUNCTION("IFERROR(SPARKLINE(H85,{""charttype"",""bar"";""color1"",IF(H85&gt;='Апрель'!green_percent,'Апрель'!green,IF(H85&gt;='Апрель'!yellow_percent,'Апрель'!yellow,IF(H85&gt;='Апрель'!orange_percent,'Апрель'!orange,'Апрель'!red)));""max"",1}))"),"")</f>
        <v/>
      </c>
      <c r="K85" s="417"/>
      <c r="L85" s="773">
        <v>0.0</v>
      </c>
      <c r="M85" s="932"/>
      <c r="N85" s="773">
        <v>0.0</v>
      </c>
      <c r="O85" s="417">
        <f>F85/30</f>
        <v>0.1</v>
      </c>
      <c r="P85" s="776">
        <v>1.0</v>
      </c>
      <c r="Q85" s="932">
        <v>0.1</v>
      </c>
      <c r="R85" s="776">
        <v>0.0</v>
      </c>
      <c r="S85" s="932">
        <v>0.1</v>
      </c>
      <c r="T85" s="1024">
        <v>0.0</v>
      </c>
      <c r="U85" s="932">
        <v>0.1</v>
      </c>
      <c r="V85" s="1024">
        <v>0.0</v>
      </c>
      <c r="W85" s="729">
        <v>0.1</v>
      </c>
      <c r="X85" s="463">
        <v>0.0</v>
      </c>
      <c r="Y85" s="349">
        <f>K85+M85+O85+Q85+S85+U85+W85</f>
        <v>0.5</v>
      </c>
      <c r="Z85" s="448">
        <v>1.0</v>
      </c>
      <c r="AA85" s="220">
        <f t="shared" si="200"/>
        <v>2</v>
      </c>
      <c r="AB85" s="449" t="str">
        <f>IFERROR(__xludf.DUMMYFUNCTION("IFERROR(SPARKLINE(AA85,{""charttype"",""bar"";""color1"",IF(AA85&gt;='Апрель'!green_percent,'Апрель'!green,IF(AA85&gt;='Апрель'!yellow_percent,'Апрель'!yellow,IF(AA85&gt;='Апрель'!orange_percent,'Апрель'!orange,'Апрель'!red)));""max"",1}))"),"")</f>
        <v/>
      </c>
      <c r="AC85" s="729">
        <v>0.1</v>
      </c>
      <c r="AD85" s="824"/>
      <c r="AE85" s="729">
        <v>0.1</v>
      </c>
      <c r="AF85" s="824"/>
      <c r="AG85" s="729">
        <v>0.1</v>
      </c>
      <c r="AH85" s="824"/>
      <c r="AI85" s="729">
        <v>0.1</v>
      </c>
      <c r="AJ85" s="824"/>
      <c r="AK85" s="729">
        <v>0.1</v>
      </c>
      <c r="AL85" s="824"/>
      <c r="AM85" s="729">
        <v>0.1</v>
      </c>
      <c r="AN85" s="825"/>
      <c r="AO85" s="729">
        <v>0.1</v>
      </c>
      <c r="AP85" s="459"/>
      <c r="AQ85" s="349">
        <f>AC85+AE85+AG85+AI85+AK85+AM85+AO85</f>
        <v>0.7</v>
      </c>
      <c r="AR85" s="448">
        <v>0.0</v>
      </c>
      <c r="AS85" s="279">
        <f t="shared" si="207"/>
        <v>0</v>
      </c>
      <c r="AT85" s="462" t="str">
        <f>IFERROR(__xludf.DUMMYFUNCTION("IFERROR(SPARKLINE(AS85,{""charttype"",""bar"";""color1"",IF(AS85&gt;='Апрель'!green_percent,'Апрель'!green,IF(AS85&gt;='Апрель'!yellow_percent,'Апрель'!yellow,IF(AS85&gt;='Апрель'!orange_percent,'Апрель'!orange,'Апрель'!red)));""max"",1}))"),"")</f>
        <v/>
      </c>
      <c r="AU85" s="729">
        <v>0.1</v>
      </c>
      <c r="AV85" s="463"/>
      <c r="AW85" s="729">
        <v>0.1</v>
      </c>
      <c r="AX85" s="463"/>
      <c r="AY85" s="729">
        <v>0.1</v>
      </c>
      <c r="AZ85" s="776"/>
      <c r="BA85" s="729">
        <v>0.1</v>
      </c>
      <c r="BB85" s="776"/>
      <c r="BC85" s="729">
        <v>0.1</v>
      </c>
      <c r="BD85" s="776"/>
      <c r="BE85" s="729">
        <v>0.1</v>
      </c>
      <c r="BF85" s="776"/>
      <c r="BG85" s="729">
        <v>0.1</v>
      </c>
      <c r="BH85" s="463"/>
      <c r="BI85" s="349">
        <v>0.5</v>
      </c>
      <c r="BJ85" s="448">
        <v>0.0</v>
      </c>
      <c r="BK85" s="279">
        <f t="shared" si="201"/>
        <v>0</v>
      </c>
      <c r="BL85" s="462" t="str">
        <f>IFERROR(__xludf.DUMMYFUNCTION("IFERROR(SPARKLINE(BK85,{""charttype"",""bar"";""color1"",IF(BK85&gt;='Апрель'!green_percent,'Апрель'!green,IF(BK85&gt;='Апрель'!yellow_percent,'Апрель'!yellow,IF(BK85&gt;='Апрель'!orange_percent,'Апрель'!orange,'Апрель'!red)));""max"",1}))"),"")</f>
        <v/>
      </c>
      <c r="BM85" s="729">
        <v>0.1</v>
      </c>
      <c r="BN85" s="466"/>
      <c r="BO85" s="729">
        <v>0.1</v>
      </c>
      <c r="BP85" s="465"/>
      <c r="BQ85" s="729">
        <v>0.1</v>
      </c>
      <c r="BR85" s="465"/>
      <c r="BS85" s="729">
        <v>0.1</v>
      </c>
      <c r="BT85" s="465"/>
      <c r="BU85" s="729">
        <v>0.1</v>
      </c>
      <c r="BV85" s="465"/>
      <c r="BW85" s="729">
        <v>0.1</v>
      </c>
      <c r="BX85" s="465"/>
      <c r="BY85" s="729">
        <v>0.1</v>
      </c>
      <c r="BZ85" s="465"/>
      <c r="CA85" s="349">
        <v>0.5</v>
      </c>
      <c r="CB85" s="448">
        <v>0.0</v>
      </c>
      <c r="CC85" s="279">
        <f t="shared" si="202"/>
        <v>0</v>
      </c>
      <c r="CD85" s="462" t="str">
        <f>IFERROR(__xludf.DUMMYFUNCTION("IFERROR(SPARKLINE(CC85,{""charttype"",""bar"";""color1"",IF(CC85&gt;='Апрель'!green_percent,'Апрель'!green,IF(CC85&gt;='Апрель'!yellow_percent,'Апрель'!yellow,IF(CC85&gt;='Апрель'!orange_percent,'Апрель'!orange,'Апрель'!red)));""max"",1}))"),"")</f>
        <v/>
      </c>
      <c r="CE85" s="729">
        <v>0.1</v>
      </c>
      <c r="CF85" s="466"/>
      <c r="CG85" s="729">
        <v>0.1</v>
      </c>
      <c r="CH85" s="466"/>
      <c r="CI85" s="729">
        <v>0.1</v>
      </c>
      <c r="CJ85" s="466"/>
      <c r="CK85" s="729">
        <v>0.1</v>
      </c>
      <c r="CL85" s="466"/>
      <c r="CM85" s="256"/>
      <c r="CN85" s="466"/>
      <c r="CO85" s="256"/>
      <c r="CP85" s="466"/>
      <c r="CQ85" s="924"/>
      <c r="CR85" s="726"/>
      <c r="CS85" s="349">
        <v>0.5</v>
      </c>
      <c r="CT85" s="448">
        <v>0.0</v>
      </c>
      <c r="CU85" s="279">
        <f t="shared" si="203"/>
        <v>0</v>
      </c>
      <c r="CV85" s="462" t="str">
        <f>IFERROR(__xludf.DUMMYFUNCTION("IFERROR(SPARKLINE(CU85,{""charttype"",""bar"";""color1"",IF(CU85&gt;='Апрель'!green_percent,'Апрель'!green,IF(CU85&gt;='Апрель'!yellow_percent,'Апрель'!yellow,IF(CU85&gt;='Апрель'!orange_percent,'Апрель'!orange,'Апрель'!red)));""max"",1}))"),"")</f>
        <v/>
      </c>
      <c r="CW85" s="924"/>
      <c r="CX85" s="448"/>
      <c r="CY85" s="842"/>
      <c r="CZ85" s="843"/>
      <c r="DA85" s="843"/>
      <c r="DB85" s="843"/>
      <c r="DC85" s="843"/>
      <c r="DD85" s="843"/>
      <c r="DE85" s="843"/>
      <c r="DF85" s="843"/>
      <c r="DG85" s="843"/>
      <c r="DH85" s="843"/>
      <c r="DI85" s="843"/>
      <c r="DJ85" s="843"/>
      <c r="DK85" s="289"/>
      <c r="DL85" s="844"/>
      <c r="DM85" s="310"/>
      <c r="DN85" s="339"/>
      <c r="DO85" s="843"/>
      <c r="DP85" s="933"/>
    </row>
    <row r="86">
      <c r="A86" s="912"/>
      <c r="B86" s="937" t="s">
        <v>22</v>
      </c>
      <c r="C86" s="242"/>
      <c r="D86" s="242"/>
      <c r="E86" s="243"/>
      <c r="F86" s="581">
        <f t="shared" ref="F86:G86" si="211">F79/F85</f>
        <v>2166.666667</v>
      </c>
      <c r="G86" s="581">
        <f t="shared" si="211"/>
        <v>5000</v>
      </c>
      <c r="H86" s="704">
        <f t="shared" si="199"/>
        <v>2.307692308</v>
      </c>
      <c r="I86" s="427" t="str">
        <f>IFERROR(__xludf.DUMMYFUNCTION("IFERROR(SPARKLINE(H86,{""charttype"",""bar"";""color1"",IF(H86&gt;='Апрель'!green_percent,'Апрель'!green,IF(H86&gt;='Апрель'!yellow_percent,'Апрель'!yellow,IF(H86&gt;='Апрель'!orange_percent,'Апрель'!orange,'Апрель'!red)));""max"",1}))"),"")</f>
        <v/>
      </c>
      <c r="K86" s="497"/>
      <c r="L86" s="930"/>
      <c r="M86" s="1018"/>
      <c r="N86" s="773"/>
      <c r="O86" s="1021">
        <f>O79/O85</f>
        <v>2166.666667</v>
      </c>
      <c r="P86" s="931"/>
      <c r="Q86" s="1022">
        <f>Q79/Q85</f>
        <v>2166.666667</v>
      </c>
      <c r="R86" s="776"/>
      <c r="S86" s="581">
        <f>S79/S85</f>
        <v>2166.666667</v>
      </c>
      <c r="T86" s="786"/>
      <c r="U86" s="581">
        <f>U79/U85</f>
        <v>2166.666667</v>
      </c>
      <c r="V86" s="786"/>
      <c r="W86" s="581">
        <f>W79/W85</f>
        <v>2166.666667</v>
      </c>
      <c r="X86" s="822"/>
      <c r="Y86" s="581">
        <f t="shared" ref="Y86:Z86" si="212">Y79/Y85</f>
        <v>2166.666667</v>
      </c>
      <c r="Z86" s="592">
        <f t="shared" si="212"/>
        <v>0</v>
      </c>
      <c r="AA86" s="412">
        <f t="shared" si="200"/>
        <v>0</v>
      </c>
      <c r="AB86" s="413" t="str">
        <f>IFERROR(__xludf.DUMMYFUNCTION("IFERROR(SPARKLINE(AA86,{""charttype"",""bar"";""color1"",IF(AA86&gt;='Апрель'!green_percent,'Апрель'!green,IF(AA86&gt;='Апрель'!yellow_percent,'Апрель'!yellow,IF(AA86&gt;='Апрель'!orange_percent,'Апрель'!orange,'Апрель'!red)));""max"",1}))"),"")</f>
        <v/>
      </c>
      <c r="AC86" s="1023">
        <v>2166.6666666666665</v>
      </c>
      <c r="AD86" s="824"/>
      <c r="AE86" s="1023">
        <v>2166.6666666666665</v>
      </c>
      <c r="AF86" s="824"/>
      <c r="AG86" s="1023">
        <v>2166.6666666666665</v>
      </c>
      <c r="AH86" s="824"/>
      <c r="AI86" s="1023">
        <v>2166.6666666666665</v>
      </c>
      <c r="AJ86" s="824"/>
      <c r="AK86" s="1023">
        <v>2166.6666666666665</v>
      </c>
      <c r="AL86" s="824"/>
      <c r="AM86" s="1023">
        <v>2166.6666666666665</v>
      </c>
      <c r="AN86" s="825"/>
      <c r="AO86" s="1023">
        <v>2166.6666666666665</v>
      </c>
      <c r="AP86" s="459"/>
      <c r="AQ86" s="581">
        <f>AQ79/AQ85</f>
        <v>2166.666667</v>
      </c>
      <c r="AR86" s="486"/>
      <c r="AS86" s="253">
        <f t="shared" si="207"/>
        <v>0</v>
      </c>
      <c r="AT86" s="427" t="str">
        <f>IFERROR(__xludf.DUMMYFUNCTION("IFERROR(SPARKLINE(AS86,{""charttype"",""bar"";""color1"",IF(AS86&gt;='Апрель'!green_percent,'Апрель'!green,IF(AS86&gt;='Апрель'!yellow_percent,'Апрель'!yellow,IF(AS86&gt;='Апрель'!orange_percent,'Апрель'!orange,'Апрель'!red)));""max"",1}))"),"")</f>
        <v/>
      </c>
      <c r="AU86" s="1023">
        <v>2166.6666666666665</v>
      </c>
      <c r="AV86" s="822"/>
      <c r="AW86" s="1023">
        <v>2166.6666666666665</v>
      </c>
      <c r="AX86" s="822"/>
      <c r="AY86" s="1023">
        <v>2166.6666666666665</v>
      </c>
      <c r="AZ86" s="776"/>
      <c r="BA86" s="1023">
        <v>2166.6666666666665</v>
      </c>
      <c r="BB86" s="776"/>
      <c r="BC86" s="1023">
        <v>2166.6666666666665</v>
      </c>
      <c r="BD86" s="776"/>
      <c r="BE86" s="1023">
        <v>2166.6666666666665</v>
      </c>
      <c r="BF86" s="776"/>
      <c r="BG86" s="1023">
        <v>2166.6666666666665</v>
      </c>
      <c r="BH86" s="822"/>
      <c r="BI86" s="1021">
        <v>2166.6666666666665</v>
      </c>
      <c r="BJ86" s="244">
        <v>0.0</v>
      </c>
      <c r="BK86" s="253">
        <f t="shared" si="201"/>
        <v>0</v>
      </c>
      <c r="BL86" s="427" t="str">
        <f>IFERROR(__xludf.DUMMYFUNCTION("IFERROR(SPARKLINE(BK86,{""charttype"",""bar"";""color1"",IF(BK86&gt;='Апрель'!green_percent,'Апрель'!green,IF(BK86&gt;='Апрель'!yellow_percent,'Апрель'!yellow,IF(BK86&gt;='Апрель'!orange_percent,'Апрель'!orange,'Апрель'!red)));""max"",1}))"),"")</f>
        <v/>
      </c>
      <c r="BM86" s="1023">
        <v>2166.6666666666665</v>
      </c>
      <c r="BN86" s="710"/>
      <c r="BO86" s="1023">
        <v>2166.6666666666665</v>
      </c>
      <c r="BP86" s="465"/>
      <c r="BQ86" s="1023">
        <v>2166.6666666666665</v>
      </c>
      <c r="BR86" s="716"/>
      <c r="BS86" s="1023">
        <v>2166.6666666666665</v>
      </c>
      <c r="BT86" s="716"/>
      <c r="BU86" s="1023">
        <v>2166.6666666666665</v>
      </c>
      <c r="BV86" s="716"/>
      <c r="BW86" s="1023">
        <v>2166.6666666666665</v>
      </c>
      <c r="BX86" s="716"/>
      <c r="BY86" s="1023">
        <v>2166.6666666666665</v>
      </c>
      <c r="BZ86" s="716"/>
      <c r="CA86" s="1021">
        <v>2166.6666666666665</v>
      </c>
      <c r="CB86" s="244">
        <v>0.0</v>
      </c>
      <c r="CC86" s="253">
        <f t="shared" si="202"/>
        <v>0</v>
      </c>
      <c r="CD86" s="427" t="str">
        <f>IFERROR(__xludf.DUMMYFUNCTION("IFERROR(SPARKLINE(CC86,{""charttype"",""bar"";""color1"",IF(CC86&gt;='Апрель'!green_percent,'Апрель'!green,IF(CC86&gt;='Апрель'!yellow_percent,'Апрель'!yellow,IF(CC86&gt;='Апрель'!orange_percent,'Апрель'!orange,'Апрель'!red)));""max"",1}))"),"")</f>
        <v/>
      </c>
      <c r="CE86" s="1023">
        <v>2166.6666666666665</v>
      </c>
      <c r="CF86" s="710"/>
      <c r="CG86" s="1023">
        <v>2166.6666666666665</v>
      </c>
      <c r="CH86" s="710"/>
      <c r="CI86" s="1023">
        <v>2166.6666666666665</v>
      </c>
      <c r="CJ86" s="710"/>
      <c r="CK86" s="1023">
        <v>2166.6666666666665</v>
      </c>
      <c r="CL86" s="710"/>
      <c r="CM86" s="256"/>
      <c r="CN86" s="710"/>
      <c r="CO86" s="256"/>
      <c r="CP86" s="710"/>
      <c r="CQ86" s="924"/>
      <c r="CR86" s="708"/>
      <c r="CS86" s="1021">
        <v>2166.6666666666665</v>
      </c>
      <c r="CT86" s="244">
        <v>0.0</v>
      </c>
      <c r="CU86" s="253">
        <f t="shared" si="203"/>
        <v>0</v>
      </c>
      <c r="CV86" s="427" t="str">
        <f>IFERROR(__xludf.DUMMYFUNCTION("IFERROR(SPARKLINE(CU86,{""charttype"",""bar"";""color1"",IF(CU86&gt;='Апрель'!green_percent,'Апрель'!green,IF(CU86&gt;='Апрель'!yellow_percent,'Апрель'!yellow,IF(CU86&gt;='Апрель'!orange_percent,'Апрель'!orange,'Апрель'!red)));""max"",1}))"),"")</f>
        <v/>
      </c>
      <c r="CW86" s="924"/>
      <c r="CX86" s="244"/>
      <c r="CY86" s="842"/>
      <c r="CZ86" s="875"/>
      <c r="DA86" s="875"/>
      <c r="DB86" s="875"/>
      <c r="DC86" s="875"/>
      <c r="DD86" s="875"/>
      <c r="DE86" s="875"/>
      <c r="DF86" s="875"/>
      <c r="DG86" s="875"/>
      <c r="DH86" s="875"/>
      <c r="DI86" s="875"/>
      <c r="DJ86" s="875"/>
      <c r="DK86" s="326"/>
      <c r="DL86" s="876"/>
      <c r="DM86" s="327"/>
      <c r="DN86" s="329"/>
      <c r="DO86" s="875"/>
      <c r="DP86" s="926"/>
    </row>
    <row r="87">
      <c r="A87" s="927"/>
      <c r="B87" s="934" t="s">
        <v>56</v>
      </c>
      <c r="C87" s="217"/>
      <c r="D87" s="217"/>
      <c r="E87" s="218"/>
      <c r="F87" s="220">
        <f t="shared" ref="F87:G87" si="213">F85/F82</f>
        <v>0.00005</v>
      </c>
      <c r="G87" s="220">
        <f t="shared" si="213"/>
        <v>0.00004761904762</v>
      </c>
      <c r="H87" s="543">
        <f t="shared" si="199"/>
        <v>0.9523809524</v>
      </c>
      <c r="I87" s="462" t="str">
        <f>IFERROR(__xludf.DUMMYFUNCTION("IFERROR(SPARKLINE(H87,{""charttype"",""bar"";""color1"",IF(H87&gt;='Апрель'!green_percent,'Апрель'!green,IF(H87&gt;='Апрель'!yellow_percent,'Апрель'!yellow,IF(H87&gt;='Апрель'!orange_percent,'Апрель'!orange,'Апрель'!red)));""max"",1}))"),"")</f>
        <v/>
      </c>
      <c r="K87" s="518"/>
      <c r="L87" s="930"/>
      <c r="M87" s="941"/>
      <c r="N87" s="773"/>
      <c r="O87" s="518">
        <f>O85/O82</f>
        <v>0.00005166666667</v>
      </c>
      <c r="P87" s="931"/>
      <c r="Q87" s="941">
        <v>5.166666666666667E-5</v>
      </c>
      <c r="R87" s="776"/>
      <c r="S87" s="941">
        <v>5.166666666666667E-5</v>
      </c>
      <c r="T87" s="755"/>
      <c r="U87" s="941">
        <v>5.166666666666667E-5</v>
      </c>
      <c r="V87" s="755"/>
      <c r="W87" s="942">
        <v>5.166666666666667E-5</v>
      </c>
      <c r="X87" s="463"/>
      <c r="Y87" s="226">
        <f t="shared" ref="Y87:Z87" si="214">Y85/Y82</f>
        <v>0.00005166666667</v>
      </c>
      <c r="Z87" s="219" t="str">
        <f t="shared" si="214"/>
        <v>#DIV/0!</v>
      </c>
      <c r="AA87" s="220" t="str">
        <f t="shared" si="200"/>
        <v/>
      </c>
      <c r="AB87" s="449" t="str">
        <f>IFERROR(__xludf.DUMMYFUNCTION("IFERROR(SPARKLINE(AA87,{""charttype"",""bar"";""color1"",IF(AA87&gt;='Апрель'!green_percent,'Апрель'!green,IF(AA87&gt;='Апрель'!yellow_percent,'Апрель'!yellow,IF(AA87&gt;='Апрель'!orange_percent,'Апрель'!orange,'Апрель'!red)));""max"",1}))"),"")</f>
        <v/>
      </c>
      <c r="AC87" s="942">
        <v>5.166666666666667E-5</v>
      </c>
      <c r="AD87" s="824"/>
      <c r="AE87" s="942">
        <v>5.166666666666667E-5</v>
      </c>
      <c r="AF87" s="824"/>
      <c r="AG87" s="942">
        <v>5.166666666666667E-5</v>
      </c>
      <c r="AH87" s="824"/>
      <c r="AI87" s="942">
        <v>5.166666666666667E-5</v>
      </c>
      <c r="AJ87" s="824"/>
      <c r="AK87" s="942">
        <v>5.166666666666667E-5</v>
      </c>
      <c r="AL87" s="824"/>
      <c r="AM87" s="942">
        <v>5.166666666666667E-5</v>
      </c>
      <c r="AN87" s="825"/>
      <c r="AO87" s="942">
        <v>5.166666666666667E-5</v>
      </c>
      <c r="AP87" s="459"/>
      <c r="AQ87" s="226">
        <f>AQ85/AQ82</f>
        <v>0.00005166666667</v>
      </c>
      <c r="AR87" s="464"/>
      <c r="AS87" s="279">
        <f t="shared" si="207"/>
        <v>0</v>
      </c>
      <c r="AT87" s="462" t="str">
        <f>IFERROR(__xludf.DUMMYFUNCTION("IFERROR(SPARKLINE(AS87,{""charttype"",""bar"";""color1"",IF(AS87&gt;='Апрель'!green_percent,'Апрель'!green,IF(AS87&gt;='Апрель'!yellow_percent,'Апрель'!yellow,IF(AS87&gt;='Апрель'!orange_percent,'Апрель'!orange,'Апрель'!red)));""max"",1}))"),"")</f>
        <v/>
      </c>
      <c r="AU87" s="942">
        <v>5.166666666666667E-5</v>
      </c>
      <c r="AV87" s="463"/>
      <c r="AW87" s="942">
        <v>5.166666666666667E-5</v>
      </c>
      <c r="AX87" s="463"/>
      <c r="AY87" s="942">
        <v>5.166666666666667E-5</v>
      </c>
      <c r="AZ87" s="776"/>
      <c r="BA87" s="942">
        <v>5.166666666666667E-5</v>
      </c>
      <c r="BB87" s="776"/>
      <c r="BC87" s="942">
        <v>5.166666666666667E-5</v>
      </c>
      <c r="BD87" s="776"/>
      <c r="BE87" s="942">
        <v>5.166666666666667E-5</v>
      </c>
      <c r="BF87" s="776"/>
      <c r="BG87" s="942">
        <v>5.166666666666667E-5</v>
      </c>
      <c r="BH87" s="463"/>
      <c r="BI87" s="949">
        <v>5.1666666666666664E-5</v>
      </c>
      <c r="BJ87" s="448">
        <v>0.0</v>
      </c>
      <c r="BK87" s="279">
        <f t="shared" si="201"/>
        <v>0</v>
      </c>
      <c r="BL87" s="462" t="str">
        <f>IFERROR(__xludf.DUMMYFUNCTION("IFERROR(SPARKLINE(BK87,{""charttype"",""bar"";""color1"",IF(BK87&gt;='Апрель'!green_percent,'Апрель'!green,IF(BK87&gt;='Апрель'!yellow_percent,'Апрель'!yellow,IF(BK87&gt;='Апрель'!orange_percent,'Апрель'!orange,'Апрель'!red)));""max"",1}))"),"")</f>
        <v/>
      </c>
      <c r="BM87" s="942">
        <v>5.166666666666667E-5</v>
      </c>
      <c r="BN87" s="466"/>
      <c r="BO87" s="942">
        <v>5.166666666666667E-5</v>
      </c>
      <c r="BP87" s="465"/>
      <c r="BQ87" s="942">
        <v>5.166666666666667E-5</v>
      </c>
      <c r="BR87" s="465"/>
      <c r="BS87" s="942">
        <v>5.166666666666667E-5</v>
      </c>
      <c r="BT87" s="465"/>
      <c r="BU87" s="942">
        <v>5.166666666666667E-5</v>
      </c>
      <c r="BV87" s="465"/>
      <c r="BW87" s="942">
        <v>5.166666666666667E-5</v>
      </c>
      <c r="BX87" s="465"/>
      <c r="BY87" s="942">
        <v>5.166666666666667E-5</v>
      </c>
      <c r="BZ87" s="465"/>
      <c r="CA87" s="949">
        <v>5.1666666666666664E-5</v>
      </c>
      <c r="CB87" s="448">
        <v>0.0</v>
      </c>
      <c r="CC87" s="279">
        <f t="shared" si="202"/>
        <v>0</v>
      </c>
      <c r="CD87" s="462" t="str">
        <f>IFERROR(__xludf.DUMMYFUNCTION("IFERROR(SPARKLINE(CC87,{""charttype"",""bar"";""color1"",IF(CC87&gt;='Апрель'!green_percent,'Апрель'!green,IF(CC87&gt;='Апрель'!yellow_percent,'Апрель'!yellow,IF(CC87&gt;='Апрель'!orange_percent,'Апрель'!orange,'Апрель'!red)));""max"",1}))"),"")</f>
        <v/>
      </c>
      <c r="CE87" s="942">
        <v>5.166666666666667E-5</v>
      </c>
      <c r="CF87" s="466"/>
      <c r="CG87" s="942">
        <v>5.166666666666667E-5</v>
      </c>
      <c r="CH87" s="466"/>
      <c r="CI87" s="942">
        <v>5.166666666666667E-5</v>
      </c>
      <c r="CJ87" s="466"/>
      <c r="CK87" s="942">
        <v>5.166666666666667E-5</v>
      </c>
      <c r="CL87" s="466"/>
      <c r="CM87" s="256"/>
      <c r="CN87" s="466"/>
      <c r="CO87" s="256"/>
      <c r="CP87" s="466"/>
      <c r="CQ87" s="924"/>
      <c r="CR87" s="726"/>
      <c r="CS87" s="949">
        <v>5.1666666666666664E-5</v>
      </c>
      <c r="CT87" s="448">
        <v>0.0</v>
      </c>
      <c r="CU87" s="279">
        <f t="shared" si="203"/>
        <v>0</v>
      </c>
      <c r="CV87" s="462" t="str">
        <f>IFERROR(__xludf.DUMMYFUNCTION("IFERROR(SPARKLINE(CU87,{""charttype"",""bar"";""color1"",IF(CU87&gt;='Апрель'!green_percent,'Апрель'!green,IF(CU87&gt;='Апрель'!yellow_percent,'Апрель'!yellow,IF(CU87&gt;='Апрель'!orange_percent,'Апрель'!orange,'Апрель'!red)));""max"",1}))"),"")</f>
        <v/>
      </c>
      <c r="CW87" s="924"/>
      <c r="CX87" s="448"/>
      <c r="CY87" s="842"/>
      <c r="CZ87" s="843"/>
      <c r="DA87" s="843"/>
      <c r="DB87" s="843"/>
      <c r="DC87" s="843"/>
      <c r="DD87" s="843"/>
      <c r="DE87" s="843"/>
      <c r="DF87" s="843"/>
      <c r="DG87" s="843"/>
      <c r="DH87" s="843"/>
      <c r="DI87" s="843"/>
      <c r="DJ87" s="843"/>
      <c r="DK87" s="289"/>
      <c r="DL87" s="844"/>
      <c r="DM87" s="310"/>
      <c r="DN87" s="339"/>
      <c r="DO87" s="843"/>
      <c r="DP87" s="933"/>
    </row>
    <row r="88">
      <c r="A88" s="912"/>
      <c r="B88" s="937" t="s">
        <v>35</v>
      </c>
      <c r="C88" s="242"/>
      <c r="D88" s="242"/>
      <c r="E88" s="243"/>
      <c r="F88" s="244">
        <v>2.0</v>
      </c>
      <c r="G88" s="244">
        <f>Z88+AR88+BJ88+CB88+CT88</f>
        <v>1</v>
      </c>
      <c r="H88" s="704">
        <f t="shared" si="199"/>
        <v>0.5</v>
      </c>
      <c r="I88" s="427" t="str">
        <f>IFERROR(__xludf.DUMMYFUNCTION("IFERROR(SPARKLINE(H88,{""charttype"",""bar"";""color1"",IF(H88&gt;='Апрель'!green_percent,'Апрель'!green,IF(H88&gt;='Апрель'!yellow_percent,'Апрель'!yellow,IF(H88&gt;='Апрель'!orange_percent,'Апрель'!orange,'Апрель'!red)));""max"",1}))"),"")</f>
        <v/>
      </c>
      <c r="K88" s="1025"/>
      <c r="L88" s="773">
        <v>0.0</v>
      </c>
      <c r="M88" s="932"/>
      <c r="N88" s="773">
        <v>0.0</v>
      </c>
      <c r="O88" s="1025">
        <f>F88/30</f>
        <v>0.06666666667</v>
      </c>
      <c r="P88" s="776">
        <v>1.0</v>
      </c>
      <c r="Q88" s="932">
        <v>0.06666666666666667</v>
      </c>
      <c r="R88" s="776">
        <v>0.0</v>
      </c>
      <c r="S88" s="932">
        <v>0.06666666666666667</v>
      </c>
      <c r="T88" s="1024">
        <v>0.0</v>
      </c>
      <c r="U88" s="932">
        <v>0.06666666666666667</v>
      </c>
      <c r="V88" s="1024">
        <v>0.0</v>
      </c>
      <c r="W88" s="729">
        <v>0.06666666666666667</v>
      </c>
      <c r="X88" s="822">
        <v>0.0</v>
      </c>
      <c r="Y88" s="531">
        <f>+O88+Q88+S88+U88+W88</f>
        <v>0.3333333333</v>
      </c>
      <c r="Z88" s="244">
        <v>1.0</v>
      </c>
      <c r="AA88" s="412">
        <f t="shared" si="200"/>
        <v>3</v>
      </c>
      <c r="AB88" s="413" t="str">
        <f>IFERROR(__xludf.DUMMYFUNCTION("IFERROR(SPARKLINE(AA88,{""charttype"",""bar"";""color1"",IF(AA88&gt;='Апрель'!green_percent,'Апрель'!green,IF(AA88&gt;='Апрель'!yellow_percent,'Апрель'!yellow,IF(AA88&gt;='Апрель'!orange_percent,'Апрель'!orange,'Апрель'!red)));""max"",1}))"),"")</f>
        <v/>
      </c>
      <c r="AC88" s="432">
        <v>0.06666666666666667</v>
      </c>
      <c r="AD88" s="824"/>
      <c r="AE88" s="432">
        <v>0.06666666666666667</v>
      </c>
      <c r="AF88" s="824"/>
      <c r="AG88" s="432">
        <v>0.06666666666666667</v>
      </c>
      <c r="AH88" s="824"/>
      <c r="AI88" s="432">
        <v>0.06666666666666667</v>
      </c>
      <c r="AJ88" s="824"/>
      <c r="AK88" s="432">
        <v>0.06666666666666667</v>
      </c>
      <c r="AL88" s="824"/>
      <c r="AM88" s="432">
        <v>0.06666666666666667</v>
      </c>
      <c r="AN88" s="825"/>
      <c r="AO88" s="432">
        <v>0.06666666666666667</v>
      </c>
      <c r="AP88" s="459"/>
      <c r="AQ88" s="531">
        <f>+AG88+AI88+AK88+AM88+AO88</f>
        <v>0.3333333333</v>
      </c>
      <c r="AR88" s="244">
        <v>0.0</v>
      </c>
      <c r="AS88" s="253">
        <f t="shared" si="207"/>
        <v>0</v>
      </c>
      <c r="AT88" s="427" t="str">
        <f>IFERROR(__xludf.DUMMYFUNCTION("IFERROR(SPARKLINE(AS88,{""charttype"",""bar"";""color1"",IF(AS88&gt;='Апрель'!green_percent,'Апрель'!green,IF(AS88&gt;='Апрель'!yellow_percent,'Апрель'!yellow,IF(AS88&gt;='Апрель'!orange_percent,'Апрель'!orange,'Апрель'!red)));""max"",1}))"),"")</f>
        <v/>
      </c>
      <c r="AU88" s="432">
        <v>0.06666666666666667</v>
      </c>
      <c r="AV88" s="822"/>
      <c r="AW88" s="432">
        <v>0.06666666666666667</v>
      </c>
      <c r="AX88" s="822"/>
      <c r="AY88" s="432">
        <v>0.06666666666666667</v>
      </c>
      <c r="AZ88" s="776"/>
      <c r="BA88" s="432">
        <v>0.06666666666666667</v>
      </c>
      <c r="BB88" s="776"/>
      <c r="BC88" s="432">
        <v>0.06666666666666667</v>
      </c>
      <c r="BD88" s="776"/>
      <c r="BE88" s="432">
        <v>0.06666666666666667</v>
      </c>
      <c r="BF88" s="776"/>
      <c r="BG88" s="432">
        <v>0.06666666666666667</v>
      </c>
      <c r="BH88" s="822"/>
      <c r="BI88" s="531">
        <v>0.3333333333333333</v>
      </c>
      <c r="BJ88" s="244">
        <v>0.0</v>
      </c>
      <c r="BK88" s="253">
        <f t="shared" si="201"/>
        <v>0</v>
      </c>
      <c r="BL88" s="427" t="str">
        <f>IFERROR(__xludf.DUMMYFUNCTION("IFERROR(SPARKLINE(BK88,{""charttype"",""bar"";""color1"",IF(BK88&gt;='Апрель'!green_percent,'Апрель'!green,IF(BK88&gt;='Апрель'!yellow_percent,'Апрель'!yellow,IF(BK88&gt;='Апрель'!orange_percent,'Апрель'!orange,'Апрель'!red)));""max"",1}))"),"")</f>
        <v/>
      </c>
      <c r="BM88" s="432">
        <v>0.06666666666666667</v>
      </c>
      <c r="BN88" s="710"/>
      <c r="BO88" s="432">
        <v>0.06666666666666667</v>
      </c>
      <c r="BP88" s="465"/>
      <c r="BQ88" s="432">
        <v>0.06666666666666667</v>
      </c>
      <c r="BR88" s="716"/>
      <c r="BS88" s="432">
        <v>0.06666666666666667</v>
      </c>
      <c r="BT88" s="716"/>
      <c r="BU88" s="432">
        <v>0.06666666666666667</v>
      </c>
      <c r="BV88" s="716"/>
      <c r="BW88" s="432">
        <v>0.06666666666666667</v>
      </c>
      <c r="BX88" s="716"/>
      <c r="BY88" s="432">
        <v>0.06666666666666667</v>
      </c>
      <c r="BZ88" s="716"/>
      <c r="CA88" s="531">
        <v>0.3333333333333333</v>
      </c>
      <c r="CB88" s="244">
        <v>0.0</v>
      </c>
      <c r="CC88" s="253">
        <f t="shared" si="202"/>
        <v>0</v>
      </c>
      <c r="CD88" s="427" t="str">
        <f>IFERROR(__xludf.DUMMYFUNCTION("IFERROR(SPARKLINE(CC88,{""charttype"",""bar"";""color1"",IF(CC88&gt;='Апрель'!green_percent,'Апрель'!green,IF(CC88&gt;='Апрель'!yellow_percent,'Апрель'!yellow,IF(CC88&gt;='Апрель'!orange_percent,'Апрель'!orange,'Апрель'!red)));""max"",1}))"),"")</f>
        <v/>
      </c>
      <c r="CE88" s="432">
        <v>0.06666666666666667</v>
      </c>
      <c r="CF88" s="710"/>
      <c r="CG88" s="432">
        <v>0.06666666666666667</v>
      </c>
      <c r="CH88" s="710"/>
      <c r="CI88" s="432">
        <v>0.06666666666666667</v>
      </c>
      <c r="CJ88" s="710"/>
      <c r="CK88" s="432">
        <v>0.06666666666666667</v>
      </c>
      <c r="CL88" s="710"/>
      <c r="CM88" s="256"/>
      <c r="CN88" s="710"/>
      <c r="CO88" s="256"/>
      <c r="CP88" s="710"/>
      <c r="CQ88" s="924"/>
      <c r="CR88" s="708"/>
      <c r="CS88" s="531">
        <v>0.3333333333333333</v>
      </c>
      <c r="CT88" s="244">
        <v>0.0</v>
      </c>
      <c r="CU88" s="253">
        <f t="shared" si="203"/>
        <v>0</v>
      </c>
      <c r="CV88" s="427" t="str">
        <f>IFERROR(__xludf.DUMMYFUNCTION("IFERROR(SPARKLINE(CU88,{""charttype"",""bar"";""color1"",IF(CU88&gt;='Апрель'!green_percent,'Апрель'!green,IF(CU88&gt;='Апрель'!yellow_percent,'Апрель'!yellow,IF(CU88&gt;='Апрель'!orange_percent,'Апрель'!orange,'Апрель'!red)));""max"",1}))"),"")</f>
        <v/>
      </c>
      <c r="CW88" s="924"/>
      <c r="CX88" s="244"/>
      <c r="CY88" s="842"/>
      <c r="CZ88" s="875"/>
      <c r="DA88" s="875"/>
      <c r="DB88" s="875"/>
      <c r="DC88" s="875"/>
      <c r="DD88" s="875"/>
      <c r="DE88" s="875"/>
      <c r="DF88" s="875"/>
      <c r="DG88" s="875"/>
      <c r="DH88" s="875"/>
      <c r="DI88" s="875"/>
      <c r="DJ88" s="875"/>
      <c r="DK88" s="326"/>
      <c r="DL88" s="876"/>
      <c r="DM88" s="327"/>
      <c r="DN88" s="329"/>
      <c r="DO88" s="875"/>
      <c r="DP88" s="926"/>
    </row>
    <row r="89">
      <c r="A89" s="927"/>
      <c r="B89" s="934" t="s">
        <v>25</v>
      </c>
      <c r="C89" s="217"/>
      <c r="D89" s="217"/>
      <c r="E89" s="218"/>
      <c r="F89" s="220">
        <f t="shared" ref="F89:G89" si="215">F88/F85</f>
        <v>0.6666666667</v>
      </c>
      <c r="G89" s="219">
        <f t="shared" si="215"/>
        <v>1</v>
      </c>
      <c r="H89" s="543">
        <f t="shared" si="199"/>
        <v>1.5</v>
      </c>
      <c r="I89" s="462" t="str">
        <f>IFERROR(__xludf.DUMMYFUNCTION("IFERROR(SPARKLINE(H89,{""charttype"",""bar"";""color1"",IF(H89&gt;='Апрель'!green_percent,'Апрель'!green,IF(H89&gt;='Апрель'!yellow_percent,'Апрель'!yellow,IF(H89&gt;='Апрель'!orange_percent,'Апрель'!orange,'Апрель'!red)));""max"",1}))"),"")</f>
        <v/>
      </c>
      <c r="K89" s="518"/>
      <c r="L89" s="773">
        <v>0.0</v>
      </c>
      <c r="M89" s="941"/>
      <c r="N89" s="773">
        <v>0.0</v>
      </c>
      <c r="O89" s="518">
        <f t="shared" ref="O89:P89" si="216">O88/O85</f>
        <v>0.6666666667</v>
      </c>
      <c r="P89" s="931">
        <f t="shared" si="216"/>
        <v>1</v>
      </c>
      <c r="Q89" s="941">
        <v>0.6666666666666666</v>
      </c>
      <c r="R89" s="776">
        <v>0.0</v>
      </c>
      <c r="S89" s="941">
        <v>0.6666666666666666</v>
      </c>
      <c r="T89" s="755"/>
      <c r="U89" s="941">
        <v>0.6666666666666666</v>
      </c>
      <c r="V89" s="755"/>
      <c r="W89" s="942">
        <v>0.6666666666666666</v>
      </c>
      <c r="X89" s="463"/>
      <c r="Y89" s="226">
        <f t="shared" ref="Y89:Z89" si="217">Y88/Y85</f>
        <v>0.6666666667</v>
      </c>
      <c r="Z89" s="219">
        <f t="shared" si="217"/>
        <v>1</v>
      </c>
      <c r="AA89" s="220">
        <f t="shared" si="200"/>
        <v>1.5</v>
      </c>
      <c r="AB89" s="449" t="str">
        <f>IFERROR(__xludf.DUMMYFUNCTION("IFERROR(SPARKLINE(AA89,{""charttype"",""bar"";""color1"",IF(AA89&gt;='Апрель'!green_percent,'Апрель'!green,IF(AA89&gt;='Апрель'!yellow_percent,'Апрель'!yellow,IF(AA89&gt;='Апрель'!orange_percent,'Апрель'!orange,'Апрель'!red)));""max"",1}))"),"")</f>
        <v/>
      </c>
      <c r="AC89" s="942">
        <v>0.6666666666666666</v>
      </c>
      <c r="AD89" s="824"/>
      <c r="AE89" s="942">
        <v>0.6666666666666666</v>
      </c>
      <c r="AF89" s="824"/>
      <c r="AG89" s="942">
        <v>0.6666666666666666</v>
      </c>
      <c r="AH89" s="824"/>
      <c r="AI89" s="942">
        <v>0.6666666666666666</v>
      </c>
      <c r="AJ89" s="824"/>
      <c r="AK89" s="942">
        <v>0.6666666666666666</v>
      </c>
      <c r="AL89" s="824"/>
      <c r="AM89" s="942">
        <v>0.6666666666666666</v>
      </c>
      <c r="AN89" s="825"/>
      <c r="AO89" s="942">
        <v>0.6666666666666666</v>
      </c>
      <c r="AP89" s="459"/>
      <c r="AQ89" s="226">
        <f>AQ88/AQ85</f>
        <v>0.4761904762</v>
      </c>
      <c r="AR89" s="464"/>
      <c r="AS89" s="279">
        <f t="shared" si="207"/>
        <v>0</v>
      </c>
      <c r="AT89" s="462" t="str">
        <f>IFERROR(__xludf.DUMMYFUNCTION("IFERROR(SPARKLINE(AS89,{""charttype"",""bar"";""color1"",IF(AS89&gt;='Апрель'!green_percent,'Апрель'!green,IF(AS89&gt;='Апрель'!yellow_percent,'Апрель'!yellow,IF(AS89&gt;='Апрель'!orange_percent,'Апрель'!orange,'Апрель'!red)));""max"",1}))"),"")</f>
        <v/>
      </c>
      <c r="AU89" s="942">
        <v>0.6666666666666666</v>
      </c>
      <c r="AV89" s="463"/>
      <c r="AW89" s="942">
        <v>0.6666666666666666</v>
      </c>
      <c r="AX89" s="463"/>
      <c r="AY89" s="942">
        <v>0.6666666666666666</v>
      </c>
      <c r="AZ89" s="776"/>
      <c r="BA89" s="942">
        <v>0.6666666666666666</v>
      </c>
      <c r="BB89" s="776"/>
      <c r="BC89" s="942">
        <v>0.6666666666666666</v>
      </c>
      <c r="BD89" s="776"/>
      <c r="BE89" s="942">
        <v>0.6666666666666666</v>
      </c>
      <c r="BF89" s="776"/>
      <c r="BG89" s="942">
        <v>0.6666666666666666</v>
      </c>
      <c r="BH89" s="463"/>
      <c r="BI89" s="949">
        <v>0.6666666666666666</v>
      </c>
      <c r="BJ89" s="448">
        <v>0.0</v>
      </c>
      <c r="BK89" s="279">
        <f t="shared" si="201"/>
        <v>0</v>
      </c>
      <c r="BL89" s="462" t="str">
        <f>IFERROR(__xludf.DUMMYFUNCTION("IFERROR(SPARKLINE(BK89,{""charttype"",""bar"";""color1"",IF(BK89&gt;='Апрель'!green_percent,'Апрель'!green,IF(BK89&gt;='Апрель'!yellow_percent,'Апрель'!yellow,IF(BK89&gt;='Апрель'!orange_percent,'Апрель'!orange,'Апрель'!red)));""max"",1}))"),"")</f>
        <v/>
      </c>
      <c r="BM89" s="942">
        <v>0.6666666666666666</v>
      </c>
      <c r="BN89" s="466"/>
      <c r="BO89" s="942">
        <v>0.6666666666666666</v>
      </c>
      <c r="BP89" s="465"/>
      <c r="BQ89" s="942">
        <v>0.6666666666666666</v>
      </c>
      <c r="BR89" s="465"/>
      <c r="BS89" s="942">
        <v>0.6666666666666666</v>
      </c>
      <c r="BT89" s="465"/>
      <c r="BU89" s="942">
        <v>0.6666666666666666</v>
      </c>
      <c r="BV89" s="465"/>
      <c r="BW89" s="942">
        <v>0.6666666666666666</v>
      </c>
      <c r="BX89" s="465"/>
      <c r="BY89" s="942">
        <v>0.6666666666666666</v>
      </c>
      <c r="BZ89" s="465"/>
      <c r="CA89" s="949">
        <v>0.6666666666666666</v>
      </c>
      <c r="CB89" s="448">
        <v>0.0</v>
      </c>
      <c r="CC89" s="279">
        <f t="shared" si="202"/>
        <v>0</v>
      </c>
      <c r="CD89" s="462" t="str">
        <f>IFERROR(__xludf.DUMMYFUNCTION("IFERROR(SPARKLINE(CC89,{""charttype"",""bar"";""color1"",IF(CC89&gt;='Апрель'!green_percent,'Апрель'!green,IF(CC89&gt;='Апрель'!yellow_percent,'Апрель'!yellow,IF(CC89&gt;='Апрель'!orange_percent,'Апрель'!orange,'Апрель'!red)));""max"",1}))"),"")</f>
        <v/>
      </c>
      <c r="CE89" s="942">
        <v>0.6666666666666666</v>
      </c>
      <c r="CF89" s="466"/>
      <c r="CG89" s="942">
        <v>0.6666666666666666</v>
      </c>
      <c r="CH89" s="466"/>
      <c r="CI89" s="942">
        <v>0.6666666666666666</v>
      </c>
      <c r="CJ89" s="466"/>
      <c r="CK89" s="942">
        <v>0.6666666666666666</v>
      </c>
      <c r="CL89" s="466"/>
      <c r="CM89" s="256"/>
      <c r="CN89" s="466"/>
      <c r="CO89" s="256"/>
      <c r="CP89" s="466"/>
      <c r="CQ89" s="924"/>
      <c r="CR89" s="726"/>
      <c r="CS89" s="949">
        <v>0.6666666666666666</v>
      </c>
      <c r="CT89" s="448">
        <v>0.0</v>
      </c>
      <c r="CU89" s="279">
        <f t="shared" si="203"/>
        <v>0</v>
      </c>
      <c r="CV89" s="462" t="str">
        <f>IFERROR(__xludf.DUMMYFUNCTION("IFERROR(SPARKLINE(CU89,{""charttype"",""bar"";""color1"",IF(CU89&gt;='Апрель'!green_percent,'Апрель'!green,IF(CU89&gt;='Апрель'!yellow_percent,'Апрель'!yellow,IF(CU89&gt;='Апрель'!orange_percent,'Апрель'!orange,'Апрель'!red)));""max"",1}))"),"")</f>
        <v/>
      </c>
      <c r="CW89" s="924"/>
      <c r="CX89" s="448"/>
      <c r="CY89" s="842"/>
      <c r="CZ89" s="843"/>
      <c r="DA89" s="843"/>
      <c r="DB89" s="843"/>
      <c r="DC89" s="843"/>
      <c r="DD89" s="843"/>
      <c r="DE89" s="843"/>
      <c r="DF89" s="843"/>
      <c r="DG89" s="843"/>
      <c r="DH89" s="843"/>
      <c r="DI89" s="843"/>
      <c r="DJ89" s="843"/>
      <c r="DK89" s="289"/>
      <c r="DL89" s="844"/>
      <c r="DM89" s="310"/>
      <c r="DN89" s="339"/>
      <c r="DO89" s="843"/>
      <c r="DP89" s="933"/>
    </row>
    <row r="90">
      <c r="A90" s="912"/>
      <c r="B90" s="937" t="s">
        <v>36</v>
      </c>
      <c r="C90" s="242"/>
      <c r="D90" s="242"/>
      <c r="E90" s="243"/>
      <c r="F90" s="411">
        <f>F79/F88</f>
        <v>3250</v>
      </c>
      <c r="G90" s="581">
        <f>Z90</f>
        <v>0</v>
      </c>
      <c r="H90" s="704">
        <f t="shared" si="199"/>
        <v>0</v>
      </c>
      <c r="I90" s="427" t="str">
        <f>IFERROR(__xludf.DUMMYFUNCTION("IFERROR(SPARKLINE(H90,{""charttype"",""bar"";""color1"",IF(H90&gt;='Апрель'!green_percent,'Апрель'!green,IF(H90&gt;='Апрель'!yellow_percent,'Апрель'!yellow,IF(H90&gt;='Апрель'!orange_percent,'Апрель'!orange,'Апрель'!red)));""max"",1}))"),"")</f>
        <v/>
      </c>
      <c r="K90" s="497"/>
      <c r="L90" s="930"/>
      <c r="M90" s="1018"/>
      <c r="N90" s="773"/>
      <c r="O90" s="343">
        <f>O79/O88</f>
        <v>3250</v>
      </c>
      <c r="P90" s="931"/>
      <c r="Q90" s="1026">
        <f>Q79/Q88</f>
        <v>3250</v>
      </c>
      <c r="R90" s="776"/>
      <c r="S90" s="411">
        <f>S79/S88</f>
        <v>3250</v>
      </c>
      <c r="T90" s="786"/>
      <c r="U90" s="411">
        <f>U79/U88</f>
        <v>3250</v>
      </c>
      <c r="V90" s="786"/>
      <c r="W90" s="411">
        <f>W79/W88</f>
        <v>3250</v>
      </c>
      <c r="X90" s="822"/>
      <c r="Y90" s="411">
        <f t="shared" ref="Y90:Z90" si="218">Y79/Y88</f>
        <v>3250</v>
      </c>
      <c r="Z90" s="592">
        <f t="shared" si="218"/>
        <v>0</v>
      </c>
      <c r="AA90" s="412">
        <f t="shared" si="200"/>
        <v>0</v>
      </c>
      <c r="AB90" s="413" t="str">
        <f>IFERROR(__xludf.DUMMYFUNCTION("IFERROR(SPARKLINE(AA90,{""charttype"",""bar"";""color1"",IF(AA90&gt;='Апрель'!green_percent,'Апрель'!green,IF(AA90&gt;='Апрель'!yellow_percent,'Апрель'!yellow,IF(AA90&gt;='Апрель'!orange_percent,'Апрель'!orange,'Апрель'!red)));""max"",1}))"),"")</f>
        <v/>
      </c>
      <c r="AC90" s="425">
        <v>3250.0</v>
      </c>
      <c r="AD90" s="824"/>
      <c r="AE90" s="425">
        <v>3250.0</v>
      </c>
      <c r="AF90" s="824"/>
      <c r="AG90" s="425">
        <v>3250.0</v>
      </c>
      <c r="AH90" s="824"/>
      <c r="AI90" s="425">
        <v>3250.0</v>
      </c>
      <c r="AJ90" s="824"/>
      <c r="AK90" s="425">
        <v>3250.0</v>
      </c>
      <c r="AL90" s="824"/>
      <c r="AM90" s="425">
        <v>3250.0</v>
      </c>
      <c r="AN90" s="825"/>
      <c r="AO90" s="425">
        <v>3250.0</v>
      </c>
      <c r="AP90" s="459"/>
      <c r="AQ90" s="411">
        <f>AQ79/AQ88</f>
        <v>4550</v>
      </c>
      <c r="AR90" s="486"/>
      <c r="AS90" s="253">
        <f t="shared" si="207"/>
        <v>0</v>
      </c>
      <c r="AT90" s="427" t="str">
        <f>IFERROR(__xludf.DUMMYFUNCTION("IFERROR(SPARKLINE(AS90,{""charttype"",""bar"";""color1"",IF(AS90&gt;='Апрель'!green_percent,'Апрель'!green,IF(AS90&gt;='Апрель'!yellow_percent,'Апрель'!yellow,IF(AS90&gt;='Апрель'!orange_percent,'Апрель'!orange,'Апрель'!red)));""max"",1}))"),"")</f>
        <v/>
      </c>
      <c r="AU90" s="425">
        <v>3250.0</v>
      </c>
      <c r="AV90" s="822"/>
      <c r="AW90" s="425">
        <v>3250.0</v>
      </c>
      <c r="AX90" s="822"/>
      <c r="AY90" s="425">
        <v>3250.0</v>
      </c>
      <c r="AZ90" s="776"/>
      <c r="BA90" s="425">
        <v>3250.0</v>
      </c>
      <c r="BB90" s="776"/>
      <c r="BC90" s="425">
        <v>3250.0</v>
      </c>
      <c r="BD90" s="776"/>
      <c r="BE90" s="425">
        <v>3250.0</v>
      </c>
      <c r="BF90" s="776"/>
      <c r="BG90" s="425">
        <v>3250.0</v>
      </c>
      <c r="BH90" s="822"/>
      <c r="BI90" s="343">
        <v>3250.0</v>
      </c>
      <c r="BJ90" s="244">
        <v>0.0</v>
      </c>
      <c r="BK90" s="253">
        <f t="shared" si="201"/>
        <v>0</v>
      </c>
      <c r="BL90" s="427" t="str">
        <f>IFERROR(__xludf.DUMMYFUNCTION("IFERROR(SPARKLINE(BK90,{""charttype"",""bar"";""color1"",IF(BK90&gt;='Апрель'!green_percent,'Апрель'!green,IF(BK90&gt;='Апрель'!yellow_percent,'Апрель'!yellow,IF(BK90&gt;='Апрель'!orange_percent,'Апрель'!orange,'Апрель'!red)));""max"",1}))"),"")</f>
        <v/>
      </c>
      <c r="BM90" s="425">
        <v>3250.0</v>
      </c>
      <c r="BN90" s="710"/>
      <c r="BO90" s="425">
        <v>3250.0</v>
      </c>
      <c r="BP90" s="465"/>
      <c r="BQ90" s="425">
        <v>3250.0</v>
      </c>
      <c r="BR90" s="716"/>
      <c r="BS90" s="425">
        <v>3250.0</v>
      </c>
      <c r="BT90" s="716"/>
      <c r="BU90" s="425">
        <v>3250.0</v>
      </c>
      <c r="BV90" s="716"/>
      <c r="BW90" s="425">
        <v>3250.0</v>
      </c>
      <c r="BX90" s="716"/>
      <c r="BY90" s="425">
        <v>3250.0</v>
      </c>
      <c r="BZ90" s="716"/>
      <c r="CA90" s="343">
        <v>3250.0</v>
      </c>
      <c r="CB90" s="244">
        <v>0.0</v>
      </c>
      <c r="CC90" s="253">
        <f t="shared" si="202"/>
        <v>0</v>
      </c>
      <c r="CD90" s="427" t="str">
        <f>IFERROR(__xludf.DUMMYFUNCTION("IFERROR(SPARKLINE(CC90,{""charttype"",""bar"";""color1"",IF(CC90&gt;='Апрель'!green_percent,'Апрель'!green,IF(CC90&gt;='Апрель'!yellow_percent,'Апрель'!yellow,IF(CC90&gt;='Апрель'!orange_percent,'Апрель'!orange,'Апрель'!red)));""max"",1}))"),"")</f>
        <v/>
      </c>
      <c r="CE90" s="425">
        <v>3250.0</v>
      </c>
      <c r="CF90" s="710"/>
      <c r="CG90" s="425">
        <v>3250.0</v>
      </c>
      <c r="CH90" s="710"/>
      <c r="CI90" s="425">
        <v>3250.0</v>
      </c>
      <c r="CJ90" s="710"/>
      <c r="CK90" s="425">
        <v>3250.0</v>
      </c>
      <c r="CL90" s="710"/>
      <c r="CM90" s="256"/>
      <c r="CN90" s="710"/>
      <c r="CO90" s="256"/>
      <c r="CP90" s="710"/>
      <c r="CQ90" s="924"/>
      <c r="CR90" s="708"/>
      <c r="CS90" s="343">
        <v>3250.0</v>
      </c>
      <c r="CT90" s="244">
        <v>0.0</v>
      </c>
      <c r="CU90" s="253">
        <f t="shared" si="203"/>
        <v>0</v>
      </c>
      <c r="CV90" s="427" t="str">
        <f>IFERROR(__xludf.DUMMYFUNCTION("IFERROR(SPARKLINE(CU90,{""charttype"",""bar"";""color1"",IF(CU90&gt;='Апрель'!green_percent,'Апрель'!green,IF(CU90&gt;='Апрель'!yellow_percent,'Апрель'!yellow,IF(CU90&gt;='Апрель'!orange_percent,'Апрель'!orange,'Апрель'!red)));""max"",1}))"),"")</f>
        <v/>
      </c>
      <c r="CW90" s="924"/>
      <c r="CX90" s="244"/>
      <c r="CY90" s="842"/>
      <c r="CZ90" s="875"/>
      <c r="DA90" s="875"/>
      <c r="DB90" s="875"/>
      <c r="DC90" s="875"/>
      <c r="DD90" s="875"/>
      <c r="DE90" s="875"/>
      <c r="DF90" s="875"/>
      <c r="DG90" s="875"/>
      <c r="DH90" s="875"/>
      <c r="DI90" s="875"/>
      <c r="DJ90" s="875"/>
      <c r="DK90" s="326"/>
      <c r="DL90" s="876"/>
      <c r="DM90" s="327"/>
      <c r="DN90" s="329"/>
      <c r="DO90" s="875"/>
      <c r="DP90" s="926"/>
    </row>
    <row r="91">
      <c r="A91" s="927"/>
      <c r="B91" s="948" t="s">
        <v>37</v>
      </c>
      <c r="C91" s="217"/>
      <c r="D91" s="217"/>
      <c r="E91" s="218"/>
      <c r="F91" s="448">
        <v>2.0</v>
      </c>
      <c r="G91" s="448">
        <f>Z91+AR91+BJ91+CB91+CT91</f>
        <v>1</v>
      </c>
      <c r="H91" s="543">
        <f t="shared" si="199"/>
        <v>0.5</v>
      </c>
      <c r="I91" s="462" t="str">
        <f>IFERROR(__xludf.DUMMYFUNCTION("IFERROR(SPARKLINE(H91,{""charttype"",""bar"";""color1"",IF(H91&gt;='Апрель'!green_percent,'Апрель'!green,IF(H91&gt;='Апрель'!yellow_percent,'Апрель'!yellow,IF(H91&gt;='Апрель'!orange_percent,'Апрель'!orange,'Апрель'!red)));""max"",1}))"),"")</f>
        <v/>
      </c>
      <c r="K91" s="417"/>
      <c r="L91" s="930"/>
      <c r="M91" s="932"/>
      <c r="N91" s="773"/>
      <c r="O91" s="417">
        <f>F91/31</f>
        <v>0.06451612903</v>
      </c>
      <c r="P91" s="755">
        <v>1.0</v>
      </c>
      <c r="Q91" s="932">
        <v>0.06451612903225806</v>
      </c>
      <c r="R91" s="776"/>
      <c r="S91" s="932">
        <v>0.06451612903225806</v>
      </c>
      <c r="T91" s="1024"/>
      <c r="U91" s="932">
        <v>0.06451612903225806</v>
      </c>
      <c r="V91" s="1024"/>
      <c r="W91" s="729">
        <v>0.06451612903225806</v>
      </c>
      <c r="X91" s="463">
        <v>0.0</v>
      </c>
      <c r="Y91" s="333">
        <f>O91+Q91+S91+U91+W91</f>
        <v>0.3225806452</v>
      </c>
      <c r="Z91" s="448">
        <v>1.0</v>
      </c>
      <c r="AA91" s="220">
        <f t="shared" si="200"/>
        <v>3.1</v>
      </c>
      <c r="AB91" s="449" t="str">
        <f>IFERROR(__xludf.DUMMYFUNCTION("IFERROR(SPARKLINE(AA91,{""charttype"",""bar"";""color1"",IF(AA91&gt;='Апрель'!green_percent,'Апрель'!green,IF(AA91&gt;='Апрель'!yellow_percent,'Апрель'!yellow,IF(AA91&gt;='Апрель'!orange_percent,'Апрель'!orange,'Апрель'!red)));""max"",1}))"),"")</f>
        <v/>
      </c>
      <c r="AC91" s="729">
        <v>0.06451612903225806</v>
      </c>
      <c r="AD91" s="824"/>
      <c r="AE91" s="729">
        <v>0.06451612903225806</v>
      </c>
      <c r="AF91" s="824"/>
      <c r="AG91" s="729">
        <v>0.06451612903225806</v>
      </c>
      <c r="AH91" s="824"/>
      <c r="AI91" s="729">
        <v>0.06451612903225806</v>
      </c>
      <c r="AJ91" s="824"/>
      <c r="AK91" s="729">
        <v>0.06451612903225806</v>
      </c>
      <c r="AL91" s="824"/>
      <c r="AM91" s="729">
        <v>0.06451612903225806</v>
      </c>
      <c r="AN91" s="825"/>
      <c r="AO91" s="729">
        <v>0.06451612903225806</v>
      </c>
      <c r="AP91" s="459"/>
      <c r="AQ91" s="333">
        <f>AG91+AI91+AK91+AM91+AO91</f>
        <v>0.3225806452</v>
      </c>
      <c r="AR91" s="448">
        <v>0.0</v>
      </c>
      <c r="AS91" s="279">
        <f t="shared" si="207"/>
        <v>0</v>
      </c>
      <c r="AT91" s="462" t="str">
        <f>IFERROR(__xludf.DUMMYFUNCTION("IFERROR(SPARKLINE(AS91,{""charttype"",""bar"";""color1"",IF(AS91&gt;='Апрель'!green_percent,'Апрель'!green,IF(AS91&gt;='Апрель'!yellow_percent,'Апрель'!yellow,IF(AS91&gt;='Апрель'!orange_percent,'Апрель'!orange,'Апрель'!red)));""max"",1}))"),"")</f>
        <v/>
      </c>
      <c r="AU91" s="729">
        <v>0.06451612903225806</v>
      </c>
      <c r="AV91" s="463"/>
      <c r="AW91" s="729">
        <v>0.06451612903225806</v>
      </c>
      <c r="AX91" s="463"/>
      <c r="AY91" s="729">
        <v>0.06451612903225806</v>
      </c>
      <c r="AZ91" s="776"/>
      <c r="BA91" s="729">
        <v>0.06451612903225806</v>
      </c>
      <c r="BB91" s="776"/>
      <c r="BC91" s="729">
        <v>0.06451612903225806</v>
      </c>
      <c r="BD91" s="776"/>
      <c r="BE91" s="729">
        <v>0.06451612903225806</v>
      </c>
      <c r="BF91" s="776"/>
      <c r="BG91" s="729">
        <v>0.06451612903225806</v>
      </c>
      <c r="BH91" s="463"/>
      <c r="BI91" s="333">
        <v>0.3225806451612903</v>
      </c>
      <c r="BJ91" s="448">
        <v>0.0</v>
      </c>
      <c r="BK91" s="279">
        <f t="shared" si="201"/>
        <v>0</v>
      </c>
      <c r="BL91" s="462" t="str">
        <f>IFERROR(__xludf.DUMMYFUNCTION("IFERROR(SPARKLINE(BK91,{""charttype"",""bar"";""color1"",IF(BK91&gt;='Апрель'!green_percent,'Апрель'!green,IF(BK91&gt;='Апрель'!yellow_percent,'Апрель'!yellow,IF(BK91&gt;='Апрель'!orange_percent,'Апрель'!orange,'Апрель'!red)));""max"",1}))"),"")</f>
        <v/>
      </c>
      <c r="BM91" s="729">
        <v>0.06451612903225806</v>
      </c>
      <c r="BN91" s="466"/>
      <c r="BO91" s="729">
        <v>0.06451612903225806</v>
      </c>
      <c r="BP91" s="465"/>
      <c r="BQ91" s="729">
        <v>0.06451612903225806</v>
      </c>
      <c r="BR91" s="465"/>
      <c r="BS91" s="729">
        <v>0.06451612903225806</v>
      </c>
      <c r="BT91" s="465"/>
      <c r="BU91" s="729">
        <v>0.06451612903225806</v>
      </c>
      <c r="BV91" s="465"/>
      <c r="BW91" s="729">
        <v>0.06451612903225806</v>
      </c>
      <c r="BX91" s="465"/>
      <c r="BY91" s="729">
        <v>0.06451612903225806</v>
      </c>
      <c r="BZ91" s="465"/>
      <c r="CA91" s="333">
        <v>0.3225806451612903</v>
      </c>
      <c r="CB91" s="448">
        <v>0.0</v>
      </c>
      <c r="CC91" s="279">
        <f t="shared" si="202"/>
        <v>0</v>
      </c>
      <c r="CD91" s="462" t="str">
        <f>IFERROR(__xludf.DUMMYFUNCTION("IFERROR(SPARKLINE(CC91,{""charttype"",""bar"";""color1"",IF(CC91&gt;='Апрель'!green_percent,'Апрель'!green,IF(CC91&gt;='Апрель'!yellow_percent,'Апрель'!yellow,IF(CC91&gt;='Апрель'!orange_percent,'Апрель'!orange,'Апрель'!red)));""max"",1}))"),"")</f>
        <v/>
      </c>
      <c r="CE91" s="729">
        <v>0.06451612903225806</v>
      </c>
      <c r="CF91" s="466"/>
      <c r="CG91" s="729">
        <v>0.06451612903225806</v>
      </c>
      <c r="CH91" s="466"/>
      <c r="CI91" s="729">
        <v>0.06451612903225806</v>
      </c>
      <c r="CJ91" s="466"/>
      <c r="CK91" s="729">
        <v>0.06451612903225806</v>
      </c>
      <c r="CL91" s="466"/>
      <c r="CM91" s="256"/>
      <c r="CN91" s="466"/>
      <c r="CO91" s="256"/>
      <c r="CP91" s="466"/>
      <c r="CQ91" s="924"/>
      <c r="CR91" s="726"/>
      <c r="CS91" s="333">
        <v>0.3225806451612903</v>
      </c>
      <c r="CT91" s="448">
        <v>0.0</v>
      </c>
      <c r="CU91" s="279">
        <f t="shared" si="203"/>
        <v>0</v>
      </c>
      <c r="CV91" s="462" t="str">
        <f>IFERROR(__xludf.DUMMYFUNCTION("IFERROR(SPARKLINE(CU91,{""charttype"",""bar"";""color1"",IF(CU91&gt;='Апрель'!green_percent,'Апрель'!green,IF(CU91&gt;='Апрель'!yellow_percent,'Апрель'!yellow,IF(CU91&gt;='Апрель'!orange_percent,'Апрель'!orange,'Апрель'!red)));""max"",1}))"),"")</f>
        <v/>
      </c>
      <c r="CW91" s="924"/>
      <c r="CX91" s="448"/>
      <c r="CY91" s="842"/>
      <c r="CZ91" s="843"/>
      <c r="DA91" s="843"/>
      <c r="DB91" s="843"/>
      <c r="DC91" s="843"/>
      <c r="DD91" s="843"/>
      <c r="DE91" s="843"/>
      <c r="DF91" s="843"/>
      <c r="DG91" s="843"/>
      <c r="DH91" s="843"/>
      <c r="DI91" s="843"/>
      <c r="DJ91" s="843"/>
      <c r="DK91" s="289"/>
      <c r="DL91" s="844"/>
      <c r="DM91" s="310"/>
      <c r="DN91" s="339"/>
      <c r="DO91" s="843"/>
      <c r="DP91" s="933"/>
    </row>
    <row r="92">
      <c r="A92" s="912"/>
      <c r="B92" s="944" t="s">
        <v>38</v>
      </c>
      <c r="C92" s="242"/>
      <c r="D92" s="242"/>
      <c r="E92" s="243"/>
      <c r="F92" s="802">
        <f t="shared" ref="F92:G92" si="219">F91/F88</f>
        <v>1</v>
      </c>
      <c r="G92" s="412">
        <f t="shared" si="219"/>
        <v>1</v>
      </c>
      <c r="H92" s="704">
        <f t="shared" si="199"/>
        <v>1</v>
      </c>
      <c r="I92" s="427" t="str">
        <f>IFERROR(__xludf.DUMMYFUNCTION("IFERROR(SPARKLINE(H92,{""charttype"",""bar"";""color1"",IF(H92&gt;='Апрель'!green_percent,'Апрель'!green,IF(H92&gt;='Апрель'!yellow_percent,'Апрель'!yellow,IF(H92&gt;='Апрель'!orange_percent,'Апрель'!orange,'Апрель'!red)));""max"",1}))"),"")</f>
        <v/>
      </c>
      <c r="K92" s="515"/>
      <c r="L92" s="773"/>
      <c r="M92" s="941"/>
      <c r="N92" s="773"/>
      <c r="O92" s="515">
        <f>O91/O88</f>
        <v>0.9677419355</v>
      </c>
      <c r="P92" s="776"/>
      <c r="Q92" s="941">
        <v>0.967741935483871</v>
      </c>
      <c r="R92" s="776"/>
      <c r="S92" s="941">
        <v>0.967741935483871</v>
      </c>
      <c r="T92" s="755"/>
      <c r="U92" s="941">
        <v>0.967741935483871</v>
      </c>
      <c r="V92" s="755"/>
      <c r="W92" s="942">
        <v>0.967741935483871</v>
      </c>
      <c r="X92" s="822"/>
      <c r="Y92" s="319">
        <f t="shared" ref="Y92:Z92" si="220">Y91/Y88</f>
        <v>0.9677419355</v>
      </c>
      <c r="Z92" s="412">
        <f t="shared" si="220"/>
        <v>1</v>
      </c>
      <c r="AA92" s="412">
        <f t="shared" si="200"/>
        <v>1.033333333</v>
      </c>
      <c r="AB92" s="413" t="str">
        <f>IFERROR(__xludf.DUMMYFUNCTION("IFERROR(SPARKLINE(AA92,{""charttype"",""bar"";""color1"",IF(AA92&gt;='Апрель'!green_percent,'Апрель'!green,IF(AA92&gt;='Апрель'!yellow_percent,'Апрель'!yellow,IF(AA92&gt;='Апрель'!orange_percent,'Апрель'!orange,'Апрель'!red)));""max"",1}))"),"")</f>
        <v/>
      </c>
      <c r="AC92" s="541">
        <v>0.967741935483871</v>
      </c>
      <c r="AD92" s="824"/>
      <c r="AE92" s="541">
        <v>0.967741935483871</v>
      </c>
      <c r="AF92" s="824"/>
      <c r="AG92" s="541">
        <v>0.967741935483871</v>
      </c>
      <c r="AH92" s="824"/>
      <c r="AI92" s="541">
        <v>0.967741935483871</v>
      </c>
      <c r="AJ92" s="824"/>
      <c r="AK92" s="541">
        <v>0.967741935483871</v>
      </c>
      <c r="AL92" s="824"/>
      <c r="AM92" s="541">
        <v>0.967741935483871</v>
      </c>
      <c r="AN92" s="825"/>
      <c r="AO92" s="541">
        <v>0.967741935483871</v>
      </c>
      <c r="AP92" s="459"/>
      <c r="AQ92" s="319">
        <f>AQ91/AQ88</f>
        <v>0.9677419355</v>
      </c>
      <c r="AR92" s="486"/>
      <c r="AS92" s="253">
        <f t="shared" si="207"/>
        <v>0</v>
      </c>
      <c r="AT92" s="427" t="str">
        <f>IFERROR(__xludf.DUMMYFUNCTION("IFERROR(SPARKLINE(AS92,{""charttype"",""bar"";""color1"",IF(AS92&gt;='Апрель'!green_percent,'Апрель'!green,IF(AS92&gt;='Апрель'!yellow_percent,'Апрель'!yellow,IF(AS92&gt;='Апрель'!orange_percent,'Апрель'!orange,'Апрель'!red)));""max"",1}))"),"")</f>
        <v/>
      </c>
      <c r="AU92" s="541">
        <v>0.967741935483871</v>
      </c>
      <c r="AV92" s="822"/>
      <c r="AW92" s="541">
        <v>0.967741935483871</v>
      </c>
      <c r="AX92" s="822"/>
      <c r="AY92" s="541">
        <v>0.967741935483871</v>
      </c>
      <c r="AZ92" s="776"/>
      <c r="BA92" s="541">
        <v>0.967741935483871</v>
      </c>
      <c r="BB92" s="776"/>
      <c r="BC92" s="541">
        <v>0.967741935483871</v>
      </c>
      <c r="BD92" s="776"/>
      <c r="BE92" s="541">
        <v>0.967741935483871</v>
      </c>
      <c r="BF92" s="776"/>
      <c r="BG92" s="541">
        <v>0.967741935483871</v>
      </c>
      <c r="BH92" s="822"/>
      <c r="BI92" s="316">
        <v>0.967741935483871</v>
      </c>
      <c r="BJ92" s="244">
        <v>0.0</v>
      </c>
      <c r="BK92" s="253">
        <f t="shared" si="201"/>
        <v>0</v>
      </c>
      <c r="BL92" s="427" t="str">
        <f>IFERROR(__xludf.DUMMYFUNCTION("IFERROR(SPARKLINE(BK92,{""charttype"",""bar"";""color1"",IF(BK92&gt;='Апрель'!green_percent,'Апрель'!green,IF(BK92&gt;='Апрель'!yellow_percent,'Апрель'!yellow,IF(BK92&gt;='Апрель'!orange_percent,'Апрель'!orange,'Апрель'!red)));""max"",1}))"),"")</f>
        <v/>
      </c>
      <c r="BM92" s="541">
        <v>0.967741935483871</v>
      </c>
      <c r="BN92" s="710"/>
      <c r="BO92" s="541">
        <v>0.967741935483871</v>
      </c>
      <c r="BP92" s="465"/>
      <c r="BQ92" s="541">
        <v>0.967741935483871</v>
      </c>
      <c r="BR92" s="716"/>
      <c r="BS92" s="541">
        <v>0.967741935483871</v>
      </c>
      <c r="BT92" s="716"/>
      <c r="BU92" s="541">
        <v>0.967741935483871</v>
      </c>
      <c r="BV92" s="716"/>
      <c r="BW92" s="541">
        <v>0.967741935483871</v>
      </c>
      <c r="BX92" s="716"/>
      <c r="BY92" s="541">
        <v>0.967741935483871</v>
      </c>
      <c r="BZ92" s="716"/>
      <c r="CA92" s="316">
        <v>0.967741935483871</v>
      </c>
      <c r="CB92" s="244">
        <v>0.0</v>
      </c>
      <c r="CC92" s="253">
        <f t="shared" si="202"/>
        <v>0</v>
      </c>
      <c r="CD92" s="427" t="str">
        <f>IFERROR(__xludf.DUMMYFUNCTION("IFERROR(SPARKLINE(CC92,{""charttype"",""bar"";""color1"",IF(CC92&gt;='Апрель'!green_percent,'Апрель'!green,IF(CC92&gt;='Апрель'!yellow_percent,'Апрель'!yellow,IF(CC92&gt;='Апрель'!orange_percent,'Апрель'!orange,'Апрель'!red)));""max"",1}))"),"")</f>
        <v/>
      </c>
      <c r="CE92" s="541">
        <v>0.967741935483871</v>
      </c>
      <c r="CF92" s="710"/>
      <c r="CG92" s="541">
        <v>0.967741935483871</v>
      </c>
      <c r="CH92" s="710"/>
      <c r="CI92" s="541">
        <v>0.967741935483871</v>
      </c>
      <c r="CJ92" s="710"/>
      <c r="CK92" s="541">
        <v>0.967741935483871</v>
      </c>
      <c r="CL92" s="710"/>
      <c r="CM92" s="256"/>
      <c r="CN92" s="710"/>
      <c r="CO92" s="256"/>
      <c r="CP92" s="710"/>
      <c r="CQ92" s="924"/>
      <c r="CR92" s="708"/>
      <c r="CS92" s="316">
        <v>0.967741935483871</v>
      </c>
      <c r="CT92" s="244">
        <v>0.0</v>
      </c>
      <c r="CU92" s="253">
        <f t="shared" si="203"/>
        <v>0</v>
      </c>
      <c r="CV92" s="427" t="str">
        <f>IFERROR(__xludf.DUMMYFUNCTION("IFERROR(SPARKLINE(CU92,{""charttype"",""bar"";""color1"",IF(CU92&gt;='Апрель'!green_percent,'Апрель'!green,IF(CU92&gt;='Апрель'!yellow_percent,'Апрель'!yellow,IF(CU92&gt;='Апрель'!orange_percent,'Апрель'!orange,'Апрель'!red)));""max"",1}))"),"")</f>
        <v/>
      </c>
      <c r="CW92" s="924"/>
      <c r="CX92" s="244"/>
      <c r="CY92" s="842"/>
      <c r="CZ92" s="875"/>
      <c r="DA92" s="875"/>
      <c r="DB92" s="875"/>
      <c r="DC92" s="875"/>
      <c r="DD92" s="875"/>
      <c r="DE92" s="875"/>
      <c r="DF92" s="875"/>
      <c r="DG92" s="875"/>
      <c r="DH92" s="875"/>
      <c r="DI92" s="875"/>
      <c r="DJ92" s="875"/>
      <c r="DK92" s="326"/>
      <c r="DL92" s="876"/>
      <c r="DM92" s="327"/>
      <c r="DN92" s="329"/>
      <c r="DO92" s="875"/>
      <c r="DP92" s="926"/>
    </row>
    <row r="93">
      <c r="A93" s="927"/>
      <c r="B93" s="934" t="s">
        <v>26</v>
      </c>
      <c r="C93" s="217"/>
      <c r="D93" s="217"/>
      <c r="E93" s="218"/>
      <c r="F93" s="448">
        <v>1.0</v>
      </c>
      <c r="G93" s="448">
        <f t="shared" ref="G93:G94" si="221">Z93+AR93+BJ93+CB93+CT93</f>
        <v>1</v>
      </c>
      <c r="H93" s="543">
        <f t="shared" si="199"/>
        <v>1</v>
      </c>
      <c r="I93" s="462" t="str">
        <f>IFERROR(__xludf.DUMMYFUNCTION("IFERROR(SPARKLINE(H93,{""charttype"",""bar"";""color1"",IF(H93&gt;='Апрель'!green_percent,'Апрель'!green,IF(H93&gt;='Апрель'!yellow_percent,'Апрель'!yellow,IF(H93&gt;='Апрель'!orange_percent,'Апрель'!orange,'Апрель'!red)));""max"",1}))"),"")</f>
        <v/>
      </c>
      <c r="K93" s="282"/>
      <c r="L93" s="773">
        <v>0.0</v>
      </c>
      <c r="M93" s="932"/>
      <c r="N93" s="773">
        <v>0.0</v>
      </c>
      <c r="O93" s="1027">
        <f>F93/30</f>
        <v>0.03333333333</v>
      </c>
      <c r="P93" s="776">
        <v>1.0</v>
      </c>
      <c r="Q93" s="1028">
        <v>0.03333333333333333</v>
      </c>
      <c r="R93" s="776">
        <v>0.0</v>
      </c>
      <c r="S93" s="1028">
        <v>0.03333333333333333</v>
      </c>
      <c r="T93" s="1024"/>
      <c r="U93" s="1028">
        <v>0.03333333333333333</v>
      </c>
      <c r="V93" s="1024"/>
      <c r="W93" s="1029">
        <v>0.03333333333333333</v>
      </c>
      <c r="X93" s="463"/>
      <c r="Y93" s="333">
        <f t="shared" ref="Y93:Y94" si="222">O93+Q93+S93+U93+W93</f>
        <v>0.1666666667</v>
      </c>
      <c r="Z93" s="448">
        <v>1.0</v>
      </c>
      <c r="AA93" s="220">
        <f t="shared" si="200"/>
        <v>6</v>
      </c>
      <c r="AB93" s="449" t="str">
        <f>IFERROR(__xludf.DUMMYFUNCTION("IFERROR(SPARKLINE(AA93,{""charttype"",""bar"";""color1"",IF(AA93&gt;='Апрель'!green_percent,'Апрель'!green,IF(AA93&gt;='Апрель'!yellow_percent,'Апрель'!yellow,IF(AA93&gt;='Апрель'!orange_percent,'Апрель'!orange,'Апрель'!red)));""max"",1}))"),"")</f>
        <v/>
      </c>
      <c r="AC93" s="1029">
        <v>0.03333333333333333</v>
      </c>
      <c r="AD93" s="824"/>
      <c r="AE93" s="1029">
        <v>0.03333333333333333</v>
      </c>
      <c r="AF93" s="824"/>
      <c r="AG93" s="1029">
        <v>0.03333333333333333</v>
      </c>
      <c r="AH93" s="824"/>
      <c r="AI93" s="1029">
        <v>0.03333333333333333</v>
      </c>
      <c r="AJ93" s="824"/>
      <c r="AK93" s="1029">
        <v>0.03333333333333333</v>
      </c>
      <c r="AL93" s="824"/>
      <c r="AM93" s="1029">
        <v>0.03333333333333333</v>
      </c>
      <c r="AN93" s="825"/>
      <c r="AO93" s="1029">
        <v>0.03333333333333333</v>
      </c>
      <c r="AP93" s="459"/>
      <c r="AQ93" s="333">
        <f t="shared" ref="AQ93:AQ94" si="223">AG93+AI93+AK93+AM93+AO93</f>
        <v>0.1666666667</v>
      </c>
      <c r="AR93" s="464"/>
      <c r="AS93" s="279"/>
      <c r="AT93" s="462"/>
      <c r="AU93" s="1029">
        <v>0.03333333333333333</v>
      </c>
      <c r="AV93" s="463"/>
      <c r="AW93" s="1029">
        <v>0.03333333333333333</v>
      </c>
      <c r="AX93" s="463"/>
      <c r="AY93" s="1029">
        <v>0.03333333333333333</v>
      </c>
      <c r="AZ93" s="776"/>
      <c r="BA93" s="1029">
        <v>0.03333333333333333</v>
      </c>
      <c r="BB93" s="776"/>
      <c r="BC93" s="1029">
        <v>0.03333333333333333</v>
      </c>
      <c r="BD93" s="776"/>
      <c r="BE93" s="1029">
        <v>0.03333333333333333</v>
      </c>
      <c r="BF93" s="776"/>
      <c r="BG93" s="1029">
        <v>0.03333333333333333</v>
      </c>
      <c r="BH93" s="463"/>
      <c r="BI93" s="333">
        <v>0.16666666666666666</v>
      </c>
      <c r="BJ93" s="448">
        <v>0.0</v>
      </c>
      <c r="BK93" s="279">
        <f t="shared" si="201"/>
        <v>0</v>
      </c>
      <c r="BL93" s="462" t="str">
        <f>IFERROR(__xludf.DUMMYFUNCTION("IFERROR(SPARKLINE(BK93,{""charttype"",""bar"";""color1"",IF(BK93&gt;='Апрель'!green_percent,'Апрель'!green,IF(BK93&gt;='Апрель'!yellow_percent,'Апрель'!yellow,IF(BK93&gt;='Апрель'!orange_percent,'Апрель'!orange,'Апрель'!red)));""max"",1}))"),"")</f>
        <v/>
      </c>
      <c r="BM93" s="1029">
        <v>0.03333333333333333</v>
      </c>
      <c r="BN93" s="466"/>
      <c r="BO93" s="1029">
        <v>0.03333333333333333</v>
      </c>
      <c r="BP93" s="465"/>
      <c r="BQ93" s="1029">
        <v>0.03333333333333333</v>
      </c>
      <c r="BR93" s="465"/>
      <c r="BS93" s="1029">
        <v>0.03333333333333333</v>
      </c>
      <c r="BT93" s="465"/>
      <c r="BU93" s="1029">
        <v>0.03333333333333333</v>
      </c>
      <c r="BV93" s="465"/>
      <c r="BW93" s="1029">
        <v>0.03333333333333333</v>
      </c>
      <c r="BX93" s="465"/>
      <c r="BY93" s="1029">
        <v>0.03333333333333333</v>
      </c>
      <c r="BZ93" s="465"/>
      <c r="CA93" s="333">
        <v>0.16666666666666666</v>
      </c>
      <c r="CB93" s="448">
        <v>0.0</v>
      </c>
      <c r="CC93" s="279">
        <f t="shared" si="202"/>
        <v>0</v>
      </c>
      <c r="CD93" s="462" t="str">
        <f>IFERROR(__xludf.DUMMYFUNCTION("IFERROR(SPARKLINE(CC93,{""charttype"",""bar"";""color1"",IF(CC93&gt;='Апрель'!green_percent,'Апрель'!green,IF(CC93&gt;='Апрель'!yellow_percent,'Апрель'!yellow,IF(CC93&gt;='Апрель'!orange_percent,'Апрель'!orange,'Апрель'!red)));""max"",1}))"),"")</f>
        <v/>
      </c>
      <c r="CE93" s="1029">
        <v>0.03333333333333333</v>
      </c>
      <c r="CF93" s="466"/>
      <c r="CG93" s="1029">
        <v>0.03333333333333333</v>
      </c>
      <c r="CH93" s="466"/>
      <c r="CI93" s="1029">
        <v>0.03333333333333333</v>
      </c>
      <c r="CJ93" s="466"/>
      <c r="CK93" s="1029">
        <v>0.03333333333333333</v>
      </c>
      <c r="CL93" s="466"/>
      <c r="CM93" s="256"/>
      <c r="CN93" s="466"/>
      <c r="CO93" s="256"/>
      <c r="CP93" s="466"/>
      <c r="CQ93" s="924"/>
      <c r="CR93" s="726"/>
      <c r="CS93" s="333">
        <v>0.16666666666666666</v>
      </c>
      <c r="CT93" s="448">
        <v>0.0</v>
      </c>
      <c r="CU93" s="279">
        <f t="shared" si="203"/>
        <v>0</v>
      </c>
      <c r="CV93" s="462" t="str">
        <f>IFERROR(__xludf.DUMMYFUNCTION("IFERROR(SPARKLINE(CU93,{""charttype"",""bar"";""color1"",IF(CU93&gt;='Апрель'!green_percent,'Апрель'!green,IF(CU93&gt;='Апрель'!yellow_percent,'Апрель'!yellow,IF(CU93&gt;='Апрель'!orange_percent,'Апрель'!orange,'Апрель'!red)));""max"",1}))"),"")</f>
        <v/>
      </c>
      <c r="CW93" s="924"/>
      <c r="CX93" s="448"/>
      <c r="CY93" s="842"/>
      <c r="CZ93" s="843"/>
      <c r="DA93" s="843"/>
      <c r="DB93" s="843"/>
      <c r="DC93" s="843"/>
      <c r="DD93" s="843"/>
      <c r="DE93" s="843"/>
      <c r="DF93" s="843"/>
      <c r="DG93" s="843"/>
      <c r="DH93" s="843"/>
      <c r="DI93" s="843"/>
      <c r="DJ93" s="843"/>
      <c r="DK93" s="289"/>
      <c r="DL93" s="844"/>
      <c r="DM93" s="310"/>
      <c r="DN93" s="339"/>
      <c r="DO93" s="843"/>
      <c r="DP93" s="933"/>
    </row>
    <row r="94">
      <c r="A94" s="912"/>
      <c r="B94" s="937" t="s">
        <v>39</v>
      </c>
      <c r="C94" s="242"/>
      <c r="D94" s="242"/>
      <c r="E94" s="243"/>
      <c r="F94" s="581">
        <v>30000.0</v>
      </c>
      <c r="G94" s="581">
        <f t="shared" si="221"/>
        <v>200000</v>
      </c>
      <c r="H94" s="704">
        <f t="shared" si="199"/>
        <v>6.666666667</v>
      </c>
      <c r="I94" s="427" t="str">
        <f>IFERROR(__xludf.DUMMYFUNCTION("IFERROR(SPARKLINE(H94,{""charttype"",""bar"";""color1"",IF(H94&gt;='Апрель'!green_percent,'Апрель'!green,IF(H94&gt;='Апрель'!yellow_percent,'Апрель'!yellow,IF(H94&gt;='Апрель'!orange_percent,'Апрель'!orange,'Апрель'!red)));""max"",1}))"),"")</f>
        <v/>
      </c>
      <c r="K94" s="497"/>
      <c r="L94" s="930"/>
      <c r="M94" s="1018"/>
      <c r="N94" s="773"/>
      <c r="O94" s="497">
        <f>F94/31</f>
        <v>967.7419355</v>
      </c>
      <c r="P94" s="776">
        <v>200000.0</v>
      </c>
      <c r="Q94" s="1018">
        <v>967.741935483871</v>
      </c>
      <c r="R94" s="776"/>
      <c r="S94" s="1018">
        <v>967.741935483871</v>
      </c>
      <c r="T94" s="786"/>
      <c r="U94" s="1018">
        <v>967.741935483871</v>
      </c>
      <c r="V94" s="786"/>
      <c r="W94" s="837">
        <v>967.741935483871</v>
      </c>
      <c r="X94" s="822">
        <v>0.0</v>
      </c>
      <c r="Y94" s="591">
        <f t="shared" si="222"/>
        <v>4838.709677</v>
      </c>
      <c r="Z94" s="244">
        <v>200000.0</v>
      </c>
      <c r="AA94" s="412">
        <f t="shared" si="200"/>
        <v>41.33333333</v>
      </c>
      <c r="AB94" s="413" t="str">
        <f>IFERROR(__xludf.DUMMYFUNCTION("IFERROR(SPARKLINE(AA94,{""charttype"",""bar"";""color1"",IF(AA94&gt;='Апрель'!green_percent,'Апрель'!green,IF(AA94&gt;='Апрель'!yellow_percent,'Апрель'!yellow,IF(AA94&gt;='Апрель'!orange_percent,'Апрель'!orange,'Апрель'!red)));""max"",1}))"),"")</f>
        <v/>
      </c>
      <c r="AC94" s="425">
        <v>967.741935483871</v>
      </c>
      <c r="AD94" s="824"/>
      <c r="AE94" s="425">
        <v>967.741935483871</v>
      </c>
      <c r="AF94" s="824"/>
      <c r="AG94" s="425">
        <v>967.741935483871</v>
      </c>
      <c r="AH94" s="824"/>
      <c r="AI94" s="425">
        <v>967.741935483871</v>
      </c>
      <c r="AJ94" s="824"/>
      <c r="AK94" s="425">
        <v>967.741935483871</v>
      </c>
      <c r="AL94" s="824"/>
      <c r="AM94" s="425">
        <v>967.741935483871</v>
      </c>
      <c r="AN94" s="825"/>
      <c r="AO94" s="425">
        <v>967.741935483871</v>
      </c>
      <c r="AP94" s="459"/>
      <c r="AQ94" s="591">
        <f t="shared" si="223"/>
        <v>4838.709677</v>
      </c>
      <c r="AR94" s="244">
        <v>0.0</v>
      </c>
      <c r="AS94" s="253"/>
      <c r="AT94" s="427"/>
      <c r="AU94" s="425">
        <v>967.741935483871</v>
      </c>
      <c r="AV94" s="822"/>
      <c r="AW94" s="425">
        <v>967.741935483871</v>
      </c>
      <c r="AX94" s="822"/>
      <c r="AY94" s="425">
        <v>967.741935483871</v>
      </c>
      <c r="AZ94" s="776"/>
      <c r="BA94" s="425">
        <v>967.741935483871</v>
      </c>
      <c r="BB94" s="776"/>
      <c r="BC94" s="425">
        <v>967.741935483871</v>
      </c>
      <c r="BD94" s="776"/>
      <c r="BE94" s="425">
        <v>967.741935483871</v>
      </c>
      <c r="BF94" s="776"/>
      <c r="BG94" s="425">
        <v>967.741935483871</v>
      </c>
      <c r="BH94" s="822"/>
      <c r="BI94" s="591">
        <v>4838.709677419355</v>
      </c>
      <c r="BJ94" s="244">
        <v>0.0</v>
      </c>
      <c r="BK94" s="253">
        <f t="shared" si="201"/>
        <v>0</v>
      </c>
      <c r="BL94" s="427" t="str">
        <f>IFERROR(__xludf.DUMMYFUNCTION("IFERROR(SPARKLINE(BK94,{""charttype"",""bar"";""color1"",IF(BK94&gt;='Апрель'!green_percent,'Апрель'!green,IF(BK94&gt;='Апрель'!yellow_percent,'Апрель'!yellow,IF(BK94&gt;='Апрель'!orange_percent,'Апрель'!orange,'Апрель'!red)));""max"",1}))"),"")</f>
        <v/>
      </c>
      <c r="BM94" s="425">
        <v>967.741935483871</v>
      </c>
      <c r="BN94" s="710"/>
      <c r="BO94" s="425">
        <v>967.741935483871</v>
      </c>
      <c r="BP94" s="465"/>
      <c r="BQ94" s="425">
        <v>967.741935483871</v>
      </c>
      <c r="BR94" s="716"/>
      <c r="BS94" s="425">
        <v>967.741935483871</v>
      </c>
      <c r="BT94" s="716"/>
      <c r="BU94" s="425">
        <v>967.741935483871</v>
      </c>
      <c r="BV94" s="716"/>
      <c r="BW94" s="425">
        <v>967.741935483871</v>
      </c>
      <c r="BX94" s="716"/>
      <c r="BY94" s="425">
        <v>967.741935483871</v>
      </c>
      <c r="BZ94" s="716"/>
      <c r="CA94" s="591">
        <v>4838.709677419355</v>
      </c>
      <c r="CB94" s="244">
        <v>0.0</v>
      </c>
      <c r="CC94" s="253">
        <f t="shared" si="202"/>
        <v>0</v>
      </c>
      <c r="CD94" s="427" t="str">
        <f>IFERROR(__xludf.DUMMYFUNCTION("IFERROR(SPARKLINE(CC94,{""charttype"",""bar"";""color1"",IF(CC94&gt;='Апрель'!green_percent,'Апрель'!green,IF(CC94&gt;='Апрель'!yellow_percent,'Апрель'!yellow,IF(CC94&gt;='Апрель'!orange_percent,'Апрель'!orange,'Апрель'!red)));""max"",1}))"),"")</f>
        <v/>
      </c>
      <c r="CE94" s="425">
        <v>967.741935483871</v>
      </c>
      <c r="CF94" s="710"/>
      <c r="CG94" s="425">
        <v>967.741935483871</v>
      </c>
      <c r="CH94" s="710"/>
      <c r="CI94" s="425">
        <v>967.741935483871</v>
      </c>
      <c r="CJ94" s="710"/>
      <c r="CK94" s="425">
        <v>967.741935483871</v>
      </c>
      <c r="CL94" s="710"/>
      <c r="CM94" s="256"/>
      <c r="CN94" s="710"/>
      <c r="CO94" s="256"/>
      <c r="CP94" s="710"/>
      <c r="CQ94" s="924"/>
      <c r="CR94" s="708"/>
      <c r="CS94" s="591">
        <v>4838.709677419355</v>
      </c>
      <c r="CT94" s="244">
        <v>0.0</v>
      </c>
      <c r="CU94" s="253">
        <f t="shared" si="203"/>
        <v>0</v>
      </c>
      <c r="CV94" s="427" t="str">
        <f>IFERROR(__xludf.DUMMYFUNCTION("IFERROR(SPARKLINE(CU94,{""charttype"",""bar"";""color1"",IF(CU94&gt;='Апрель'!green_percent,'Апрель'!green,IF(CU94&gt;='Апрель'!yellow_percent,'Апрель'!yellow,IF(CU94&gt;='Апрель'!orange_percent,'Апрель'!orange,'Апрель'!red)));""max"",1}))"),"")</f>
        <v/>
      </c>
      <c r="CW94" s="924"/>
      <c r="CX94" s="244"/>
      <c r="CY94" s="842"/>
      <c r="CZ94" s="875"/>
      <c r="DA94" s="875"/>
      <c r="DB94" s="875"/>
      <c r="DC94" s="875"/>
      <c r="DD94" s="875"/>
      <c r="DE94" s="875"/>
      <c r="DF94" s="875"/>
      <c r="DG94" s="875"/>
      <c r="DH94" s="875"/>
      <c r="DI94" s="875"/>
      <c r="DJ94" s="875"/>
      <c r="DK94" s="326"/>
      <c r="DL94" s="876"/>
      <c r="DM94" s="327"/>
      <c r="DN94" s="329"/>
      <c r="DO94" s="875"/>
      <c r="DP94" s="926"/>
    </row>
    <row r="95">
      <c r="A95" s="927"/>
      <c r="B95" s="951" t="s">
        <v>57</v>
      </c>
      <c r="C95" s="217"/>
      <c r="D95" s="217"/>
      <c r="E95" s="218"/>
      <c r="F95" s="1030">
        <f t="shared" ref="F95:G95" si="224">F93/F88</f>
        <v>0.5</v>
      </c>
      <c r="G95" s="219">
        <f t="shared" si="224"/>
        <v>1</v>
      </c>
      <c r="H95" s="543">
        <f t="shared" si="199"/>
        <v>2</v>
      </c>
      <c r="I95" s="462" t="str">
        <f>IFERROR(__xludf.DUMMYFUNCTION("IFERROR(SPARKLINE(H95,{""charttype"",""bar"";""color1"",IF(H95&gt;='Апрель'!green_percent,'Апрель'!green,IF(H95&gt;='Апрель'!yellow_percent,'Апрель'!yellow,IF(H95&gt;='Апрель'!orange_percent,'Апрель'!orange,'Апрель'!red)));""max"",1}))"),"")</f>
        <v/>
      </c>
      <c r="K95" s="518"/>
      <c r="L95" s="930"/>
      <c r="M95" s="941"/>
      <c r="N95" s="773"/>
      <c r="O95" s="518">
        <f>O93/O91</f>
        <v>0.5166666667</v>
      </c>
      <c r="P95" s="953">
        <f>P93/P88</f>
        <v>1</v>
      </c>
      <c r="Q95" s="941">
        <v>0.5166666666666667</v>
      </c>
      <c r="R95" s="776"/>
      <c r="S95" s="941">
        <v>0.5166666666666667</v>
      </c>
      <c r="T95" s="755"/>
      <c r="U95" s="941">
        <v>0.5166666666666667</v>
      </c>
      <c r="V95" s="755"/>
      <c r="W95" s="942">
        <v>0.5166666666666667</v>
      </c>
      <c r="X95" s="463"/>
      <c r="Y95" s="226">
        <f t="shared" ref="Y95:Z95" si="225">Y93/Y88</f>
        <v>0.5</v>
      </c>
      <c r="Z95" s="219">
        <f t="shared" si="225"/>
        <v>1</v>
      </c>
      <c r="AA95" s="220">
        <f t="shared" si="200"/>
        <v>2</v>
      </c>
      <c r="AB95" s="449" t="str">
        <f>IFERROR(__xludf.DUMMYFUNCTION("IFERROR(SPARKLINE(AA95,{""charttype"",""bar"";""color1"",IF(AA95&gt;='Апрель'!green_percent,'Апрель'!green,IF(AA95&gt;='Апрель'!yellow_percent,'Апрель'!yellow,IF(AA95&gt;='Апрель'!orange_percent,'Апрель'!orange,'Апрель'!red)));""max"",1}))"),"")</f>
        <v/>
      </c>
      <c r="AC95" s="942">
        <v>0.5166666666666667</v>
      </c>
      <c r="AD95" s="824"/>
      <c r="AE95" s="942">
        <v>0.5166666666666667</v>
      </c>
      <c r="AF95" s="824"/>
      <c r="AG95" s="942">
        <v>0.5166666666666667</v>
      </c>
      <c r="AH95" s="824"/>
      <c r="AI95" s="942">
        <v>0.5166666666666667</v>
      </c>
      <c r="AJ95" s="824"/>
      <c r="AK95" s="942">
        <v>0.5166666666666667</v>
      </c>
      <c r="AL95" s="824"/>
      <c r="AM95" s="942">
        <v>0.5166666666666667</v>
      </c>
      <c r="AN95" s="825"/>
      <c r="AO95" s="942">
        <v>0.5166666666666667</v>
      </c>
      <c r="AP95" s="459"/>
      <c r="AQ95" s="226">
        <f>AQ93/AQ88</f>
        <v>0.5</v>
      </c>
      <c r="AR95" s="464"/>
      <c r="AS95" s="279"/>
      <c r="AT95" s="462"/>
      <c r="AU95" s="942">
        <v>0.5166666666666667</v>
      </c>
      <c r="AV95" s="463"/>
      <c r="AW95" s="942">
        <v>0.5166666666666667</v>
      </c>
      <c r="AX95" s="463"/>
      <c r="AY95" s="942">
        <v>0.5166666666666667</v>
      </c>
      <c r="AZ95" s="776"/>
      <c r="BA95" s="942">
        <v>0.5166666666666667</v>
      </c>
      <c r="BB95" s="776"/>
      <c r="BC95" s="942">
        <v>0.5166666666666667</v>
      </c>
      <c r="BD95" s="776"/>
      <c r="BE95" s="942">
        <v>0.5166666666666667</v>
      </c>
      <c r="BF95" s="776"/>
      <c r="BG95" s="942">
        <v>0.5166666666666667</v>
      </c>
      <c r="BH95" s="463"/>
      <c r="BI95" s="949">
        <v>0.5</v>
      </c>
      <c r="BJ95" s="448">
        <v>0.0</v>
      </c>
      <c r="BK95" s="279">
        <f t="shared" si="201"/>
        <v>0</v>
      </c>
      <c r="BL95" s="462" t="str">
        <f>IFERROR(__xludf.DUMMYFUNCTION("IFERROR(SPARKLINE(BK95,{""charttype"",""bar"";""color1"",IF(BK95&gt;='Апрель'!green_percent,'Апрель'!green,IF(BK95&gt;='Апрель'!yellow_percent,'Апрель'!yellow,IF(BK95&gt;='Апрель'!orange_percent,'Апрель'!orange,'Апрель'!red)));""max"",1}))"),"")</f>
        <v/>
      </c>
      <c r="BM95" s="942">
        <v>0.5166666666666667</v>
      </c>
      <c r="BN95" s="466"/>
      <c r="BO95" s="942">
        <v>0.5166666666666667</v>
      </c>
      <c r="BP95" s="465"/>
      <c r="BQ95" s="942">
        <v>0.5166666666666667</v>
      </c>
      <c r="BR95" s="465"/>
      <c r="BS95" s="942">
        <v>0.5166666666666667</v>
      </c>
      <c r="BT95" s="465"/>
      <c r="BU95" s="942">
        <v>0.5166666666666667</v>
      </c>
      <c r="BV95" s="465"/>
      <c r="BW95" s="942">
        <v>0.5166666666666667</v>
      </c>
      <c r="BX95" s="465"/>
      <c r="BY95" s="942">
        <v>0.5166666666666667</v>
      </c>
      <c r="BZ95" s="465"/>
      <c r="CA95" s="949">
        <v>0.5</v>
      </c>
      <c r="CB95" s="448">
        <v>0.0</v>
      </c>
      <c r="CC95" s="279">
        <f t="shared" si="202"/>
        <v>0</v>
      </c>
      <c r="CD95" s="462" t="str">
        <f>IFERROR(__xludf.DUMMYFUNCTION("IFERROR(SPARKLINE(CC95,{""charttype"",""bar"";""color1"",IF(CC95&gt;='Апрель'!green_percent,'Апрель'!green,IF(CC95&gt;='Апрель'!yellow_percent,'Апрель'!yellow,IF(CC95&gt;='Апрель'!orange_percent,'Апрель'!orange,'Апрель'!red)));""max"",1}))"),"")</f>
        <v/>
      </c>
      <c r="CE95" s="942">
        <v>0.5166666666666667</v>
      </c>
      <c r="CF95" s="466"/>
      <c r="CG95" s="942">
        <v>0.5166666666666667</v>
      </c>
      <c r="CH95" s="466"/>
      <c r="CI95" s="942">
        <v>0.5166666666666667</v>
      </c>
      <c r="CJ95" s="466"/>
      <c r="CK95" s="942">
        <v>0.5166666666666667</v>
      </c>
      <c r="CL95" s="466"/>
      <c r="CM95" s="256"/>
      <c r="CN95" s="466"/>
      <c r="CO95" s="256"/>
      <c r="CP95" s="466"/>
      <c r="CQ95" s="924"/>
      <c r="CR95" s="726"/>
      <c r="CS95" s="949">
        <v>0.5</v>
      </c>
      <c r="CT95" s="448">
        <v>0.0</v>
      </c>
      <c r="CU95" s="279">
        <f t="shared" si="203"/>
        <v>0</v>
      </c>
      <c r="CV95" s="462" t="str">
        <f>IFERROR(__xludf.DUMMYFUNCTION("IFERROR(SPARKLINE(CU95,{""charttype"",""bar"";""color1"",IF(CU95&gt;='Апрель'!green_percent,'Апрель'!green,IF(CU95&gt;='Апрель'!yellow_percent,'Апрель'!yellow,IF(CU95&gt;='Апрель'!orange_percent,'Апрель'!orange,'Апрель'!red)));""max"",1}))"),"")</f>
        <v/>
      </c>
      <c r="CW95" s="924"/>
      <c r="CX95" s="448"/>
      <c r="CY95" s="842"/>
      <c r="CZ95" s="843"/>
      <c r="DA95" s="843"/>
      <c r="DB95" s="843"/>
      <c r="DC95" s="843"/>
      <c r="DD95" s="843"/>
      <c r="DE95" s="843"/>
      <c r="DF95" s="843"/>
      <c r="DG95" s="843"/>
      <c r="DH95" s="843"/>
      <c r="DI95" s="843"/>
      <c r="DJ95" s="843"/>
      <c r="DK95" s="289"/>
      <c r="DL95" s="844"/>
      <c r="DM95" s="310"/>
      <c r="DN95" s="339"/>
      <c r="DO95" s="843"/>
      <c r="DP95" s="933"/>
    </row>
    <row r="96">
      <c r="A96" s="912"/>
      <c r="B96" s="1031" t="s">
        <v>27</v>
      </c>
      <c r="C96" s="242"/>
      <c r="D96" s="242"/>
      <c r="E96" s="243"/>
      <c r="F96" s="581">
        <f t="shared" ref="F96:G96" si="226">F79/F93</f>
        <v>6500</v>
      </c>
      <c r="G96" s="581">
        <f t="shared" si="226"/>
        <v>5000</v>
      </c>
      <c r="H96" s="704">
        <f t="shared" si="199"/>
        <v>0.7692307692</v>
      </c>
      <c r="I96" s="427" t="str">
        <f>IFERROR(__xludf.DUMMYFUNCTION("IFERROR(SPARKLINE(H96,{""charttype"",""bar"";""color1"",IF(H96&gt;='Апрель'!green_percent,'Апрель'!green,IF(H96&gt;='Апрель'!yellow_percent,'Апрель'!yellow,IF(H96&gt;='Апрель'!orange_percent,'Апрель'!orange,'Апрель'!red)));""max"",1}))"),"")</f>
        <v/>
      </c>
      <c r="K96" s="497"/>
      <c r="L96" s="955"/>
      <c r="M96" s="1018"/>
      <c r="N96" s="820"/>
      <c r="O96" s="1021">
        <f>O79/O93</f>
        <v>6500</v>
      </c>
      <c r="P96" s="931"/>
      <c r="Q96" s="1022">
        <f>Q79/Q93</f>
        <v>6500</v>
      </c>
      <c r="R96" s="776"/>
      <c r="S96" s="581">
        <f>S79/S93</f>
        <v>6500</v>
      </c>
      <c r="T96" s="786"/>
      <c r="U96" s="581">
        <f>U79/U93</f>
        <v>6500</v>
      </c>
      <c r="V96" s="786"/>
      <c r="W96" s="581">
        <f>W79/W93</f>
        <v>6500</v>
      </c>
      <c r="X96" s="822"/>
      <c r="Y96" s="581">
        <f>Y79/Y93</f>
        <v>6500</v>
      </c>
      <c r="Z96" s="592">
        <f>L96+N96+P96+R96+T96+V96+X96</f>
        <v>0</v>
      </c>
      <c r="AA96" s="412">
        <f t="shared" si="200"/>
        <v>0</v>
      </c>
      <c r="AB96" s="413" t="str">
        <f>IFERROR(__xludf.DUMMYFUNCTION("IFERROR(SPARKLINE(AA96,{""charttype"",""bar"";""color1"",IF(AA96&gt;='Апрель'!green_percent,'Апрель'!green,IF(AA96&gt;='Апрель'!yellow_percent,'Апрель'!yellow,IF(AA96&gt;='Апрель'!orange_percent,'Апрель'!orange,'Апрель'!red)));""max"",1}))"),"")</f>
        <v/>
      </c>
      <c r="AC96" s="1023">
        <v>6500.0</v>
      </c>
      <c r="AD96" s="824"/>
      <c r="AE96" s="1023">
        <v>6500.0</v>
      </c>
      <c r="AF96" s="824"/>
      <c r="AG96" s="1023">
        <v>6500.0</v>
      </c>
      <c r="AH96" s="824"/>
      <c r="AI96" s="1023">
        <v>6500.0</v>
      </c>
      <c r="AJ96" s="824"/>
      <c r="AK96" s="1023">
        <v>6500.0</v>
      </c>
      <c r="AL96" s="824"/>
      <c r="AM96" s="1023">
        <v>6500.0</v>
      </c>
      <c r="AN96" s="825"/>
      <c r="AO96" s="1023">
        <v>6500.0</v>
      </c>
      <c r="AP96" s="459"/>
      <c r="AQ96" s="581">
        <f>AQ79/AQ93</f>
        <v>9100</v>
      </c>
      <c r="AR96" s="486"/>
      <c r="AS96" s="253"/>
      <c r="AT96" s="427"/>
      <c r="AU96" s="1023">
        <v>6500.0</v>
      </c>
      <c r="AV96" s="822"/>
      <c r="AW96" s="1023">
        <v>6500.0</v>
      </c>
      <c r="AX96" s="822"/>
      <c r="AY96" s="1023">
        <v>6500.0</v>
      </c>
      <c r="AZ96" s="776"/>
      <c r="BA96" s="1023">
        <v>6500.0</v>
      </c>
      <c r="BB96" s="776"/>
      <c r="BC96" s="1023">
        <v>6500.0</v>
      </c>
      <c r="BD96" s="776"/>
      <c r="BE96" s="1023">
        <v>6500.0</v>
      </c>
      <c r="BF96" s="776"/>
      <c r="BG96" s="1023">
        <v>6500.0</v>
      </c>
      <c r="BH96" s="822"/>
      <c r="BI96" s="1021">
        <v>6500.0</v>
      </c>
      <c r="BJ96" s="244">
        <v>0.0</v>
      </c>
      <c r="BK96" s="253">
        <f t="shared" si="201"/>
        <v>0</v>
      </c>
      <c r="BL96" s="427" t="str">
        <f>IFERROR(__xludf.DUMMYFUNCTION("IFERROR(SPARKLINE(BK96,{""charttype"",""bar"";""color1"",IF(BK96&gt;='Апрель'!green_percent,'Апрель'!green,IF(BK96&gt;='Апрель'!yellow_percent,'Апрель'!yellow,IF(BK96&gt;='Апрель'!orange_percent,'Апрель'!orange,'Апрель'!red)));""max"",1}))"),"")</f>
        <v/>
      </c>
      <c r="BM96" s="1023">
        <v>6500.0</v>
      </c>
      <c r="BN96" s="710"/>
      <c r="BO96" s="1023">
        <v>6500.0</v>
      </c>
      <c r="BP96" s="465"/>
      <c r="BQ96" s="1023">
        <v>6500.0</v>
      </c>
      <c r="BR96" s="716"/>
      <c r="BS96" s="1023">
        <v>6500.0</v>
      </c>
      <c r="BT96" s="716"/>
      <c r="BU96" s="1023">
        <v>6500.0</v>
      </c>
      <c r="BV96" s="716"/>
      <c r="BW96" s="1023">
        <v>6500.0</v>
      </c>
      <c r="BX96" s="716"/>
      <c r="BY96" s="1023">
        <v>6500.0</v>
      </c>
      <c r="BZ96" s="716"/>
      <c r="CA96" s="1021">
        <v>6500.0</v>
      </c>
      <c r="CB96" s="244">
        <v>0.0</v>
      </c>
      <c r="CC96" s="253">
        <f t="shared" si="202"/>
        <v>0</v>
      </c>
      <c r="CD96" s="427" t="str">
        <f>IFERROR(__xludf.DUMMYFUNCTION("IFERROR(SPARKLINE(CC96,{""charttype"",""bar"";""color1"",IF(CC96&gt;='Апрель'!green_percent,'Апрель'!green,IF(CC96&gt;='Апрель'!yellow_percent,'Апрель'!yellow,IF(CC96&gt;='Апрель'!orange_percent,'Апрель'!orange,'Апрель'!red)));""max"",1}))"),"")</f>
        <v/>
      </c>
      <c r="CE96" s="1023">
        <v>6500.0</v>
      </c>
      <c r="CF96" s="710"/>
      <c r="CG96" s="1023">
        <v>6500.0</v>
      </c>
      <c r="CH96" s="710"/>
      <c r="CI96" s="1023">
        <v>6500.0</v>
      </c>
      <c r="CJ96" s="710"/>
      <c r="CK96" s="1023">
        <v>6500.0</v>
      </c>
      <c r="CL96" s="710"/>
      <c r="CM96" s="256"/>
      <c r="CN96" s="710"/>
      <c r="CO96" s="256"/>
      <c r="CP96" s="710"/>
      <c r="CQ96" s="924"/>
      <c r="CR96" s="708"/>
      <c r="CS96" s="1021">
        <v>6500.0</v>
      </c>
      <c r="CT96" s="244">
        <v>0.0</v>
      </c>
      <c r="CU96" s="253">
        <f t="shared" si="203"/>
        <v>0</v>
      </c>
      <c r="CV96" s="427" t="str">
        <f>IFERROR(__xludf.DUMMYFUNCTION("IFERROR(SPARKLINE(CU96,{""charttype"",""bar"";""color1"",IF(CU96&gt;='Апрель'!green_percent,'Апрель'!green,IF(CU96&gt;='Апрель'!yellow_percent,'Апрель'!yellow,IF(CU96&gt;='Апрель'!orange_percent,'Апрель'!orange,'Апрель'!red)));""max"",1}))"),"")</f>
        <v/>
      </c>
      <c r="CW96" s="924"/>
      <c r="CX96" s="244"/>
      <c r="CY96" s="956"/>
      <c r="CZ96" s="827"/>
      <c r="DA96" s="827"/>
      <c r="DB96" s="827"/>
      <c r="DC96" s="827"/>
      <c r="DD96" s="827"/>
      <c r="DE96" s="827"/>
      <c r="DF96" s="827"/>
      <c r="DG96" s="827"/>
      <c r="DH96" s="827"/>
      <c r="DI96" s="827"/>
      <c r="DJ96" s="827"/>
      <c r="DK96" s="829"/>
      <c r="DL96" s="830"/>
      <c r="DM96" s="831"/>
      <c r="DN96" s="832"/>
      <c r="DO96" s="827"/>
      <c r="DP96" s="1032"/>
    </row>
    <row r="97">
      <c r="A97" s="927"/>
      <c r="B97" s="934" t="s">
        <v>28</v>
      </c>
      <c r="C97" s="217"/>
      <c r="D97" s="217"/>
      <c r="E97" s="218"/>
      <c r="F97" s="270"/>
      <c r="G97" s="448">
        <f t="shared" ref="G97:G98" si="227">Z97+AR97+BJ97+CB97+CT97</f>
        <v>1</v>
      </c>
      <c r="H97" s="543"/>
      <c r="I97" s="462"/>
      <c r="K97" s="550"/>
      <c r="L97" s="964"/>
      <c r="M97" s="1033"/>
      <c r="N97" s="834"/>
      <c r="O97" s="419"/>
      <c r="P97" s="931"/>
      <c r="Q97" s="1018"/>
      <c r="R97" s="776"/>
      <c r="S97" s="1018"/>
      <c r="T97" s="786"/>
      <c r="U97" s="1018"/>
      <c r="V97" s="786"/>
      <c r="W97" s="837"/>
      <c r="X97" s="463"/>
      <c r="Y97" s="565"/>
      <c r="Z97" s="563"/>
      <c r="AA97" s="220"/>
      <c r="AB97" s="449"/>
      <c r="AC97" s="837"/>
      <c r="AD97" s="824"/>
      <c r="AE97" s="837"/>
      <c r="AF97" s="824"/>
      <c r="AG97" s="837"/>
      <c r="AH97" s="459">
        <v>1.0</v>
      </c>
      <c r="AI97" s="837"/>
      <c r="AJ97" s="824"/>
      <c r="AK97" s="837"/>
      <c r="AL97" s="824"/>
      <c r="AM97" s="837"/>
      <c r="AN97" s="825"/>
      <c r="AO97" s="837"/>
      <c r="AP97" s="459"/>
      <c r="AQ97" s="349"/>
      <c r="AR97" s="464">
        <f t="shared" ref="AR97:AR98" si="228">AD97+AF97+AH97+AJ97+AL97+AN97+AP97</f>
        <v>1</v>
      </c>
      <c r="AS97" s="279"/>
      <c r="AT97" s="462"/>
      <c r="AU97" s="837"/>
      <c r="AV97" s="463"/>
      <c r="AW97" s="837"/>
      <c r="AX97" s="463"/>
      <c r="AY97" s="837"/>
      <c r="AZ97" s="776"/>
      <c r="BA97" s="837"/>
      <c r="BB97" s="776"/>
      <c r="BC97" s="837"/>
      <c r="BD97" s="776"/>
      <c r="BE97" s="837"/>
      <c r="BF97" s="776"/>
      <c r="BG97" s="837"/>
      <c r="BH97" s="463"/>
      <c r="BI97" s="349"/>
      <c r="BJ97" s="464"/>
      <c r="BK97" s="279"/>
      <c r="BL97" s="462"/>
      <c r="BM97" s="837"/>
      <c r="BN97" s="466"/>
      <c r="BO97" s="837"/>
      <c r="BP97" s="465"/>
      <c r="BQ97" s="837"/>
      <c r="BR97" s="465"/>
      <c r="BS97" s="837"/>
      <c r="BT97" s="465"/>
      <c r="BU97" s="837"/>
      <c r="BV97" s="465"/>
      <c r="BW97" s="837"/>
      <c r="BX97" s="465"/>
      <c r="BY97" s="837"/>
      <c r="BZ97" s="465"/>
      <c r="CA97" s="349"/>
      <c r="CB97" s="464"/>
      <c r="CC97" s="279"/>
      <c r="CD97" s="462"/>
      <c r="CE97" s="837"/>
      <c r="CF97" s="466"/>
      <c r="CG97" s="837"/>
      <c r="CH97" s="466"/>
      <c r="CI97" s="837"/>
      <c r="CJ97" s="466"/>
      <c r="CK97" s="837"/>
      <c r="CL97" s="466"/>
      <c r="CM97" s="256"/>
      <c r="CN97" s="466"/>
      <c r="CO97" s="256"/>
      <c r="CP97" s="466"/>
      <c r="CQ97" s="924"/>
      <c r="CR97" s="726"/>
      <c r="CS97" s="349"/>
      <c r="CT97" s="464"/>
      <c r="CU97" s="279"/>
      <c r="CV97" s="462"/>
      <c r="CW97" s="924"/>
      <c r="CX97" s="448"/>
      <c r="CY97" s="842"/>
      <c r="CZ97" s="843"/>
      <c r="DA97" s="843"/>
      <c r="DB97" s="843"/>
      <c r="DC97" s="843"/>
      <c r="DD97" s="843"/>
      <c r="DE97" s="843"/>
      <c r="DF97" s="843"/>
      <c r="DG97" s="843"/>
      <c r="DH97" s="843"/>
      <c r="DI97" s="843"/>
      <c r="DJ97" s="843"/>
      <c r="DK97" s="289"/>
      <c r="DL97" s="844"/>
      <c r="DM97" s="310"/>
      <c r="DN97" s="339"/>
      <c r="DO97" s="843"/>
      <c r="DP97" s="933"/>
    </row>
    <row r="98">
      <c r="A98" s="1034"/>
      <c r="B98" s="1035" t="s">
        <v>41</v>
      </c>
      <c r="C98" s="352"/>
      <c r="D98" s="352"/>
      <c r="E98" s="353"/>
      <c r="F98" s="1036"/>
      <c r="G98" s="1036">
        <f t="shared" si="227"/>
        <v>1100000</v>
      </c>
      <c r="H98" s="1037"/>
      <c r="I98" s="863"/>
      <c r="J98" s="1038"/>
      <c r="K98" s="1039"/>
      <c r="L98" s="964"/>
      <c r="M98" s="1033"/>
      <c r="N98" s="834"/>
      <c r="O98" s="1040"/>
      <c r="P98" s="972"/>
      <c r="Q98" s="1041"/>
      <c r="R98" s="865"/>
      <c r="S98" s="1041"/>
      <c r="T98" s="1042"/>
      <c r="U98" s="1041"/>
      <c r="V98" s="1042"/>
      <c r="W98" s="1043"/>
      <c r="X98" s="864"/>
      <c r="Y98" s="1044"/>
      <c r="Z98" s="1045"/>
      <c r="AA98" s="1046"/>
      <c r="AB98" s="1047"/>
      <c r="AC98" s="857"/>
      <c r="AD98" s="858"/>
      <c r="AE98" s="857"/>
      <c r="AF98" s="858"/>
      <c r="AG98" s="857"/>
      <c r="AH98" s="1048">
        <v>1100000.0</v>
      </c>
      <c r="AI98" s="857"/>
      <c r="AJ98" s="858"/>
      <c r="AK98" s="857"/>
      <c r="AL98" s="858"/>
      <c r="AM98" s="857"/>
      <c r="AN98" s="859"/>
      <c r="AO98" s="857"/>
      <c r="AP98" s="860"/>
      <c r="AQ98" s="1049"/>
      <c r="AR98" s="1050">
        <f t="shared" si="228"/>
        <v>1100000</v>
      </c>
      <c r="AS98" s="1051"/>
      <c r="AT98" s="1052"/>
      <c r="AU98" s="1053"/>
      <c r="AV98" s="853"/>
      <c r="AW98" s="1053"/>
      <c r="AX98" s="853"/>
      <c r="AY98" s="1053"/>
      <c r="AZ98" s="849"/>
      <c r="BA98" s="1053"/>
      <c r="BB98" s="849"/>
      <c r="BC98" s="857"/>
      <c r="BD98" s="865"/>
      <c r="BE98" s="857"/>
      <c r="BF98" s="865"/>
      <c r="BG98" s="857"/>
      <c r="BH98" s="864"/>
      <c r="BI98" s="1049"/>
      <c r="BJ98" s="855"/>
      <c r="BK98" s="1051"/>
      <c r="BL98" s="1052"/>
      <c r="BM98" s="857"/>
      <c r="BN98" s="866"/>
      <c r="BO98" s="857"/>
      <c r="BP98" s="867"/>
      <c r="BQ98" s="857"/>
      <c r="BR98" s="868"/>
      <c r="BS98" s="857"/>
      <c r="BT98" s="868"/>
      <c r="BU98" s="857"/>
      <c r="BV98" s="868"/>
      <c r="BW98" s="857"/>
      <c r="BX98" s="868"/>
      <c r="BY98" s="857"/>
      <c r="BZ98" s="868"/>
      <c r="CA98" s="1049"/>
      <c r="CB98" s="855"/>
      <c r="CC98" s="1054"/>
      <c r="CD98" s="1055"/>
      <c r="CE98" s="857"/>
      <c r="CF98" s="866"/>
      <c r="CG98" s="857"/>
      <c r="CH98" s="866"/>
      <c r="CI98" s="857"/>
      <c r="CJ98" s="866"/>
      <c r="CK98" s="857"/>
      <c r="CL98" s="866"/>
      <c r="CM98" s="367"/>
      <c r="CN98" s="866"/>
      <c r="CO98" s="367"/>
      <c r="CP98" s="866"/>
      <c r="CQ98" s="924"/>
      <c r="CR98" s="708"/>
      <c r="CS98" s="1049"/>
      <c r="CT98" s="855"/>
      <c r="CU98" s="1054"/>
      <c r="CV98" s="1055"/>
      <c r="CW98" s="924"/>
      <c r="CX98" s="244"/>
      <c r="CY98" s="842"/>
      <c r="CZ98" s="875"/>
      <c r="DA98" s="875"/>
      <c r="DB98" s="875"/>
      <c r="DC98" s="875"/>
      <c r="DD98" s="875"/>
      <c r="DE98" s="875"/>
      <c r="DF98" s="875"/>
      <c r="DG98" s="875"/>
      <c r="DH98" s="875"/>
      <c r="DI98" s="875"/>
      <c r="DJ98" s="875"/>
      <c r="DK98" s="326"/>
      <c r="DL98" s="876"/>
      <c r="DM98" s="327"/>
      <c r="DN98" s="329"/>
      <c r="DO98" s="875"/>
      <c r="DP98" s="926"/>
    </row>
    <row r="99">
      <c r="A99" s="1056" t="s">
        <v>62</v>
      </c>
      <c r="B99" s="1057" t="s">
        <v>20</v>
      </c>
      <c r="C99" s="374"/>
      <c r="D99" s="374"/>
      <c r="E99" s="347"/>
      <c r="F99" s="375" t="str">
        <f t="shared" ref="F99:G99" si="229">F100/F113</f>
        <v>#DIV/0!</v>
      </c>
      <c r="G99" s="375" t="str">
        <f t="shared" si="229"/>
        <v>#DIV/0!</v>
      </c>
      <c r="H99" s="1058"/>
      <c r="I99" s="1059"/>
      <c r="J99" s="1060"/>
      <c r="K99" s="885"/>
      <c r="L99" s="886"/>
      <c r="M99" s="887"/>
      <c r="N99" s="890"/>
      <c r="O99" s="296"/>
      <c r="P99" s="1061"/>
      <c r="Q99" s="1062"/>
      <c r="R99" s="901"/>
      <c r="S99" s="1062"/>
      <c r="T99" s="901"/>
      <c r="U99" s="1062"/>
      <c r="V99" s="1063"/>
      <c r="W99" s="1064"/>
      <c r="X99" s="1065"/>
      <c r="Y99" s="1066" t="str">
        <f t="shared" ref="Y99:Z99" si="230">Y100/Y115</f>
        <v>#DIV/0!</v>
      </c>
      <c r="Z99" s="375" t="str">
        <f t="shared" si="230"/>
        <v>#DIV/0!</v>
      </c>
      <c r="AA99" s="376" t="str">
        <f t="shared" ref="AA99:AA115" si="231">IFERROR(Z99/Y99,"")</f>
        <v/>
      </c>
      <c r="AB99" s="377" t="str">
        <f>IFERROR(__xludf.DUMMYFUNCTION("IFERROR(SPARKLINE(AA99,{""charttype"",""bar"";""color1"",IF(AA99&gt;='Апрель'!green_percent,'Апрель'!green,IF(AA99&gt;='Апрель'!yellow_percent,'Апрель'!yellow,IF(AA99&gt;='Апрель'!orange_percent,'Апрель'!orange,'Апрель'!red)));""max"",1}))"),"")</f>
        <v/>
      </c>
      <c r="AC99" s="261"/>
      <c r="AD99" s="1067"/>
      <c r="AE99" s="261"/>
      <c r="AF99" s="1067"/>
      <c r="AG99" s="261"/>
      <c r="AH99" s="1067"/>
      <c r="AI99" s="261"/>
      <c r="AJ99" s="1067"/>
      <c r="AK99" s="261"/>
      <c r="AL99" s="1067"/>
      <c r="AM99" s="261"/>
      <c r="AN99" s="1068"/>
      <c r="AO99" s="261"/>
      <c r="AP99" s="1069"/>
      <c r="AQ99" s="1070" t="e">
        <v>#DIV/0!</v>
      </c>
      <c r="AR99" s="1071"/>
      <c r="AS99" s="1072"/>
      <c r="AT99" s="1073"/>
      <c r="AU99" s="1011"/>
      <c r="AV99" s="1074"/>
      <c r="AW99" s="1011"/>
      <c r="AX99" s="1074"/>
      <c r="AY99" s="1011"/>
      <c r="AZ99" s="888"/>
      <c r="BA99" s="1011"/>
      <c r="BB99" s="890"/>
      <c r="BC99" s="1011"/>
      <c r="BD99" s="890"/>
      <c r="BE99" s="1011"/>
      <c r="BF99" s="890"/>
      <c r="BG99" s="1011"/>
      <c r="BH99" s="888"/>
      <c r="BI99" s="1075"/>
      <c r="BJ99" s="1071"/>
      <c r="BK99" s="1072"/>
      <c r="BL99" s="1076"/>
      <c r="BM99" s="1077"/>
      <c r="BN99" s="890"/>
      <c r="BO99" s="1011"/>
      <c r="BP99" s="890"/>
      <c r="BQ99" s="1011"/>
      <c r="BR99" s="890"/>
      <c r="BS99" s="1011"/>
      <c r="BT99" s="890"/>
      <c r="BU99" s="1011"/>
      <c r="BV99" s="890"/>
      <c r="BW99" s="1011"/>
      <c r="BX99" s="890"/>
      <c r="BY99" s="1011"/>
      <c r="BZ99" s="888"/>
      <c r="CA99" s="1070" t="e">
        <v>#DIV/0!</v>
      </c>
      <c r="CB99" s="1071"/>
      <c r="CC99" s="1072" t="str">
        <f t="shared" ref="CC99:CC108" si="232">IFERROR(CB99/CA99,"")</f>
        <v/>
      </c>
      <c r="CD99" s="1076" t="str">
        <f>IFERROR(__xludf.DUMMYFUNCTION("IFERROR(SPARKLINE(CC99,{""charttype"",""bar"";""color1"",IF(CC99&gt;='Апрель'!green_percent,'Апрель'!green,IF(CC99&gt;='Апрель'!yellow_percent,'Апрель'!yellow,IF(CC99&gt;='Апрель'!orange_percent,'Апрель'!orange,'Апрель'!red)));""max"",1}))"),"")</f>
        <v/>
      </c>
      <c r="CE99" s="1077"/>
      <c r="CF99" s="890"/>
      <c r="CG99" s="1011"/>
      <c r="CH99" s="890"/>
      <c r="CI99" s="1011"/>
      <c r="CJ99" s="890"/>
      <c r="CK99" s="1011"/>
      <c r="CL99" s="890"/>
      <c r="CM99" s="261"/>
      <c r="CN99" s="843"/>
      <c r="CO99" s="261"/>
      <c r="CP99" s="843"/>
      <c r="CQ99" s="261"/>
      <c r="CR99" s="843"/>
      <c r="CS99" s="1070" t="e">
        <v>#DIV/0!</v>
      </c>
      <c r="CT99" s="1070" t="e">
        <v>#DIV/0!</v>
      </c>
      <c r="CU99" s="1072" t="str">
        <f t="shared" ref="CU99:CU105" si="233">IFERROR(CT99/CS99,"")</f>
        <v/>
      </c>
      <c r="CV99" s="1076" t="str">
        <f>IFERROR(__xludf.DUMMYFUNCTION("IFERROR(SPARKLINE(CU99,{""charttype"",""bar"";""color1"",IF(CU99&gt;='Апрель'!green_percent,'Апрель'!green,IF(CU99&gt;='Апрель'!yellow_percent,'Апрель'!yellow,IF(CU99&gt;='Апрель'!orange_percent,'Апрель'!orange,'Апрель'!red)));""max"",1}))"),"")</f>
        <v/>
      </c>
      <c r="CW99" s="842"/>
      <c r="CX99" s="843"/>
      <c r="CY99" s="905"/>
      <c r="CZ99" s="906"/>
      <c r="DA99" s="906"/>
      <c r="DB99" s="906"/>
      <c r="DC99" s="906"/>
      <c r="DD99" s="906"/>
      <c r="DE99" s="906"/>
      <c r="DF99" s="906"/>
      <c r="DG99" s="906"/>
      <c r="DH99" s="906"/>
      <c r="DI99" s="906"/>
      <c r="DJ99" s="906"/>
      <c r="DK99" s="907"/>
      <c r="DL99" s="908"/>
      <c r="DM99" s="909"/>
      <c r="DN99" s="910"/>
      <c r="DO99" s="906"/>
      <c r="DP99" s="911"/>
    </row>
    <row r="100">
      <c r="A100" s="703"/>
      <c r="B100" s="913" t="s">
        <v>49</v>
      </c>
      <c r="C100" s="242"/>
      <c r="D100" s="242"/>
      <c r="E100" s="243"/>
      <c r="F100" s="581">
        <v>2000.0</v>
      </c>
      <c r="G100" s="581">
        <f>Z100+AR100+CT100</f>
        <v>32000</v>
      </c>
      <c r="H100" s="704">
        <f t="shared" ref="H100:H117" si="234">IFERROR(G100/F100,"")</f>
        <v>16</v>
      </c>
      <c r="I100" s="427" t="str">
        <f>IFERROR(__xludf.DUMMYFUNCTION("IFERROR(SPARKLINE(H100,{""charttype"",""bar"";""color1"",IF(H100&gt;='Апрель'!green_percent,'Апрель'!green,IF(H100&gt;='Апрель'!yellow_percent,'Апрель'!yellow,IF(H100&gt;='Апрель'!orange_percent,'Апрель'!orange,'Апрель'!red)));""max"",1}))"),"")</f>
        <v/>
      </c>
      <c r="J100" s="912"/>
      <c r="K100" s="1020"/>
      <c r="L100" s="930"/>
      <c r="M100" s="929"/>
      <c r="N100" s="776"/>
      <c r="O100" s="1020"/>
      <c r="P100" s="931"/>
      <c r="Q100" s="929"/>
      <c r="R100" s="776"/>
      <c r="S100" s="929"/>
      <c r="T100" s="776"/>
      <c r="U100" s="929"/>
      <c r="V100" s="773"/>
      <c r="W100" s="1064"/>
      <c r="X100" s="1078"/>
      <c r="Y100" s="591">
        <f>K100+M100+O100+Q100+S100+U100+W100</f>
        <v>0</v>
      </c>
      <c r="Z100" s="244">
        <v>0.0</v>
      </c>
      <c r="AA100" s="245" t="str">
        <f t="shared" si="231"/>
        <v/>
      </c>
      <c r="AB100" s="920" t="str">
        <f>IFERROR(__xludf.DUMMYFUNCTION("IFERROR(SPARKLINE(AA100,{""charttype"",""bar"";""color1"",IF(AA100&gt;='Апрель'!green_percent,'Апрель'!green,IF(AA100&gt;='Апрель'!yellow_percent,'Апрель'!yellow,IF(AA100&gt;='Апрель'!orange_percent,'Апрель'!orange,'Апрель'!red)));""max"",1}))"),"")</f>
        <v/>
      </c>
      <c r="AC100" s="1079"/>
      <c r="AD100" s="1067"/>
      <c r="AE100" s="1079"/>
      <c r="AF100" s="1067"/>
      <c r="AG100" s="1079"/>
      <c r="AH100" s="1067"/>
      <c r="AI100" s="1079"/>
      <c r="AJ100" s="1067"/>
      <c r="AK100" s="1079"/>
      <c r="AL100" s="1067"/>
      <c r="AM100" s="1079"/>
      <c r="AN100" s="1068"/>
      <c r="AO100" s="1079"/>
      <c r="AP100" s="1069"/>
      <c r="AQ100" s="585">
        <v>2000.0</v>
      </c>
      <c r="AR100" s="411">
        <v>2000.0</v>
      </c>
      <c r="AS100" s="253"/>
      <c r="AT100" s="1080"/>
      <c r="AU100" s="711"/>
      <c r="AV100" s="1078"/>
      <c r="AW100" s="711"/>
      <c r="AX100" s="1078"/>
      <c r="AY100" s="711"/>
      <c r="AZ100" s="773"/>
      <c r="BA100" s="711"/>
      <c r="BB100" s="776"/>
      <c r="BC100" s="711"/>
      <c r="BD100" s="776"/>
      <c r="BE100" s="711"/>
      <c r="BF100" s="776"/>
      <c r="BG100" s="711"/>
      <c r="BH100" s="773"/>
      <c r="BI100" s="255"/>
      <c r="BJ100" s="244">
        <v>0.0</v>
      </c>
      <c r="BK100" s="253"/>
      <c r="BL100" s="427"/>
      <c r="BM100" s="1081"/>
      <c r="BN100" s="776"/>
      <c r="BO100" s="711"/>
      <c r="BP100" s="776"/>
      <c r="BQ100" s="711"/>
      <c r="BR100" s="776"/>
      <c r="BS100" s="711"/>
      <c r="BT100" s="776"/>
      <c r="BU100" s="711"/>
      <c r="BV100" s="776"/>
      <c r="BW100" s="711"/>
      <c r="BX100" s="776"/>
      <c r="BY100" s="711"/>
      <c r="BZ100" s="773"/>
      <c r="CA100" s="585">
        <v>2000.0</v>
      </c>
      <c r="CB100" s="244">
        <v>0.0</v>
      </c>
      <c r="CC100" s="253">
        <f t="shared" si="232"/>
        <v>0</v>
      </c>
      <c r="CD100" s="427" t="str">
        <f>IFERROR(__xludf.DUMMYFUNCTION("IFERROR(SPARKLINE(CC100,{""charttype"",""bar"";""color1"",IF(CC100&gt;='Апрель'!green_percent,'Апрель'!green,IF(CC100&gt;='Апрель'!yellow_percent,'Апрель'!yellow,IF(CC100&gt;='Апрель'!orange_percent,'Апрель'!orange,'Апрель'!red)));""max"",1}))"),"")</f>
        <v/>
      </c>
      <c r="CE100" s="1081"/>
      <c r="CF100" s="776"/>
      <c r="CG100" s="711"/>
      <c r="CH100" s="776"/>
      <c r="CI100" s="711"/>
      <c r="CJ100" s="776"/>
      <c r="CK100" s="711"/>
      <c r="CL100" s="776"/>
      <c r="CM100" s="261"/>
      <c r="CN100" s="875"/>
      <c r="CO100" s="261"/>
      <c r="CP100" s="875"/>
      <c r="CQ100" s="261"/>
      <c r="CR100" s="875"/>
      <c r="CS100" s="585">
        <v>2000.0</v>
      </c>
      <c r="CT100" s="244">
        <v>30000.0</v>
      </c>
      <c r="CU100" s="253">
        <f t="shared" si="233"/>
        <v>15</v>
      </c>
      <c r="CV100" s="427" t="str">
        <f>IFERROR(__xludf.DUMMYFUNCTION("IFERROR(SPARKLINE(CU100,{""charttype"",""bar"";""color1"",IF(CU100&gt;='Апрель'!green_percent,'Апрель'!green,IF(CU100&gt;='Апрель'!yellow_percent,'Апрель'!yellow,IF(CU100&gt;='Апрель'!orange_percent,'Апрель'!orange,'Апрель'!red)));""max"",1}))"),"")</f>
        <v/>
      </c>
      <c r="CW100" s="842"/>
      <c r="CX100" s="875"/>
      <c r="CY100" s="842"/>
      <c r="CZ100" s="875"/>
      <c r="DA100" s="875"/>
      <c r="DB100" s="875"/>
      <c r="DC100" s="875"/>
      <c r="DD100" s="875"/>
      <c r="DE100" s="875"/>
      <c r="DF100" s="875"/>
      <c r="DG100" s="875"/>
      <c r="DH100" s="875"/>
      <c r="DI100" s="875"/>
      <c r="DJ100" s="875"/>
      <c r="DK100" s="326"/>
      <c r="DL100" s="876"/>
      <c r="DM100" s="327"/>
      <c r="DN100" s="329"/>
      <c r="DO100" s="875"/>
      <c r="DP100" s="926"/>
    </row>
    <row r="101">
      <c r="A101" s="673"/>
      <c r="B101" s="1082" t="s">
        <v>63</v>
      </c>
      <c r="C101" s="374"/>
      <c r="D101" s="374"/>
      <c r="E101" s="347"/>
      <c r="F101" s="448">
        <v>20000.0</v>
      </c>
      <c r="G101" s="448">
        <f>Z101+AR101+CB101</f>
        <v>140</v>
      </c>
      <c r="H101" s="543">
        <f t="shared" si="234"/>
        <v>0.007</v>
      </c>
      <c r="I101" s="462" t="str">
        <f>IFERROR(__xludf.DUMMYFUNCTION("IFERROR(SPARKLINE(H101,{""charttype"",""bar"";""color1"",IF(H101&gt;='Апрель'!green_percent,'Апрель'!green,IF(H101&gt;='Апрель'!yellow_percent,'Апрель'!yellow,IF(H101&gt;='Апрель'!orange_percent,'Апрель'!orange,'Апрель'!red)));""max"",1}))"),"")</f>
        <v/>
      </c>
      <c r="J101" s="927"/>
      <c r="K101" s="282"/>
      <c r="L101" s="930"/>
      <c r="M101" s="929"/>
      <c r="N101" s="776"/>
      <c r="O101" s="282"/>
      <c r="P101" s="931"/>
      <c r="Q101" s="929"/>
      <c r="R101" s="776"/>
      <c r="S101" s="929"/>
      <c r="T101" s="776"/>
      <c r="U101" s="929"/>
      <c r="V101" s="773"/>
      <c r="W101" s="1064"/>
      <c r="X101" s="1083"/>
      <c r="Y101" s="938">
        <v>3333.0</v>
      </c>
      <c r="Z101" s="448">
        <v>0.0</v>
      </c>
      <c r="AA101" s="220">
        <f t="shared" si="231"/>
        <v>0</v>
      </c>
      <c r="AB101" s="449" t="str">
        <f>IFERROR(__xludf.DUMMYFUNCTION("IFERROR(SPARKLINE(AA101,{""charttype"",""bar"";""color1"",IF(AA101&gt;='Апрель'!green_percent,'Апрель'!green,IF(AA101&gt;='Апрель'!yellow_percent,'Апрель'!yellow,IF(AA101&gt;='Апрель'!orange_percent,'Апрель'!orange,'Апрель'!red)));""max"",1}))"),"")</f>
        <v/>
      </c>
      <c r="AC101" s="261"/>
      <c r="AD101" s="1067"/>
      <c r="AE101" s="261"/>
      <c r="AF101" s="1067"/>
      <c r="AG101" s="261"/>
      <c r="AH101" s="1067"/>
      <c r="AI101" s="261"/>
      <c r="AJ101" s="1067"/>
      <c r="AK101" s="261"/>
      <c r="AL101" s="1067"/>
      <c r="AM101" s="261"/>
      <c r="AN101" s="1068"/>
      <c r="AO101" s="261"/>
      <c r="AP101" s="1069"/>
      <c r="AQ101" s="938">
        <v>3333.0</v>
      </c>
      <c r="AR101" s="448">
        <v>60.0</v>
      </c>
      <c r="AS101" s="279"/>
      <c r="AT101" s="1084"/>
      <c r="AU101" s="256"/>
      <c r="AV101" s="1083"/>
      <c r="AW101" s="256"/>
      <c r="AX101" s="1083"/>
      <c r="AY101" s="256"/>
      <c r="AZ101" s="773"/>
      <c r="BA101" s="256"/>
      <c r="BB101" s="776"/>
      <c r="BC101" s="256"/>
      <c r="BD101" s="776"/>
      <c r="BE101" s="256"/>
      <c r="BF101" s="776"/>
      <c r="BG101" s="256"/>
      <c r="BH101" s="773"/>
      <c r="BI101" s="349"/>
      <c r="BJ101" s="448">
        <v>0.0</v>
      </c>
      <c r="BK101" s="279"/>
      <c r="BL101" s="462"/>
      <c r="BM101" s="924"/>
      <c r="BN101" s="776"/>
      <c r="BO101" s="256"/>
      <c r="BP101" s="776"/>
      <c r="BQ101" s="256"/>
      <c r="BR101" s="776"/>
      <c r="BS101" s="256"/>
      <c r="BT101" s="776"/>
      <c r="BU101" s="256"/>
      <c r="BV101" s="776"/>
      <c r="BW101" s="256"/>
      <c r="BX101" s="776"/>
      <c r="BY101" s="256"/>
      <c r="BZ101" s="773"/>
      <c r="CA101" s="938">
        <v>3333.0</v>
      </c>
      <c r="CB101" s="448">
        <v>80.0</v>
      </c>
      <c r="CC101" s="279">
        <f t="shared" si="232"/>
        <v>0.02400240024</v>
      </c>
      <c r="CD101" s="462" t="str">
        <f>IFERROR(__xludf.DUMMYFUNCTION("IFERROR(SPARKLINE(CC101,{""charttype"",""bar"";""color1"",IF(CC101&gt;='Апрель'!green_percent,'Апрель'!green,IF(CC101&gt;='Апрель'!yellow_percent,'Апрель'!yellow,IF(CC101&gt;='Апрель'!orange_percent,'Апрель'!orange,'Апрель'!red)));""max"",1}))"),"")</f>
        <v/>
      </c>
      <c r="CE101" s="924"/>
      <c r="CF101" s="776"/>
      <c r="CG101" s="256"/>
      <c r="CH101" s="776"/>
      <c r="CI101" s="256"/>
      <c r="CJ101" s="776"/>
      <c r="CK101" s="256"/>
      <c r="CL101" s="776"/>
      <c r="CM101" s="261"/>
      <c r="CN101" s="843"/>
      <c r="CO101" s="261"/>
      <c r="CP101" s="843"/>
      <c r="CQ101" s="261"/>
      <c r="CR101" s="843"/>
      <c r="CS101" s="938">
        <v>3333.0</v>
      </c>
      <c r="CT101" s="448">
        <v>100.0</v>
      </c>
      <c r="CU101" s="279">
        <f t="shared" si="233"/>
        <v>0.0300030003</v>
      </c>
      <c r="CV101" s="462" t="str">
        <f>IFERROR(__xludf.DUMMYFUNCTION("IFERROR(SPARKLINE(CU101,{""charttype"",""bar"";""color1"",IF(CU101&gt;='Апрель'!green_percent,'Апрель'!green,IF(CU101&gt;='Апрель'!yellow_percent,'Апрель'!yellow,IF(CU101&gt;='Апрель'!orange_percent,'Апрель'!orange,'Апрель'!red)));""max"",1}))"),"")</f>
        <v/>
      </c>
      <c r="CW101" s="842"/>
      <c r="CX101" s="843"/>
      <c r="CY101" s="842"/>
      <c r="CZ101" s="843"/>
      <c r="DA101" s="843"/>
      <c r="DB101" s="843"/>
      <c r="DC101" s="843"/>
      <c r="DD101" s="843"/>
      <c r="DE101" s="843"/>
      <c r="DF101" s="843"/>
      <c r="DG101" s="843"/>
      <c r="DH101" s="843"/>
      <c r="DI101" s="843"/>
      <c r="DJ101" s="843"/>
      <c r="DK101" s="289"/>
      <c r="DL101" s="844"/>
      <c r="DM101" s="310"/>
      <c r="DN101" s="339"/>
      <c r="DO101" s="843"/>
      <c r="DP101" s="933"/>
    </row>
    <row r="102">
      <c r="A102" s="703"/>
      <c r="B102" s="1085" t="s">
        <v>60</v>
      </c>
      <c r="C102" s="646"/>
      <c r="D102" s="646"/>
      <c r="E102" s="647"/>
      <c r="F102" s="244">
        <v>0.0</v>
      </c>
      <c r="G102" s="244">
        <f>Z102</f>
        <v>0</v>
      </c>
      <c r="H102" s="704" t="str">
        <f t="shared" si="234"/>
        <v/>
      </c>
      <c r="I102" s="427" t="str">
        <f>IFERROR(__xludf.DUMMYFUNCTION("IFERROR(SPARKLINE(H102,{""charttype"",""bar"";""color1"",IF(H102&gt;='Апрель'!green_percent,'Апрель'!green,IF(H102&gt;='Апрель'!yellow_percent,'Апрель'!yellow,IF(H102&gt;='Апрель'!orange_percent,'Апрель'!orange,'Апрель'!red)));""max"",1}))"),"")</f>
        <v/>
      </c>
      <c r="J102" s="912"/>
      <c r="K102" s="1020"/>
      <c r="L102" s="930"/>
      <c r="M102" s="929"/>
      <c r="N102" s="776"/>
      <c r="O102" s="1020"/>
      <c r="P102" s="931"/>
      <c r="Q102" s="929"/>
      <c r="R102" s="776"/>
      <c r="S102" s="929"/>
      <c r="T102" s="776"/>
      <c r="U102" s="929"/>
      <c r="V102" s="773"/>
      <c r="W102" s="1064"/>
      <c r="X102" s="1078"/>
      <c r="Y102" s="255">
        <f>K102+M102+O102+Q102+S102+U102+W102</f>
        <v>0</v>
      </c>
      <c r="Z102" s="244">
        <v>0.0</v>
      </c>
      <c r="AA102" s="412" t="str">
        <f t="shared" si="231"/>
        <v/>
      </c>
      <c r="AB102" s="413" t="str">
        <f>IFERROR(__xludf.DUMMYFUNCTION("IFERROR(SPARKLINE(AA102,{""charttype"",""bar"";""color1"",IF(AA102&gt;='Апрель'!green_percent,'Апрель'!green,IF(AA102&gt;='Апрель'!yellow_percent,'Апрель'!yellow,IF(AA102&gt;='Апрель'!orange_percent,'Апрель'!orange,'Апрель'!red)));""max"",1}))"),"")</f>
        <v/>
      </c>
      <c r="AC102" s="1079"/>
      <c r="AD102" s="1067"/>
      <c r="AE102" s="1079"/>
      <c r="AF102" s="1067"/>
      <c r="AG102" s="1079"/>
      <c r="AH102" s="1067"/>
      <c r="AI102" s="1079"/>
      <c r="AJ102" s="1067"/>
      <c r="AK102" s="1079"/>
      <c r="AL102" s="1067"/>
      <c r="AM102" s="1079"/>
      <c r="AN102" s="1068"/>
      <c r="AO102" s="1079"/>
      <c r="AP102" s="1069"/>
      <c r="AQ102" s="255">
        <v>0.0</v>
      </c>
      <c r="AR102" s="244">
        <v>0.0</v>
      </c>
      <c r="AS102" s="253"/>
      <c r="AT102" s="1080"/>
      <c r="AU102" s="711"/>
      <c r="AV102" s="1078"/>
      <c r="AW102" s="711"/>
      <c r="AX102" s="1078"/>
      <c r="AY102" s="711"/>
      <c r="AZ102" s="773"/>
      <c r="BA102" s="711"/>
      <c r="BB102" s="776"/>
      <c r="BC102" s="711"/>
      <c r="BD102" s="776"/>
      <c r="BE102" s="711"/>
      <c r="BF102" s="776"/>
      <c r="BG102" s="711"/>
      <c r="BH102" s="773"/>
      <c r="BI102" s="255"/>
      <c r="BJ102" s="244">
        <v>0.0</v>
      </c>
      <c r="BK102" s="253"/>
      <c r="BL102" s="427"/>
      <c r="BM102" s="1081"/>
      <c r="BN102" s="776"/>
      <c r="BO102" s="711"/>
      <c r="BP102" s="776"/>
      <c r="BQ102" s="711"/>
      <c r="BR102" s="776"/>
      <c r="BS102" s="711"/>
      <c r="BT102" s="776"/>
      <c r="BU102" s="711"/>
      <c r="BV102" s="776"/>
      <c r="BW102" s="711"/>
      <c r="BX102" s="776"/>
      <c r="BY102" s="711"/>
      <c r="BZ102" s="773"/>
      <c r="CA102" s="255">
        <v>0.0</v>
      </c>
      <c r="CB102" s="244">
        <v>0.0</v>
      </c>
      <c r="CC102" s="253" t="str">
        <f t="shared" si="232"/>
        <v/>
      </c>
      <c r="CD102" s="427" t="str">
        <f>IFERROR(__xludf.DUMMYFUNCTION("IFERROR(SPARKLINE(CC102,{""charttype"",""bar"";""color1"",IF(CC102&gt;='Апрель'!green_percent,'Апрель'!green,IF(CC102&gt;='Апрель'!yellow_percent,'Апрель'!yellow,IF(CC102&gt;='Апрель'!orange_percent,'Апрель'!orange,'Апрель'!red)));""max"",1}))"),"")</f>
        <v/>
      </c>
      <c r="CE102" s="1081"/>
      <c r="CF102" s="776"/>
      <c r="CG102" s="711"/>
      <c r="CH102" s="776"/>
      <c r="CI102" s="711"/>
      <c r="CJ102" s="776"/>
      <c r="CK102" s="711"/>
      <c r="CL102" s="776"/>
      <c r="CM102" s="261"/>
      <c r="CN102" s="875"/>
      <c r="CO102" s="261"/>
      <c r="CP102" s="875"/>
      <c r="CQ102" s="261"/>
      <c r="CR102" s="875"/>
      <c r="CS102" s="255">
        <v>0.0</v>
      </c>
      <c r="CT102" s="244">
        <v>0.0</v>
      </c>
      <c r="CU102" s="253" t="str">
        <f t="shared" si="233"/>
        <v/>
      </c>
      <c r="CV102" s="427" t="str">
        <f>IFERROR(__xludf.DUMMYFUNCTION("IFERROR(SPARKLINE(CU102,{""charttype"",""bar"";""color1"",IF(CU102&gt;='Апрель'!green_percent,'Апрель'!green,IF(CU102&gt;='Апрель'!yellow_percent,'Апрель'!yellow,IF(CU102&gt;='Апрель'!orange_percent,'Апрель'!orange,'Апрель'!red)));""max"",1}))"),"")</f>
        <v/>
      </c>
      <c r="CW102" s="842"/>
      <c r="CX102" s="875"/>
      <c r="CY102" s="842"/>
      <c r="CZ102" s="875"/>
      <c r="DA102" s="875"/>
      <c r="DB102" s="875"/>
      <c r="DC102" s="875"/>
      <c r="DD102" s="875"/>
      <c r="DE102" s="875"/>
      <c r="DF102" s="875"/>
      <c r="DG102" s="875"/>
      <c r="DH102" s="875"/>
      <c r="DI102" s="875"/>
      <c r="DJ102" s="875"/>
      <c r="DK102" s="326"/>
      <c r="DL102" s="876"/>
      <c r="DM102" s="327"/>
      <c r="DN102" s="329"/>
      <c r="DO102" s="875"/>
      <c r="DP102" s="926"/>
    </row>
    <row r="103">
      <c r="A103" s="673"/>
      <c r="B103" s="934" t="s">
        <v>52</v>
      </c>
      <c r="C103" s="217"/>
      <c r="D103" s="217"/>
      <c r="E103" s="218"/>
      <c r="F103" s="448">
        <v>30000.0</v>
      </c>
      <c r="G103" s="448">
        <f t="shared" ref="G103:G104" si="235">Z103+AR103+BJ103+CB103+CT103</f>
        <v>112000</v>
      </c>
      <c r="H103" s="543">
        <f t="shared" si="234"/>
        <v>3.733333333</v>
      </c>
      <c r="I103" s="462" t="str">
        <f>IFERROR(__xludf.DUMMYFUNCTION("IFERROR(SPARKLINE(H103,{""charttype"",""bar"";""color1"",IF(H103&gt;='Апрель'!green_percent,'Апрель'!green,IF(H103&gt;='Апрель'!yellow_percent,'Апрель'!yellow,IF(H103&gt;='Апрель'!orange_percent,'Апрель'!orange,'Апрель'!red)));""max"",1}))"),"")</f>
        <v/>
      </c>
      <c r="J103" s="927"/>
      <c r="K103" s="282"/>
      <c r="L103" s="930"/>
      <c r="M103" s="929"/>
      <c r="N103" s="776"/>
      <c r="O103" s="282"/>
      <c r="P103" s="931"/>
      <c r="Q103" s="929"/>
      <c r="R103" s="776"/>
      <c r="S103" s="929"/>
      <c r="T103" s="776"/>
      <c r="U103" s="929"/>
      <c r="V103" s="773"/>
      <c r="W103" s="1064"/>
      <c r="X103" s="1083"/>
      <c r="Y103" s="938">
        <v>5000.0</v>
      </c>
      <c r="Z103" s="448">
        <v>0.0</v>
      </c>
      <c r="AA103" s="220">
        <f t="shared" si="231"/>
        <v>0</v>
      </c>
      <c r="AB103" s="449" t="str">
        <f>IFERROR(__xludf.DUMMYFUNCTION("IFERROR(SPARKLINE(AA103,{""charttype"",""bar"";""color1"",IF(AA103&gt;='Апрель'!green_percent,'Апрель'!green,IF(AA103&gt;='Апрель'!yellow_percent,'Апрель'!yellow,IF(AA103&gt;='Апрель'!orange_percent,'Апрель'!orange,'Апрель'!red)));""max"",1}))"),"")</f>
        <v/>
      </c>
      <c r="AC103" s="261"/>
      <c r="AD103" s="1067"/>
      <c r="AE103" s="261"/>
      <c r="AF103" s="1067"/>
      <c r="AG103" s="261"/>
      <c r="AH103" s="1067"/>
      <c r="AI103" s="261"/>
      <c r="AJ103" s="1067"/>
      <c r="AK103" s="261"/>
      <c r="AL103" s="1067"/>
      <c r="AM103" s="261"/>
      <c r="AN103" s="1068"/>
      <c r="AO103" s="261"/>
      <c r="AP103" s="1069"/>
      <c r="AQ103" s="938">
        <v>5000.0</v>
      </c>
      <c r="AR103" s="448">
        <v>30000.0</v>
      </c>
      <c r="AS103" s="279"/>
      <c r="AT103" s="1084"/>
      <c r="AU103" s="256"/>
      <c r="AV103" s="1083"/>
      <c r="AW103" s="256"/>
      <c r="AX103" s="1083"/>
      <c r="AY103" s="256"/>
      <c r="AZ103" s="773"/>
      <c r="BA103" s="256"/>
      <c r="BB103" s="776"/>
      <c r="BC103" s="256"/>
      <c r="BD103" s="776"/>
      <c r="BE103" s="256"/>
      <c r="BF103" s="776"/>
      <c r="BG103" s="256"/>
      <c r="BH103" s="773"/>
      <c r="BI103" s="349"/>
      <c r="BJ103" s="448">
        <v>0.0</v>
      </c>
      <c r="BK103" s="279"/>
      <c r="BL103" s="462"/>
      <c r="BM103" s="924"/>
      <c r="BN103" s="776"/>
      <c r="BO103" s="256"/>
      <c r="BP103" s="776"/>
      <c r="BQ103" s="256"/>
      <c r="BR103" s="776"/>
      <c r="BS103" s="256"/>
      <c r="BT103" s="776"/>
      <c r="BU103" s="256"/>
      <c r="BV103" s="776"/>
      <c r="BW103" s="256"/>
      <c r="BX103" s="776"/>
      <c r="BY103" s="256"/>
      <c r="BZ103" s="773"/>
      <c r="CA103" s="938">
        <v>5000.0</v>
      </c>
      <c r="CB103" s="448">
        <v>0.0</v>
      </c>
      <c r="CC103" s="279">
        <f t="shared" si="232"/>
        <v>0</v>
      </c>
      <c r="CD103" s="462" t="str">
        <f>IFERROR(__xludf.DUMMYFUNCTION("IFERROR(SPARKLINE(CC103,{""charttype"",""bar"";""color1"",IF(CC103&gt;='Апрель'!green_percent,'Апрель'!green,IF(CC103&gt;='Апрель'!yellow_percent,'Апрель'!yellow,IF(CC103&gt;='Апрель'!orange_percent,'Апрель'!orange,'Апрель'!red)));""max"",1}))"),"")</f>
        <v/>
      </c>
      <c r="CE103" s="924"/>
      <c r="CF103" s="776"/>
      <c r="CG103" s="256"/>
      <c r="CH103" s="776"/>
      <c r="CI103" s="256"/>
      <c r="CJ103" s="776"/>
      <c r="CK103" s="256"/>
      <c r="CL103" s="776"/>
      <c r="CM103" s="261"/>
      <c r="CN103" s="843"/>
      <c r="CO103" s="261"/>
      <c r="CP103" s="843"/>
      <c r="CQ103" s="261"/>
      <c r="CR103" s="843"/>
      <c r="CS103" s="938">
        <v>5000.0</v>
      </c>
      <c r="CT103" s="448">
        <v>82000.0</v>
      </c>
      <c r="CU103" s="279">
        <f t="shared" si="233"/>
        <v>16.4</v>
      </c>
      <c r="CV103" s="462" t="str">
        <f>IFERROR(__xludf.DUMMYFUNCTION("IFERROR(SPARKLINE(CU103,{""charttype"",""bar"";""color1"",IF(CU103&gt;='Апрель'!green_percent,'Апрель'!green,IF(CU103&gt;='Апрель'!yellow_percent,'Апрель'!yellow,IF(CU103&gt;='Апрель'!orange_percent,'Апрель'!orange,'Апрель'!red)));""max"",1}))"),"")</f>
        <v/>
      </c>
      <c r="CW103" s="842"/>
      <c r="CX103" s="843"/>
      <c r="CY103" s="842"/>
      <c r="CZ103" s="843"/>
      <c r="DA103" s="843"/>
      <c r="DB103" s="843"/>
      <c r="DC103" s="843"/>
      <c r="DD103" s="843"/>
      <c r="DE103" s="843"/>
      <c r="DF103" s="843"/>
      <c r="DG103" s="843"/>
      <c r="DH103" s="843"/>
      <c r="DI103" s="843"/>
      <c r="DJ103" s="843"/>
      <c r="DK103" s="289"/>
      <c r="DL103" s="844"/>
      <c r="DM103" s="310"/>
      <c r="DN103" s="339"/>
      <c r="DO103" s="843"/>
      <c r="DP103" s="933"/>
    </row>
    <row r="104">
      <c r="A104" s="703"/>
      <c r="B104" s="913" t="s">
        <v>64</v>
      </c>
      <c r="C104" s="242"/>
      <c r="D104" s="242"/>
      <c r="E104" s="243"/>
      <c r="F104" s="244">
        <v>40.0</v>
      </c>
      <c r="G104" s="244">
        <f t="shared" si="235"/>
        <v>73</v>
      </c>
      <c r="H104" s="704">
        <f t="shared" si="234"/>
        <v>1.825</v>
      </c>
      <c r="I104" s="427" t="str">
        <f>IFERROR(__xludf.DUMMYFUNCTION("IFERROR(SPARKLINE(H104,{""charttype"",""bar"";""color1"",IF(H104&gt;='Апрель'!green_percent,'Апрель'!green,IF(H104&gt;='Апрель'!yellow_percent,'Апрель'!yellow,IF(H104&gt;='Апрель'!orange_percent,'Апрель'!orange,'Апрель'!red)));""max"",1}))"),"")</f>
        <v/>
      </c>
      <c r="J104" s="912"/>
      <c r="K104" s="1020"/>
      <c r="L104" s="930"/>
      <c r="M104" s="929"/>
      <c r="N104" s="776"/>
      <c r="O104" s="1020"/>
      <c r="P104" s="931"/>
      <c r="Q104" s="929"/>
      <c r="R104" s="776"/>
      <c r="S104" s="929"/>
      <c r="T104" s="776"/>
      <c r="U104" s="929"/>
      <c r="V104" s="773"/>
      <c r="W104" s="1064"/>
      <c r="X104" s="1078"/>
      <c r="Y104" s="1086">
        <v>5.0</v>
      </c>
      <c r="Z104" s="244">
        <v>14.0</v>
      </c>
      <c r="AA104" s="412">
        <f t="shared" si="231"/>
        <v>2.8</v>
      </c>
      <c r="AB104" s="413" t="str">
        <f>IFERROR(__xludf.DUMMYFUNCTION("IFERROR(SPARKLINE(AA104,{""charttype"",""bar"";""color1"",IF(AA104&gt;='Апрель'!green_percent,'Апрель'!green,IF(AA104&gt;='Апрель'!yellow_percent,'Апрель'!yellow,IF(AA104&gt;='Апрель'!orange_percent,'Апрель'!orange,'Апрель'!red)));""max"",1}))"),"")</f>
        <v/>
      </c>
      <c r="AC104" s="1079"/>
      <c r="AD104" s="1067"/>
      <c r="AE104" s="1079"/>
      <c r="AF104" s="1067"/>
      <c r="AG104" s="1079"/>
      <c r="AH104" s="1067"/>
      <c r="AI104" s="1079"/>
      <c r="AJ104" s="1067"/>
      <c r="AK104" s="1079"/>
      <c r="AL104" s="1067"/>
      <c r="AM104" s="1079"/>
      <c r="AN104" s="1068"/>
      <c r="AO104" s="1079"/>
      <c r="AP104" s="1069"/>
      <c r="AQ104" s="1086">
        <v>5.0</v>
      </c>
      <c r="AR104" s="244">
        <v>17.0</v>
      </c>
      <c r="AS104" s="253"/>
      <c r="AT104" s="1080"/>
      <c r="AU104" s="711"/>
      <c r="AV104" s="1078"/>
      <c r="AW104" s="711"/>
      <c r="AX104" s="1078"/>
      <c r="AY104" s="711"/>
      <c r="AZ104" s="773"/>
      <c r="BA104" s="711"/>
      <c r="BB104" s="776"/>
      <c r="BC104" s="711"/>
      <c r="BD104" s="776"/>
      <c r="BE104" s="711"/>
      <c r="BF104" s="776"/>
      <c r="BG104" s="711"/>
      <c r="BH104" s="773"/>
      <c r="BI104" s="255"/>
      <c r="BJ104" s="244">
        <v>11.0</v>
      </c>
      <c r="BK104" s="253"/>
      <c r="BL104" s="427"/>
      <c r="BM104" s="1081"/>
      <c r="BN104" s="776"/>
      <c r="BO104" s="711"/>
      <c r="BP104" s="776"/>
      <c r="BQ104" s="711"/>
      <c r="BR104" s="776"/>
      <c r="BS104" s="711"/>
      <c r="BT104" s="776"/>
      <c r="BU104" s="711"/>
      <c r="BV104" s="776"/>
      <c r="BW104" s="711"/>
      <c r="BX104" s="776"/>
      <c r="BY104" s="711"/>
      <c r="BZ104" s="773"/>
      <c r="CA104" s="1086">
        <v>5.0</v>
      </c>
      <c r="CB104" s="244">
        <v>21.0</v>
      </c>
      <c r="CC104" s="253">
        <f t="shared" si="232"/>
        <v>4.2</v>
      </c>
      <c r="CD104" s="427" t="str">
        <f>IFERROR(__xludf.DUMMYFUNCTION("IFERROR(SPARKLINE(CC104,{""charttype"",""bar"";""color1"",IF(CC104&gt;='Апрель'!green_percent,'Апрель'!green,IF(CC104&gt;='Апрель'!yellow_percent,'Апрель'!yellow,IF(CC104&gt;='Апрель'!orange_percent,'Апрель'!orange,'Апрель'!red)));""max"",1}))"),"")</f>
        <v/>
      </c>
      <c r="CE104" s="1081"/>
      <c r="CF104" s="776"/>
      <c r="CG104" s="711"/>
      <c r="CH104" s="776"/>
      <c r="CI104" s="711"/>
      <c r="CJ104" s="776"/>
      <c r="CK104" s="711"/>
      <c r="CL104" s="776"/>
      <c r="CM104" s="261"/>
      <c r="CN104" s="875"/>
      <c r="CO104" s="261"/>
      <c r="CP104" s="875"/>
      <c r="CQ104" s="261"/>
      <c r="CR104" s="875"/>
      <c r="CS104" s="1086">
        <v>5.0</v>
      </c>
      <c r="CT104" s="244">
        <v>10.0</v>
      </c>
      <c r="CU104" s="253">
        <f t="shared" si="233"/>
        <v>2</v>
      </c>
      <c r="CV104" s="427" t="str">
        <f>IFERROR(__xludf.DUMMYFUNCTION("IFERROR(SPARKLINE(CU104,{""charttype"",""bar"";""color1"",IF(CU104&gt;='Апрель'!green_percent,'Апрель'!green,IF(CU104&gt;='Апрель'!yellow_percent,'Апрель'!yellow,IF(CU104&gt;='Апрель'!orange_percent,'Апрель'!orange,'Апрель'!red)));""max"",1}))"),"")</f>
        <v/>
      </c>
      <c r="CW104" s="842"/>
      <c r="CX104" s="875"/>
      <c r="CY104" s="842"/>
      <c r="CZ104" s="875"/>
      <c r="DA104" s="875"/>
      <c r="DB104" s="875"/>
      <c r="DC104" s="875"/>
      <c r="DD104" s="875"/>
      <c r="DE104" s="875"/>
      <c r="DF104" s="875"/>
      <c r="DG104" s="875"/>
      <c r="DH104" s="875"/>
      <c r="DI104" s="875"/>
      <c r="DJ104" s="875"/>
      <c r="DK104" s="326"/>
      <c r="DL104" s="876"/>
      <c r="DM104" s="327"/>
      <c r="DN104" s="329"/>
      <c r="DO104" s="875"/>
      <c r="DP104" s="926"/>
    </row>
    <row r="105">
      <c r="A105" s="673"/>
      <c r="B105" s="934" t="s">
        <v>54</v>
      </c>
      <c r="C105" s="217"/>
      <c r="D105" s="217"/>
      <c r="E105" s="218"/>
      <c r="F105" s="270">
        <f t="shared" ref="F105:G105" si="236">F100/F104</f>
        <v>50</v>
      </c>
      <c r="G105" s="270">
        <f t="shared" si="236"/>
        <v>438.3561644</v>
      </c>
      <c r="H105" s="543">
        <f t="shared" si="234"/>
        <v>8.767123288</v>
      </c>
      <c r="I105" s="462" t="str">
        <f>IFERROR(__xludf.DUMMYFUNCTION("IFERROR(SPARKLINE(H105,{""charttype"",""bar"";""color1"",IF(H105&gt;='Апрель'!green_percent,'Апрель'!green,IF(H105&gt;='Апрель'!yellow_percent,'Апрель'!yellow,IF(H105&gt;='Апрель'!orange_percent,'Апрель'!orange,'Апрель'!red)));""max"",1}))"),"")</f>
        <v/>
      </c>
      <c r="J105" s="927"/>
      <c r="K105" s="282"/>
      <c r="L105" s="930"/>
      <c r="M105" s="929"/>
      <c r="N105" s="776"/>
      <c r="O105" s="282"/>
      <c r="P105" s="931"/>
      <c r="Q105" s="929"/>
      <c r="R105" s="776"/>
      <c r="S105" s="929"/>
      <c r="T105" s="776"/>
      <c r="U105" s="929"/>
      <c r="V105" s="773"/>
      <c r="W105" s="1064"/>
      <c r="X105" s="1083"/>
      <c r="Y105" s="565">
        <f>K105+M105+O105+Q105+S105+U105+W105</f>
        <v>0</v>
      </c>
      <c r="Z105" s="563">
        <f>Z100/Z104</f>
        <v>0</v>
      </c>
      <c r="AA105" s="220" t="str">
        <f t="shared" si="231"/>
        <v/>
      </c>
      <c r="AB105" s="449" t="str">
        <f>IFERROR(__xludf.DUMMYFUNCTION("IFERROR(SPARKLINE(AA105,{""charttype"",""bar"";""color1"",IF(AA105&gt;='Апрель'!green_percent,'Апрель'!green,IF(AA105&gt;='Апрель'!yellow_percent,'Апрель'!yellow,IF(AA105&gt;='Апрель'!orange_percent,'Апрель'!orange,'Апрель'!red)));""max"",1}))"),"")</f>
        <v/>
      </c>
      <c r="AC105" s="261"/>
      <c r="AD105" s="1067"/>
      <c r="AE105" s="261"/>
      <c r="AF105" s="1067"/>
      <c r="AG105" s="261"/>
      <c r="AH105" s="1067"/>
      <c r="AI105" s="261"/>
      <c r="AJ105" s="1067"/>
      <c r="AK105" s="261"/>
      <c r="AL105" s="1067"/>
      <c r="AM105" s="261"/>
      <c r="AN105" s="1068"/>
      <c r="AO105" s="261"/>
      <c r="AP105" s="1069"/>
      <c r="AQ105" s="565">
        <v>0.0</v>
      </c>
      <c r="AR105" s="499">
        <f>AR100/AR104</f>
        <v>117.6470588</v>
      </c>
      <c r="AS105" s="279"/>
      <c r="AT105" s="1084"/>
      <c r="AU105" s="256"/>
      <c r="AV105" s="1083"/>
      <c r="AW105" s="256"/>
      <c r="AX105" s="1083"/>
      <c r="AY105" s="256"/>
      <c r="AZ105" s="773"/>
      <c r="BA105" s="256"/>
      <c r="BB105" s="776"/>
      <c r="BC105" s="256"/>
      <c r="BD105" s="776"/>
      <c r="BE105" s="256"/>
      <c r="BF105" s="776"/>
      <c r="BG105" s="256"/>
      <c r="BH105" s="773"/>
      <c r="BI105" s="349"/>
      <c r="BJ105" s="448">
        <v>0.0</v>
      </c>
      <c r="BK105" s="279"/>
      <c r="BL105" s="462"/>
      <c r="BM105" s="924"/>
      <c r="BN105" s="776"/>
      <c r="BO105" s="256"/>
      <c r="BP105" s="776"/>
      <c r="BQ105" s="256"/>
      <c r="BR105" s="776"/>
      <c r="BS105" s="256"/>
      <c r="BT105" s="776"/>
      <c r="BU105" s="256"/>
      <c r="BV105" s="776"/>
      <c r="BW105" s="256"/>
      <c r="BX105" s="776"/>
      <c r="BY105" s="256"/>
      <c r="BZ105" s="773"/>
      <c r="CA105" s="565"/>
      <c r="CB105" s="464"/>
      <c r="CC105" s="279" t="str">
        <f t="shared" si="232"/>
        <v/>
      </c>
      <c r="CD105" s="462" t="str">
        <f>IFERROR(__xludf.DUMMYFUNCTION("IFERROR(SPARKLINE(CC105,{""charttype"",""bar"";""color1"",IF(CC105&gt;='Апрель'!green_percent,'Апрель'!green,IF(CC105&gt;='Апрель'!yellow_percent,'Апрель'!yellow,IF(CC105&gt;='Апрель'!orange_percent,'Апрель'!orange,'Апрель'!red)));""max"",1}))"),"")</f>
        <v/>
      </c>
      <c r="CE105" s="924"/>
      <c r="CF105" s="776"/>
      <c r="CG105" s="256"/>
      <c r="CH105" s="776"/>
      <c r="CI105" s="256"/>
      <c r="CJ105" s="776"/>
      <c r="CK105" s="256"/>
      <c r="CL105" s="776"/>
      <c r="CM105" s="261"/>
      <c r="CN105" s="843"/>
      <c r="CO105" s="261"/>
      <c r="CP105" s="843"/>
      <c r="CQ105" s="261"/>
      <c r="CR105" s="843"/>
      <c r="CS105" s="560">
        <v>50.0</v>
      </c>
      <c r="CT105" s="464">
        <f>CT100/CT104</f>
        <v>3000</v>
      </c>
      <c r="CU105" s="279">
        <f t="shared" si="233"/>
        <v>60</v>
      </c>
      <c r="CV105" s="462" t="str">
        <f>IFERROR(__xludf.DUMMYFUNCTION("IFERROR(SPARKLINE(CU105,{""charttype"",""bar"";""color1"",IF(CU105&gt;='Апрель'!green_percent,'Апрель'!green,IF(CU105&gt;='Апрель'!yellow_percent,'Апрель'!yellow,IF(CU105&gt;='Апрель'!orange_percent,'Апрель'!orange,'Апрель'!red)));""max"",1}))"),"")</f>
        <v/>
      </c>
      <c r="CW105" s="842"/>
      <c r="CX105" s="843"/>
      <c r="CY105" s="842"/>
      <c r="CZ105" s="843"/>
      <c r="DA105" s="843"/>
      <c r="DB105" s="843"/>
      <c r="DC105" s="843"/>
      <c r="DD105" s="843"/>
      <c r="DE105" s="843"/>
      <c r="DF105" s="843"/>
      <c r="DG105" s="843"/>
      <c r="DH105" s="843"/>
      <c r="DI105" s="843"/>
      <c r="DJ105" s="843"/>
      <c r="DK105" s="289"/>
      <c r="DL105" s="844"/>
      <c r="DM105" s="310"/>
      <c r="DN105" s="339"/>
      <c r="DO105" s="843"/>
      <c r="DP105" s="933"/>
    </row>
    <row r="106">
      <c r="A106" s="703"/>
      <c r="B106" s="937" t="s">
        <v>55</v>
      </c>
      <c r="C106" s="242"/>
      <c r="D106" s="242"/>
      <c r="E106" s="243"/>
      <c r="F106" s="244">
        <v>0.0</v>
      </c>
      <c r="G106" s="244">
        <f>Z106+AR106+BJ106+CB106+CT106</f>
        <v>0</v>
      </c>
      <c r="H106" s="704" t="str">
        <f t="shared" si="234"/>
        <v/>
      </c>
      <c r="I106" s="427" t="str">
        <f>IFERROR(__xludf.DUMMYFUNCTION("IFERROR(SPARKLINE(H106,{""charttype"",""bar"";""color1"",IF(H106&gt;='Апрель'!green_percent,'Апрель'!green,IF(H106&gt;='Апрель'!yellow_percent,'Апрель'!yellow,IF(H106&gt;='Апрель'!orange_percent,'Апрель'!orange,'Апрель'!red)));""max"",1}))"),"")</f>
        <v/>
      </c>
      <c r="J106" s="912"/>
      <c r="K106" s="1020"/>
      <c r="L106" s="773">
        <v>0.0</v>
      </c>
      <c r="M106" s="929"/>
      <c r="N106" s="776">
        <v>0.0</v>
      </c>
      <c r="O106" s="1020"/>
      <c r="P106" s="776">
        <v>0.0</v>
      </c>
      <c r="Q106" s="929"/>
      <c r="R106" s="776">
        <v>0.0</v>
      </c>
      <c r="S106" s="929"/>
      <c r="T106" s="776">
        <v>0.0</v>
      </c>
      <c r="U106" s="929"/>
      <c r="V106" s="773">
        <v>0.0</v>
      </c>
      <c r="W106" s="1064"/>
      <c r="X106" s="1078">
        <v>0.0</v>
      </c>
      <c r="Y106" s="343">
        <v>50.0</v>
      </c>
      <c r="Z106" s="244">
        <v>0.0</v>
      </c>
      <c r="AA106" s="412">
        <f t="shared" si="231"/>
        <v>0</v>
      </c>
      <c r="AB106" s="413" t="str">
        <f>IFERROR(__xludf.DUMMYFUNCTION("IFERROR(SPARKLINE(AA106,{""charttype"",""bar"";""color1"",IF(AA106&gt;='Апрель'!green_percent,'Апрель'!green,IF(AA106&gt;='Апрель'!yellow_percent,'Апрель'!yellow,IF(AA106&gt;='Апрель'!orange_percent,'Апрель'!orange,'Апрель'!red)));""max"",1}))"),"")</f>
        <v/>
      </c>
      <c r="AC106" s="1079"/>
      <c r="AD106" s="1067"/>
      <c r="AE106" s="1079"/>
      <c r="AF106" s="1067"/>
      <c r="AG106" s="1079"/>
      <c r="AH106" s="1067"/>
      <c r="AI106" s="1079"/>
      <c r="AJ106" s="1067"/>
      <c r="AK106" s="1079"/>
      <c r="AL106" s="1067"/>
      <c r="AM106" s="1079"/>
      <c r="AN106" s="1068"/>
      <c r="AO106" s="1079"/>
      <c r="AP106" s="1069"/>
      <c r="AQ106" s="1086">
        <v>0.0</v>
      </c>
      <c r="AR106" s="244">
        <v>0.0</v>
      </c>
      <c r="AS106" s="253"/>
      <c r="AT106" s="1080"/>
      <c r="AU106" s="711"/>
      <c r="AV106" s="1078"/>
      <c r="AW106" s="711"/>
      <c r="AX106" s="1078"/>
      <c r="AY106" s="711"/>
      <c r="AZ106" s="773"/>
      <c r="BA106" s="711"/>
      <c r="BB106" s="776"/>
      <c r="BC106" s="711"/>
      <c r="BD106" s="776"/>
      <c r="BE106" s="711"/>
      <c r="BF106" s="776"/>
      <c r="BG106" s="711"/>
      <c r="BH106" s="773"/>
      <c r="BI106" s="255"/>
      <c r="BJ106" s="244">
        <v>0.0</v>
      </c>
      <c r="BK106" s="253"/>
      <c r="BL106" s="427"/>
      <c r="BM106" s="1081"/>
      <c r="BN106" s="776"/>
      <c r="BO106" s="711"/>
      <c r="BP106" s="776"/>
      <c r="BQ106" s="711"/>
      <c r="BR106" s="776"/>
      <c r="BS106" s="711"/>
      <c r="BT106" s="776"/>
      <c r="BU106" s="711"/>
      <c r="BV106" s="776"/>
      <c r="BW106" s="711"/>
      <c r="BX106" s="776"/>
      <c r="BY106" s="711"/>
      <c r="BZ106" s="773"/>
      <c r="CA106" s="1086"/>
      <c r="CB106" s="486"/>
      <c r="CC106" s="253" t="str">
        <f t="shared" si="232"/>
        <v/>
      </c>
      <c r="CD106" s="427" t="str">
        <f>IFERROR(__xludf.DUMMYFUNCTION("IFERROR(SPARKLINE(CC106,{""charttype"",""bar"";""color1"",IF(CC106&gt;='Апрель'!green_percent,'Апрель'!green,IF(CC106&gt;='Апрель'!yellow_percent,'Апрель'!yellow,IF(CC106&gt;='Апрель'!orange_percent,'Апрель'!orange,'Апрель'!red)));""max"",1}))"),"")</f>
        <v/>
      </c>
      <c r="CE106" s="1081"/>
      <c r="CF106" s="776"/>
      <c r="CG106" s="711"/>
      <c r="CH106" s="776"/>
      <c r="CI106" s="711"/>
      <c r="CJ106" s="776"/>
      <c r="CK106" s="711"/>
      <c r="CL106" s="776"/>
      <c r="CM106" s="261"/>
      <c r="CN106" s="875"/>
      <c r="CO106" s="261"/>
      <c r="CP106" s="875"/>
      <c r="CQ106" s="261"/>
      <c r="CR106" s="875"/>
      <c r="CS106" s="257"/>
      <c r="CT106" s="258"/>
      <c r="CU106" s="1087"/>
      <c r="CV106" s="1088"/>
      <c r="CW106" s="842"/>
      <c r="CX106" s="875"/>
      <c r="CY106" s="842"/>
      <c r="CZ106" s="875"/>
      <c r="DA106" s="875"/>
      <c r="DB106" s="875"/>
      <c r="DC106" s="875"/>
      <c r="DD106" s="875"/>
      <c r="DE106" s="875"/>
      <c r="DF106" s="875"/>
      <c r="DG106" s="875"/>
      <c r="DH106" s="875"/>
      <c r="DI106" s="875"/>
      <c r="DJ106" s="875"/>
      <c r="DK106" s="326"/>
      <c r="DL106" s="876"/>
      <c r="DM106" s="327"/>
      <c r="DN106" s="329"/>
      <c r="DO106" s="875"/>
      <c r="DP106" s="926"/>
    </row>
    <row r="107">
      <c r="A107" s="673"/>
      <c r="B107" s="934" t="s">
        <v>22</v>
      </c>
      <c r="C107" s="217"/>
      <c r="D107" s="217"/>
      <c r="E107" s="218"/>
      <c r="F107" s="270">
        <v>0.0</v>
      </c>
      <c r="G107" s="270">
        <f t="shared" ref="G107:G108" si="238">Z107</f>
        <v>0</v>
      </c>
      <c r="H107" s="543" t="str">
        <f t="shared" si="234"/>
        <v/>
      </c>
      <c r="I107" s="462" t="str">
        <f>IFERROR(__xludf.DUMMYFUNCTION("IFERROR(SPARKLINE(H107,{""charttype"",""bar"";""color1"",IF(H107&gt;='Апрель'!green_percent,'Апрель'!green,IF(H107&gt;='Апрель'!yellow_percent,'Апрель'!yellow,IF(H107&gt;='Апрель'!orange_percent,'Апрель'!orange,'Апрель'!red)));""max"",1}))"),"")</f>
        <v/>
      </c>
      <c r="J107" s="927"/>
      <c r="K107" s="282"/>
      <c r="L107" s="930"/>
      <c r="M107" s="929"/>
      <c r="N107" s="776"/>
      <c r="O107" s="282"/>
      <c r="P107" s="931"/>
      <c r="Q107" s="929"/>
      <c r="R107" s="776"/>
      <c r="S107" s="929"/>
      <c r="T107" s="776"/>
      <c r="U107" s="929"/>
      <c r="V107" s="773"/>
      <c r="W107" s="1064"/>
      <c r="X107" s="1083"/>
      <c r="Y107" s="565">
        <f t="shared" ref="Y107:Z107" si="237">K107+M107+O107+Q107+S107+U107+W107</f>
        <v>0</v>
      </c>
      <c r="Z107" s="563">
        <f t="shared" si="237"/>
        <v>0</v>
      </c>
      <c r="AA107" s="220" t="str">
        <f t="shared" si="231"/>
        <v/>
      </c>
      <c r="AB107" s="449" t="str">
        <f>IFERROR(__xludf.DUMMYFUNCTION("IFERROR(SPARKLINE(AA107,{""charttype"",""bar"";""color1"",IF(AA107&gt;='Апрель'!green_percent,'Апрель'!green,IF(AA107&gt;='Апрель'!yellow_percent,'Апрель'!yellow,IF(AA107&gt;='Апрель'!orange_percent,'Апрель'!orange,'Апрель'!red)));""max"",1}))"),"")</f>
        <v/>
      </c>
      <c r="AC107" s="261"/>
      <c r="AD107" s="1067"/>
      <c r="AE107" s="261"/>
      <c r="AF107" s="1067"/>
      <c r="AG107" s="261"/>
      <c r="AH107" s="1067"/>
      <c r="AI107" s="261"/>
      <c r="AJ107" s="1067"/>
      <c r="AK107" s="261"/>
      <c r="AL107" s="1067"/>
      <c r="AM107" s="261"/>
      <c r="AN107" s="1068"/>
      <c r="AO107" s="261"/>
      <c r="AP107" s="1069"/>
      <c r="AQ107" s="565">
        <v>0.0</v>
      </c>
      <c r="AR107" s="464"/>
      <c r="AS107" s="279"/>
      <c r="AT107" s="1084"/>
      <c r="AU107" s="256"/>
      <c r="AV107" s="1083"/>
      <c r="AW107" s="256"/>
      <c r="AX107" s="1083"/>
      <c r="AY107" s="256"/>
      <c r="AZ107" s="773"/>
      <c r="BA107" s="256"/>
      <c r="BB107" s="776"/>
      <c r="BC107" s="256"/>
      <c r="BD107" s="776"/>
      <c r="BE107" s="256"/>
      <c r="BF107" s="776"/>
      <c r="BG107" s="256"/>
      <c r="BH107" s="773"/>
      <c r="BI107" s="349"/>
      <c r="BJ107" s="448">
        <v>0.0</v>
      </c>
      <c r="BK107" s="279"/>
      <c r="BL107" s="462"/>
      <c r="BM107" s="924"/>
      <c r="BN107" s="776"/>
      <c r="BO107" s="256"/>
      <c r="BP107" s="776"/>
      <c r="BQ107" s="256"/>
      <c r="BR107" s="776"/>
      <c r="BS107" s="256"/>
      <c r="BT107" s="776"/>
      <c r="BU107" s="256"/>
      <c r="BV107" s="776"/>
      <c r="BW107" s="256"/>
      <c r="BX107" s="776"/>
      <c r="BY107" s="256"/>
      <c r="BZ107" s="773"/>
      <c r="CA107" s="565"/>
      <c r="CB107" s="464"/>
      <c r="CC107" s="279" t="str">
        <f t="shared" si="232"/>
        <v/>
      </c>
      <c r="CD107" s="462" t="str">
        <f>IFERROR(__xludf.DUMMYFUNCTION("IFERROR(SPARKLINE(CC107,{""charttype"",""bar"";""color1"",IF(CC107&gt;='Апрель'!green_percent,'Апрель'!green,IF(CC107&gt;='Апрель'!yellow_percent,'Апрель'!yellow,IF(CC107&gt;='Апрель'!orange_percent,'Апрель'!orange,'Апрель'!red)));""max"",1}))"),"")</f>
        <v/>
      </c>
      <c r="CE107" s="924"/>
      <c r="CF107" s="776"/>
      <c r="CG107" s="256"/>
      <c r="CH107" s="776"/>
      <c r="CI107" s="256"/>
      <c r="CJ107" s="776"/>
      <c r="CK107" s="256"/>
      <c r="CL107" s="776"/>
      <c r="CM107" s="261"/>
      <c r="CN107" s="843"/>
      <c r="CO107" s="261"/>
      <c r="CP107" s="843"/>
      <c r="CQ107" s="261"/>
      <c r="CR107" s="843"/>
      <c r="CS107" s="335"/>
      <c r="CT107" s="733"/>
      <c r="CU107" s="840"/>
      <c r="CV107" s="841"/>
      <c r="CW107" s="842"/>
      <c r="CX107" s="843"/>
      <c r="CY107" s="842"/>
      <c r="CZ107" s="843"/>
      <c r="DA107" s="843"/>
      <c r="DB107" s="843"/>
      <c r="DC107" s="843"/>
      <c r="DD107" s="843"/>
      <c r="DE107" s="843"/>
      <c r="DF107" s="843"/>
      <c r="DG107" s="843"/>
      <c r="DH107" s="843"/>
      <c r="DI107" s="843"/>
      <c r="DJ107" s="843"/>
      <c r="DK107" s="289"/>
      <c r="DL107" s="844"/>
      <c r="DM107" s="310"/>
      <c r="DN107" s="339"/>
      <c r="DO107" s="843"/>
      <c r="DP107" s="933"/>
    </row>
    <row r="108">
      <c r="A108" s="703"/>
      <c r="B108" s="937" t="s">
        <v>56</v>
      </c>
      <c r="C108" s="242"/>
      <c r="D108" s="242"/>
      <c r="E108" s="243"/>
      <c r="F108" s="244">
        <v>0.0</v>
      </c>
      <c r="G108" s="412" t="str">
        <f t="shared" si="238"/>
        <v>#DIV/0!</v>
      </c>
      <c r="H108" s="704" t="str">
        <f t="shared" si="234"/>
        <v/>
      </c>
      <c r="I108" s="427" t="str">
        <f>IFERROR(__xludf.DUMMYFUNCTION("IFERROR(SPARKLINE(H108,{""charttype"",""bar"";""color1"",IF(H108&gt;='Апрель'!green_percent,'Апрель'!green,IF(H108&gt;='Апрель'!yellow_percent,'Апрель'!yellow,IF(H108&gt;='Апрель'!orange_percent,'Апрель'!orange,'Апрель'!red)));""max"",1}))"),"")</f>
        <v/>
      </c>
      <c r="J108" s="912"/>
      <c r="K108" s="1020"/>
      <c r="L108" s="930"/>
      <c r="M108" s="929"/>
      <c r="N108" s="776"/>
      <c r="O108" s="1020"/>
      <c r="P108" s="931"/>
      <c r="Q108" s="929"/>
      <c r="R108" s="776"/>
      <c r="S108" s="929"/>
      <c r="T108" s="776"/>
      <c r="U108" s="929"/>
      <c r="V108" s="773"/>
      <c r="W108" s="1064"/>
      <c r="X108" s="1078"/>
      <c r="Y108" s="313">
        <f t="shared" ref="Y108:Z108" si="239">Y106/Y103</f>
        <v>0.01</v>
      </c>
      <c r="Z108" s="245" t="str">
        <f t="shared" si="239"/>
        <v>#DIV/0!</v>
      </c>
      <c r="AA108" s="412" t="str">
        <f t="shared" si="231"/>
        <v/>
      </c>
      <c r="AB108" s="413" t="str">
        <f>IFERROR(__xludf.DUMMYFUNCTION("IFERROR(SPARKLINE(AA108,{""charttype"",""bar"";""color1"",IF(AA108&gt;='Апрель'!green_percent,'Апрель'!green,IF(AA108&gt;='Апрель'!yellow_percent,'Апрель'!yellow,IF(AA108&gt;='Апрель'!orange_percent,'Апрель'!orange,'Апрель'!red)));""max"",1}))"),"")</f>
        <v/>
      </c>
      <c r="AC108" s="1079"/>
      <c r="AD108" s="1067"/>
      <c r="AE108" s="1079"/>
      <c r="AF108" s="1067"/>
      <c r="AG108" s="1079"/>
      <c r="AH108" s="1067"/>
      <c r="AI108" s="1079"/>
      <c r="AJ108" s="1067"/>
      <c r="AK108" s="1079"/>
      <c r="AL108" s="1067"/>
      <c r="AM108" s="1079"/>
      <c r="AN108" s="1068"/>
      <c r="AO108" s="1079"/>
      <c r="AP108" s="1069"/>
      <c r="AQ108" s="943">
        <v>0.01</v>
      </c>
      <c r="AR108" s="486"/>
      <c r="AS108" s="253"/>
      <c r="AT108" s="1080"/>
      <c r="AU108" s="711"/>
      <c r="AV108" s="1078"/>
      <c r="AW108" s="711"/>
      <c r="AX108" s="1078"/>
      <c r="AY108" s="711"/>
      <c r="AZ108" s="773"/>
      <c r="BA108" s="711"/>
      <c r="BB108" s="776"/>
      <c r="BC108" s="711"/>
      <c r="BD108" s="776"/>
      <c r="BE108" s="711"/>
      <c r="BF108" s="776"/>
      <c r="BG108" s="711"/>
      <c r="BH108" s="773"/>
      <c r="BI108" s="255"/>
      <c r="BJ108" s="244">
        <v>0.0</v>
      </c>
      <c r="BK108" s="253"/>
      <c r="BL108" s="427"/>
      <c r="BM108" s="1081"/>
      <c r="BN108" s="776"/>
      <c r="BO108" s="711"/>
      <c r="BP108" s="776"/>
      <c r="BQ108" s="711"/>
      <c r="BR108" s="776"/>
      <c r="BS108" s="711"/>
      <c r="BT108" s="776"/>
      <c r="BU108" s="711"/>
      <c r="BV108" s="776"/>
      <c r="BW108" s="711"/>
      <c r="BX108" s="776"/>
      <c r="BY108" s="711"/>
      <c r="BZ108" s="773"/>
      <c r="CA108" s="943"/>
      <c r="CB108" s="486"/>
      <c r="CC108" s="253" t="str">
        <f t="shared" si="232"/>
        <v/>
      </c>
      <c r="CD108" s="427" t="str">
        <f>IFERROR(__xludf.DUMMYFUNCTION("IFERROR(SPARKLINE(CC108,{""charttype"",""bar"";""color1"",IF(CC108&gt;='Апрель'!green_percent,'Апрель'!green,IF(CC108&gt;='Апрель'!yellow_percent,'Апрель'!yellow,IF(CC108&gt;='Апрель'!orange_percent,'Апрель'!orange,'Апрель'!red)));""max"",1}))"),"")</f>
        <v/>
      </c>
      <c r="CE108" s="1081"/>
      <c r="CF108" s="776"/>
      <c r="CG108" s="711"/>
      <c r="CH108" s="776"/>
      <c r="CI108" s="711"/>
      <c r="CJ108" s="776"/>
      <c r="CK108" s="711"/>
      <c r="CL108" s="776"/>
      <c r="CM108" s="261"/>
      <c r="CN108" s="875"/>
      <c r="CO108" s="261"/>
      <c r="CP108" s="875"/>
      <c r="CQ108" s="261"/>
      <c r="CR108" s="875"/>
      <c r="CS108" s="257"/>
      <c r="CT108" s="258"/>
      <c r="CU108" s="1087"/>
      <c r="CV108" s="1088"/>
      <c r="CW108" s="842"/>
      <c r="CX108" s="875"/>
      <c r="CY108" s="842"/>
      <c r="CZ108" s="875"/>
      <c r="DA108" s="875"/>
      <c r="DB108" s="875"/>
      <c r="DC108" s="875"/>
      <c r="DD108" s="875"/>
      <c r="DE108" s="875"/>
      <c r="DF108" s="875"/>
      <c r="DG108" s="875"/>
      <c r="DH108" s="875"/>
      <c r="DI108" s="875"/>
      <c r="DJ108" s="875"/>
      <c r="DK108" s="326"/>
      <c r="DL108" s="876"/>
      <c r="DM108" s="327"/>
      <c r="DN108" s="329"/>
      <c r="DO108" s="875"/>
      <c r="DP108" s="926"/>
    </row>
    <row r="109">
      <c r="A109" s="673"/>
      <c r="B109" s="934" t="s">
        <v>35</v>
      </c>
      <c r="C109" s="217"/>
      <c r="D109" s="217"/>
      <c r="E109" s="218"/>
      <c r="F109" s="448">
        <v>0.0</v>
      </c>
      <c r="G109" s="448">
        <f>Z109+AR109+BJ109+CB109+CT109</f>
        <v>0</v>
      </c>
      <c r="H109" s="543" t="str">
        <f t="shared" si="234"/>
        <v/>
      </c>
      <c r="I109" s="462" t="str">
        <f>IFERROR(__xludf.DUMMYFUNCTION("IFERROR(SPARKLINE(H109,{""charttype"",""bar"";""color1"",IF(H109&gt;='Апрель'!green_percent,'Апрель'!green,IF(H109&gt;='Апрель'!yellow_percent,'Апрель'!yellow,IF(H109&gt;='Апрель'!orange_percent,'Апрель'!orange,'Апрель'!red)));""max"",1}))"),"")</f>
        <v/>
      </c>
      <c r="J109" s="927"/>
      <c r="K109" s="282"/>
      <c r="L109" s="773">
        <v>0.0</v>
      </c>
      <c r="M109" s="929"/>
      <c r="N109" s="776">
        <v>0.0</v>
      </c>
      <c r="O109" s="282"/>
      <c r="P109" s="776">
        <v>0.0</v>
      </c>
      <c r="Q109" s="929"/>
      <c r="R109" s="776">
        <v>0.0</v>
      </c>
      <c r="S109" s="929"/>
      <c r="T109" s="776">
        <v>0.0</v>
      </c>
      <c r="U109" s="929"/>
      <c r="V109" s="773">
        <v>0.0</v>
      </c>
      <c r="W109" s="1064"/>
      <c r="X109" s="1083">
        <v>0.0</v>
      </c>
      <c r="Y109" s="349">
        <f>K109+M109+O109+Q109+S109+U109+W109</f>
        <v>0</v>
      </c>
      <c r="Z109" s="448">
        <v>0.0</v>
      </c>
      <c r="AA109" s="220" t="str">
        <f t="shared" si="231"/>
        <v/>
      </c>
      <c r="AB109" s="449" t="str">
        <f>IFERROR(__xludf.DUMMYFUNCTION("IFERROR(SPARKLINE(AA109,{""charttype"",""bar"";""color1"",IF(AA109&gt;='Апрель'!green_percent,'Апрель'!green,IF(AA109&gt;='Апрель'!yellow_percent,'Апрель'!yellow,IF(AA109&gt;='Апрель'!orange_percent,'Апрель'!orange,'Апрель'!red)));""max"",1}))"),"")</f>
        <v/>
      </c>
      <c r="AC109" s="261"/>
      <c r="AD109" s="1067"/>
      <c r="AE109" s="261"/>
      <c r="AF109" s="1067"/>
      <c r="AG109" s="261"/>
      <c r="AH109" s="1067"/>
      <c r="AI109" s="261"/>
      <c r="AJ109" s="1067"/>
      <c r="AK109" s="261"/>
      <c r="AL109" s="1067"/>
      <c r="AM109" s="261"/>
      <c r="AN109" s="1068"/>
      <c r="AO109" s="261"/>
      <c r="AP109" s="1069"/>
      <c r="AQ109" s="349">
        <v>0.0</v>
      </c>
      <c r="AR109" s="448">
        <v>0.0</v>
      </c>
      <c r="AS109" s="279"/>
      <c r="AT109" s="1084"/>
      <c r="AU109" s="256"/>
      <c r="AV109" s="1083"/>
      <c r="AW109" s="256"/>
      <c r="AX109" s="1083"/>
      <c r="AY109" s="256"/>
      <c r="AZ109" s="773"/>
      <c r="BA109" s="256"/>
      <c r="BB109" s="776"/>
      <c r="BC109" s="256"/>
      <c r="BD109" s="776"/>
      <c r="BE109" s="256"/>
      <c r="BF109" s="776"/>
      <c r="BG109" s="256"/>
      <c r="BH109" s="773"/>
      <c r="BI109" s="349"/>
      <c r="BJ109" s="448">
        <v>0.0</v>
      </c>
      <c r="BK109" s="279"/>
      <c r="BL109" s="462"/>
      <c r="BM109" s="924"/>
      <c r="BN109" s="776"/>
      <c r="BO109" s="256"/>
      <c r="BP109" s="776"/>
      <c r="BQ109" s="256"/>
      <c r="BR109" s="776"/>
      <c r="BS109" s="256"/>
      <c r="BT109" s="776"/>
      <c r="BU109" s="256"/>
      <c r="BV109" s="776"/>
      <c r="BW109" s="256"/>
      <c r="BX109" s="776"/>
      <c r="BY109" s="256"/>
      <c r="BZ109" s="773"/>
      <c r="CA109" s="349"/>
      <c r="CB109" s="464"/>
      <c r="CC109" s="838"/>
      <c r="CD109" s="334"/>
      <c r="CE109" s="924"/>
      <c r="CF109" s="776"/>
      <c r="CG109" s="256"/>
      <c r="CH109" s="776"/>
      <c r="CI109" s="256"/>
      <c r="CJ109" s="776"/>
      <c r="CK109" s="256"/>
      <c r="CL109" s="776"/>
      <c r="CM109" s="261"/>
      <c r="CN109" s="843"/>
      <c r="CO109" s="261"/>
      <c r="CP109" s="843"/>
      <c r="CQ109" s="261"/>
      <c r="CR109" s="843"/>
      <c r="CS109" s="335"/>
      <c r="CT109" s="733"/>
      <c r="CU109" s="840"/>
      <c r="CV109" s="841"/>
      <c r="CW109" s="842"/>
      <c r="CX109" s="843"/>
      <c r="CY109" s="842"/>
      <c r="CZ109" s="843"/>
      <c r="DA109" s="843"/>
      <c r="DB109" s="843"/>
      <c r="DC109" s="843"/>
      <c r="DD109" s="843"/>
      <c r="DE109" s="843"/>
      <c r="DF109" s="843"/>
      <c r="DG109" s="843"/>
      <c r="DH109" s="843"/>
      <c r="DI109" s="843"/>
      <c r="DJ109" s="843"/>
      <c r="DK109" s="289"/>
      <c r="DL109" s="844"/>
      <c r="DM109" s="310"/>
      <c r="DN109" s="339"/>
      <c r="DO109" s="843"/>
      <c r="DP109" s="933"/>
    </row>
    <row r="110">
      <c r="A110" s="703"/>
      <c r="B110" s="937" t="s">
        <v>25</v>
      </c>
      <c r="C110" s="242"/>
      <c r="D110" s="242"/>
      <c r="E110" s="243"/>
      <c r="F110" s="244">
        <v>0.0</v>
      </c>
      <c r="G110" s="245" t="str">
        <f>G109/G106</f>
        <v>#DIV/0!</v>
      </c>
      <c r="H110" s="704" t="str">
        <f t="shared" si="234"/>
        <v/>
      </c>
      <c r="I110" s="427" t="str">
        <f>IFERROR(__xludf.DUMMYFUNCTION("IFERROR(SPARKLINE(H110,{""charttype"",""bar"";""color1"",IF(H110&gt;='Апрель'!green_percent,'Апрель'!green,IF(H110&gt;='Апрель'!yellow_percent,'Апрель'!yellow,IF(H110&gt;='Апрель'!orange_percent,'Апрель'!orange,'Апрель'!red)));""max"",1}))"),"")</f>
        <v/>
      </c>
      <c r="J110" s="912"/>
      <c r="K110" s="1020"/>
      <c r="L110" s="930"/>
      <c r="M110" s="929"/>
      <c r="N110" s="776"/>
      <c r="O110" s="1020"/>
      <c r="P110" s="931"/>
      <c r="Q110" s="929"/>
      <c r="R110" s="776"/>
      <c r="S110" s="929"/>
      <c r="T110" s="776"/>
      <c r="U110" s="929"/>
      <c r="V110" s="773"/>
      <c r="W110" s="1064"/>
      <c r="X110" s="1078"/>
      <c r="Y110" s="313">
        <f t="shared" ref="Y110:Z110" si="240">Y109/Y106</f>
        <v>0</v>
      </c>
      <c r="Z110" s="245" t="str">
        <f t="shared" si="240"/>
        <v>#DIV/0!</v>
      </c>
      <c r="AA110" s="412" t="str">
        <f t="shared" si="231"/>
        <v/>
      </c>
      <c r="AB110" s="413" t="str">
        <f>IFERROR(__xludf.DUMMYFUNCTION("IFERROR(SPARKLINE(AA110,{""charttype"",""bar"";""color1"",IF(AA110&gt;='Апрель'!green_percent,'Апрель'!green,IF(AA110&gt;='Апрель'!yellow_percent,'Апрель'!yellow,IF(AA110&gt;='Апрель'!orange_percent,'Апрель'!orange,'Апрель'!red)));""max"",1}))"),"")</f>
        <v/>
      </c>
      <c r="AC110" s="1079"/>
      <c r="AD110" s="1067"/>
      <c r="AE110" s="1079"/>
      <c r="AF110" s="1067"/>
      <c r="AG110" s="1079"/>
      <c r="AH110" s="1067"/>
      <c r="AI110" s="1079"/>
      <c r="AJ110" s="1067"/>
      <c r="AK110" s="1079"/>
      <c r="AL110" s="1067"/>
      <c r="AM110" s="1079"/>
      <c r="AN110" s="1068"/>
      <c r="AO110" s="1079"/>
      <c r="AP110" s="1069"/>
      <c r="AQ110" s="943">
        <v>0.0</v>
      </c>
      <c r="AR110" s="486"/>
      <c r="AS110" s="253"/>
      <c r="AT110" s="1080"/>
      <c r="AU110" s="711"/>
      <c r="AV110" s="1078"/>
      <c r="AW110" s="711"/>
      <c r="AX110" s="1078"/>
      <c r="AY110" s="711"/>
      <c r="AZ110" s="773"/>
      <c r="BA110" s="711"/>
      <c r="BB110" s="776"/>
      <c r="BC110" s="711"/>
      <c r="BD110" s="776"/>
      <c r="BE110" s="711"/>
      <c r="BF110" s="776"/>
      <c r="BG110" s="711"/>
      <c r="BH110" s="773"/>
      <c r="BI110" s="255"/>
      <c r="BJ110" s="244">
        <v>0.0</v>
      </c>
      <c r="BK110" s="253"/>
      <c r="BL110" s="427"/>
      <c r="BM110" s="1081"/>
      <c r="BN110" s="776"/>
      <c r="BO110" s="711"/>
      <c r="BP110" s="776"/>
      <c r="BQ110" s="711"/>
      <c r="BR110" s="776"/>
      <c r="BS110" s="711"/>
      <c r="BT110" s="776"/>
      <c r="BU110" s="711"/>
      <c r="BV110" s="776"/>
      <c r="BW110" s="711"/>
      <c r="BX110" s="776"/>
      <c r="BY110" s="711"/>
      <c r="BZ110" s="773"/>
      <c r="CA110" s="255"/>
      <c r="CB110" s="486"/>
      <c r="CC110" s="1089"/>
      <c r="CD110" s="318"/>
      <c r="CE110" s="1081"/>
      <c r="CF110" s="776"/>
      <c r="CG110" s="711"/>
      <c r="CH110" s="776"/>
      <c r="CI110" s="711"/>
      <c r="CJ110" s="776"/>
      <c r="CK110" s="711"/>
      <c r="CL110" s="776"/>
      <c r="CM110" s="261"/>
      <c r="CN110" s="875"/>
      <c r="CO110" s="261"/>
      <c r="CP110" s="875"/>
      <c r="CQ110" s="261"/>
      <c r="CR110" s="875"/>
      <c r="CS110" s="257"/>
      <c r="CT110" s="258"/>
      <c r="CU110" s="1087"/>
      <c r="CV110" s="1088"/>
      <c r="CW110" s="842"/>
      <c r="CX110" s="875"/>
      <c r="CY110" s="842"/>
      <c r="CZ110" s="875"/>
      <c r="DA110" s="875"/>
      <c r="DB110" s="875"/>
      <c r="DC110" s="875"/>
      <c r="DD110" s="875"/>
      <c r="DE110" s="875"/>
      <c r="DF110" s="875"/>
      <c r="DG110" s="875"/>
      <c r="DH110" s="875"/>
      <c r="DI110" s="875"/>
      <c r="DJ110" s="875"/>
      <c r="DK110" s="326"/>
      <c r="DL110" s="876"/>
      <c r="DM110" s="327"/>
      <c r="DN110" s="329"/>
      <c r="DO110" s="875"/>
      <c r="DP110" s="926"/>
    </row>
    <row r="111">
      <c r="A111" s="673"/>
      <c r="B111" s="934" t="s">
        <v>36</v>
      </c>
      <c r="C111" s="217"/>
      <c r="D111" s="217"/>
      <c r="E111" s="218"/>
      <c r="F111" s="270">
        <v>0.0</v>
      </c>
      <c r="G111" s="270">
        <f>Z111</f>
        <v>0</v>
      </c>
      <c r="H111" s="543" t="str">
        <f t="shared" si="234"/>
        <v/>
      </c>
      <c r="I111" s="462" t="str">
        <f>IFERROR(__xludf.DUMMYFUNCTION("IFERROR(SPARKLINE(H111,{""charttype"",""bar"";""color1"",IF(H111&gt;='Апрель'!green_percent,'Апрель'!green,IF(H111&gt;='Апрель'!yellow_percent,'Апрель'!yellow,IF(H111&gt;='Апрель'!orange_percent,'Апрель'!orange,'Апрель'!red)));""max"",1}))"),"")</f>
        <v/>
      </c>
      <c r="J111" s="927"/>
      <c r="K111" s="282"/>
      <c r="L111" s="930"/>
      <c r="M111" s="929"/>
      <c r="N111" s="776"/>
      <c r="O111" s="282"/>
      <c r="P111" s="931"/>
      <c r="Q111" s="929"/>
      <c r="R111" s="776"/>
      <c r="S111" s="929"/>
      <c r="T111" s="776"/>
      <c r="U111" s="929"/>
      <c r="V111" s="773"/>
      <c r="W111" s="1064"/>
      <c r="X111" s="1083"/>
      <c r="Y111" s="565">
        <f t="shared" ref="Y111:Z111" si="241">K111+M111+O111+Q111+S111+U111+W111</f>
        <v>0</v>
      </c>
      <c r="Z111" s="563">
        <f t="shared" si="241"/>
        <v>0</v>
      </c>
      <c r="AA111" s="220" t="str">
        <f t="shared" si="231"/>
        <v/>
      </c>
      <c r="AB111" s="449" t="str">
        <f>IFERROR(__xludf.DUMMYFUNCTION("IFERROR(SPARKLINE(AA111,{""charttype"",""bar"";""color1"",IF(AA111&gt;='Апрель'!green_percent,'Апрель'!green,IF(AA111&gt;='Апрель'!yellow_percent,'Апрель'!yellow,IF(AA111&gt;='Апрель'!orange_percent,'Апрель'!orange,'Апрель'!red)));""max"",1}))"),"")</f>
        <v/>
      </c>
      <c r="AC111" s="261"/>
      <c r="AD111" s="1067"/>
      <c r="AE111" s="261"/>
      <c r="AF111" s="1067"/>
      <c r="AG111" s="261"/>
      <c r="AH111" s="1067"/>
      <c r="AI111" s="261"/>
      <c r="AJ111" s="1067"/>
      <c r="AK111" s="261"/>
      <c r="AL111" s="1067"/>
      <c r="AM111" s="261"/>
      <c r="AN111" s="1068"/>
      <c r="AO111" s="261"/>
      <c r="AP111" s="1069"/>
      <c r="AQ111" s="565">
        <v>0.0</v>
      </c>
      <c r="AR111" s="464"/>
      <c r="AS111" s="279"/>
      <c r="AT111" s="1084"/>
      <c r="AU111" s="256"/>
      <c r="AV111" s="1083"/>
      <c r="AW111" s="256"/>
      <c r="AX111" s="1083"/>
      <c r="AY111" s="256"/>
      <c r="AZ111" s="773"/>
      <c r="BA111" s="256"/>
      <c r="BB111" s="776"/>
      <c r="BC111" s="256"/>
      <c r="BD111" s="776"/>
      <c r="BE111" s="256"/>
      <c r="BF111" s="776"/>
      <c r="BG111" s="256"/>
      <c r="BH111" s="773"/>
      <c r="BI111" s="349"/>
      <c r="BJ111" s="448">
        <v>0.0</v>
      </c>
      <c r="BK111" s="279"/>
      <c r="BL111" s="462"/>
      <c r="BM111" s="924"/>
      <c r="BN111" s="776"/>
      <c r="BO111" s="256"/>
      <c r="BP111" s="776"/>
      <c r="BQ111" s="256"/>
      <c r="BR111" s="776"/>
      <c r="BS111" s="256"/>
      <c r="BT111" s="776"/>
      <c r="BU111" s="256"/>
      <c r="BV111" s="776"/>
      <c r="BW111" s="256"/>
      <c r="BX111" s="776"/>
      <c r="BY111" s="256"/>
      <c r="BZ111" s="773"/>
      <c r="CA111" s="349"/>
      <c r="CB111" s="464"/>
      <c r="CC111" s="838"/>
      <c r="CD111" s="334"/>
      <c r="CE111" s="924"/>
      <c r="CF111" s="776"/>
      <c r="CG111" s="256"/>
      <c r="CH111" s="776"/>
      <c r="CI111" s="256"/>
      <c r="CJ111" s="776"/>
      <c r="CK111" s="256"/>
      <c r="CL111" s="776"/>
      <c r="CM111" s="261"/>
      <c r="CN111" s="843"/>
      <c r="CO111" s="261"/>
      <c r="CP111" s="843"/>
      <c r="CQ111" s="261"/>
      <c r="CR111" s="843"/>
      <c r="CS111" s="335"/>
      <c r="CT111" s="733"/>
      <c r="CU111" s="840"/>
      <c r="CV111" s="841"/>
      <c r="CW111" s="842"/>
      <c r="CX111" s="843"/>
      <c r="CY111" s="842"/>
      <c r="CZ111" s="843"/>
      <c r="DA111" s="843"/>
      <c r="DB111" s="843"/>
      <c r="DC111" s="843"/>
      <c r="DD111" s="843"/>
      <c r="DE111" s="843"/>
      <c r="DF111" s="843"/>
      <c r="DG111" s="843"/>
      <c r="DH111" s="843"/>
      <c r="DI111" s="843"/>
      <c r="DJ111" s="843"/>
      <c r="DK111" s="289"/>
      <c r="DL111" s="844"/>
      <c r="DM111" s="310"/>
      <c r="DN111" s="339"/>
      <c r="DO111" s="843"/>
      <c r="DP111" s="933"/>
    </row>
    <row r="112">
      <c r="A112" s="703"/>
      <c r="B112" s="937" t="s">
        <v>26</v>
      </c>
      <c r="C112" s="242"/>
      <c r="D112" s="242"/>
      <c r="E112" s="243"/>
      <c r="F112" s="244">
        <v>0.0</v>
      </c>
      <c r="G112" s="244">
        <f t="shared" ref="G112:G113" si="242">Z112+AR112+BJ112+CB112+CT112</f>
        <v>0</v>
      </c>
      <c r="H112" s="704" t="str">
        <f t="shared" si="234"/>
        <v/>
      </c>
      <c r="I112" s="427" t="str">
        <f>IFERROR(__xludf.DUMMYFUNCTION("IFERROR(SPARKLINE(H112,{""charttype"",""bar"";""color1"",IF(H112&gt;='Апрель'!green_percent,'Апрель'!green,IF(H112&gt;='Апрель'!yellow_percent,'Апрель'!yellow,IF(H112&gt;='Апрель'!orange_percent,'Апрель'!orange,'Апрель'!red)));""max"",1}))"),"")</f>
        <v/>
      </c>
      <c r="J112" s="912"/>
      <c r="K112" s="1020"/>
      <c r="L112" s="930"/>
      <c r="M112" s="929"/>
      <c r="N112" s="776"/>
      <c r="O112" s="1020"/>
      <c r="P112" s="931"/>
      <c r="Q112" s="929"/>
      <c r="R112" s="776"/>
      <c r="S112" s="929"/>
      <c r="T112" s="776"/>
      <c r="U112" s="929"/>
      <c r="V112" s="773"/>
      <c r="W112" s="1064"/>
      <c r="X112" s="1078">
        <v>0.0</v>
      </c>
      <c r="Y112" s="255">
        <f t="shared" ref="Y112:Y113" si="243">K112+M112+O112+Q112+S112+U112+W112</f>
        <v>0</v>
      </c>
      <c r="Z112" s="244">
        <v>0.0</v>
      </c>
      <c r="AA112" s="412" t="str">
        <f t="shared" si="231"/>
        <v/>
      </c>
      <c r="AB112" s="413" t="str">
        <f>IFERROR(__xludf.DUMMYFUNCTION("IFERROR(SPARKLINE(AA112,{""charttype"",""bar"";""color1"",IF(AA112&gt;='Апрель'!green_percent,'Апрель'!green,IF(AA112&gt;='Апрель'!yellow_percent,'Апрель'!yellow,IF(AA112&gt;='Апрель'!orange_percent,'Апрель'!orange,'Апрель'!red)));""max"",1}))"),"")</f>
        <v/>
      </c>
      <c r="AC112" s="1079"/>
      <c r="AD112" s="1067"/>
      <c r="AE112" s="1079"/>
      <c r="AF112" s="1067"/>
      <c r="AG112" s="1079"/>
      <c r="AH112" s="1067"/>
      <c r="AI112" s="1079"/>
      <c r="AJ112" s="1067"/>
      <c r="AK112" s="1079"/>
      <c r="AL112" s="1067"/>
      <c r="AM112" s="1079"/>
      <c r="AN112" s="1068"/>
      <c r="AO112" s="1079"/>
      <c r="AP112" s="1069"/>
      <c r="AQ112" s="255">
        <v>0.0</v>
      </c>
      <c r="AR112" s="244">
        <v>0.0</v>
      </c>
      <c r="AS112" s="253"/>
      <c r="AT112" s="1080"/>
      <c r="AU112" s="711"/>
      <c r="AV112" s="1078"/>
      <c r="AW112" s="711"/>
      <c r="AX112" s="1078"/>
      <c r="AY112" s="711"/>
      <c r="AZ112" s="773"/>
      <c r="BA112" s="711"/>
      <c r="BB112" s="776"/>
      <c r="BC112" s="711"/>
      <c r="BD112" s="776"/>
      <c r="BE112" s="711"/>
      <c r="BF112" s="776"/>
      <c r="BG112" s="711"/>
      <c r="BH112" s="773"/>
      <c r="BI112" s="255"/>
      <c r="BJ112" s="244">
        <v>0.0</v>
      </c>
      <c r="BK112" s="253"/>
      <c r="BL112" s="427"/>
      <c r="BM112" s="1081"/>
      <c r="BN112" s="776"/>
      <c r="BO112" s="711"/>
      <c r="BP112" s="776"/>
      <c r="BQ112" s="711"/>
      <c r="BR112" s="776"/>
      <c r="BS112" s="711"/>
      <c r="BT112" s="776"/>
      <c r="BU112" s="711"/>
      <c r="BV112" s="776"/>
      <c r="BW112" s="711"/>
      <c r="BX112" s="776"/>
      <c r="BY112" s="711"/>
      <c r="BZ112" s="773"/>
      <c r="CA112" s="255"/>
      <c r="CB112" s="486"/>
      <c r="CC112" s="1089"/>
      <c r="CD112" s="318"/>
      <c r="CE112" s="1081"/>
      <c r="CF112" s="776"/>
      <c r="CG112" s="711"/>
      <c r="CH112" s="776"/>
      <c r="CI112" s="711"/>
      <c r="CJ112" s="776"/>
      <c r="CK112" s="711"/>
      <c r="CL112" s="776"/>
      <c r="CM112" s="261"/>
      <c r="CN112" s="875"/>
      <c r="CO112" s="261"/>
      <c r="CP112" s="875"/>
      <c r="CQ112" s="261"/>
      <c r="CR112" s="875"/>
      <c r="CS112" s="257"/>
      <c r="CT112" s="258"/>
      <c r="CU112" s="1087"/>
      <c r="CV112" s="1088"/>
      <c r="CW112" s="842"/>
      <c r="CX112" s="875"/>
      <c r="CY112" s="842"/>
      <c r="CZ112" s="875"/>
      <c r="DA112" s="875"/>
      <c r="DB112" s="875"/>
      <c r="DC112" s="875"/>
      <c r="DD112" s="875"/>
      <c r="DE112" s="875"/>
      <c r="DF112" s="875"/>
      <c r="DG112" s="875"/>
      <c r="DH112" s="875"/>
      <c r="DI112" s="875"/>
      <c r="DJ112" s="875"/>
      <c r="DK112" s="326"/>
      <c r="DL112" s="876"/>
      <c r="DM112" s="327"/>
      <c r="DN112" s="329"/>
      <c r="DO112" s="875"/>
      <c r="DP112" s="926"/>
    </row>
    <row r="113">
      <c r="A113" s="673"/>
      <c r="B113" s="934" t="s">
        <v>39</v>
      </c>
      <c r="C113" s="217"/>
      <c r="D113" s="217"/>
      <c r="E113" s="218"/>
      <c r="F113" s="270">
        <v>0.0</v>
      </c>
      <c r="G113" s="448">
        <f t="shared" si="242"/>
        <v>0</v>
      </c>
      <c r="H113" s="543" t="str">
        <f t="shared" si="234"/>
        <v/>
      </c>
      <c r="I113" s="462" t="str">
        <f>IFERROR(__xludf.DUMMYFUNCTION("IFERROR(SPARKLINE(H113,{""charttype"",""bar"";""color1"",IF(H113&gt;='Апрель'!green_percent,'Апрель'!green,IF(H113&gt;='Апрель'!yellow_percent,'Апрель'!yellow,IF(H113&gt;='Апрель'!orange_percent,'Апрель'!orange,'Апрель'!red)));""max"",1}))"),"")</f>
        <v/>
      </c>
      <c r="J113" s="927"/>
      <c r="K113" s="282"/>
      <c r="L113" s="930"/>
      <c r="M113" s="929"/>
      <c r="N113" s="776"/>
      <c r="O113" s="282"/>
      <c r="P113" s="931"/>
      <c r="Q113" s="929"/>
      <c r="R113" s="776"/>
      <c r="S113" s="929"/>
      <c r="T113" s="776"/>
      <c r="U113" s="929"/>
      <c r="V113" s="773"/>
      <c r="W113" s="1064"/>
      <c r="X113" s="1083"/>
      <c r="Y113" s="565">
        <f t="shared" si="243"/>
        <v>0</v>
      </c>
      <c r="Z113" s="563">
        <f>L113+N113+P113+R113+T113+V113+X113</f>
        <v>0</v>
      </c>
      <c r="AA113" s="220" t="str">
        <f t="shared" si="231"/>
        <v/>
      </c>
      <c r="AB113" s="449" t="str">
        <f>IFERROR(__xludf.DUMMYFUNCTION("IFERROR(SPARKLINE(AA113,{""charttype"",""bar"";""color1"",IF(AA113&gt;='Апрель'!green_percent,'Апрель'!green,IF(AA113&gt;='Апрель'!yellow_percent,'Апрель'!yellow,IF(AA113&gt;='Апрель'!orange_percent,'Апрель'!orange,'Апрель'!red)));""max"",1}))"),"")</f>
        <v/>
      </c>
      <c r="AC113" s="261"/>
      <c r="AD113" s="1067"/>
      <c r="AE113" s="261"/>
      <c r="AF113" s="1067"/>
      <c r="AG113" s="261"/>
      <c r="AH113" s="1067"/>
      <c r="AI113" s="261"/>
      <c r="AJ113" s="1067"/>
      <c r="AK113" s="261"/>
      <c r="AL113" s="1067"/>
      <c r="AM113" s="261"/>
      <c r="AN113" s="1068"/>
      <c r="AO113" s="261"/>
      <c r="AP113" s="1069"/>
      <c r="AQ113" s="565">
        <v>0.0</v>
      </c>
      <c r="AR113" s="464"/>
      <c r="AS113" s="279"/>
      <c r="AT113" s="1084"/>
      <c r="AU113" s="256"/>
      <c r="AV113" s="1083"/>
      <c r="AW113" s="256"/>
      <c r="AX113" s="1083"/>
      <c r="AY113" s="256"/>
      <c r="AZ113" s="773"/>
      <c r="BA113" s="256"/>
      <c r="BB113" s="776"/>
      <c r="BC113" s="256"/>
      <c r="BD113" s="776"/>
      <c r="BE113" s="256"/>
      <c r="BF113" s="776"/>
      <c r="BG113" s="256"/>
      <c r="BH113" s="773"/>
      <c r="BI113" s="349"/>
      <c r="BJ113" s="448">
        <v>0.0</v>
      </c>
      <c r="BK113" s="279"/>
      <c r="BL113" s="462"/>
      <c r="BM113" s="924"/>
      <c r="BN113" s="776"/>
      <c r="BO113" s="256"/>
      <c r="BP113" s="776"/>
      <c r="BQ113" s="256"/>
      <c r="BR113" s="776"/>
      <c r="BS113" s="256"/>
      <c r="BT113" s="776"/>
      <c r="BU113" s="256"/>
      <c r="BV113" s="776"/>
      <c r="BW113" s="256"/>
      <c r="BX113" s="776"/>
      <c r="BY113" s="256"/>
      <c r="BZ113" s="773"/>
      <c r="CA113" s="349"/>
      <c r="CB113" s="464"/>
      <c r="CC113" s="838"/>
      <c r="CD113" s="334"/>
      <c r="CE113" s="924"/>
      <c r="CF113" s="776"/>
      <c r="CG113" s="256"/>
      <c r="CH113" s="776"/>
      <c r="CI113" s="256"/>
      <c r="CJ113" s="776"/>
      <c r="CK113" s="256"/>
      <c r="CL113" s="776"/>
      <c r="CM113" s="261"/>
      <c r="CN113" s="843"/>
      <c r="CO113" s="261"/>
      <c r="CP113" s="843"/>
      <c r="CQ113" s="261"/>
      <c r="CR113" s="843"/>
      <c r="CS113" s="335"/>
      <c r="CT113" s="733"/>
      <c r="CU113" s="840"/>
      <c r="CV113" s="841"/>
      <c r="CW113" s="842"/>
      <c r="CX113" s="843"/>
      <c r="CY113" s="842"/>
      <c r="CZ113" s="843"/>
      <c r="DA113" s="843"/>
      <c r="DB113" s="843"/>
      <c r="DC113" s="843"/>
      <c r="DD113" s="843"/>
      <c r="DE113" s="843"/>
      <c r="DF113" s="843"/>
      <c r="DG113" s="843"/>
      <c r="DH113" s="843"/>
      <c r="DI113" s="843"/>
      <c r="DJ113" s="843"/>
      <c r="DK113" s="289"/>
      <c r="DL113" s="844"/>
      <c r="DM113" s="310"/>
      <c r="DN113" s="339"/>
      <c r="DO113" s="843"/>
      <c r="DP113" s="933"/>
    </row>
    <row r="114">
      <c r="A114" s="703"/>
      <c r="B114" s="951" t="s">
        <v>57</v>
      </c>
      <c r="C114" s="242"/>
      <c r="D114" s="242"/>
      <c r="E114" s="243"/>
      <c r="F114" s="244">
        <v>0.0</v>
      </c>
      <c r="G114" s="244" t="str">
        <f t="shared" ref="G114:G115" si="244">Z114</f>
        <v>#DIV/0!</v>
      </c>
      <c r="H114" s="704" t="str">
        <f t="shared" si="234"/>
        <v/>
      </c>
      <c r="I114" s="427" t="str">
        <f>IFERROR(__xludf.DUMMYFUNCTION("IFERROR(SPARKLINE(H114,{""charttype"",""bar"";""color1"",IF(H114&gt;='Апрель'!green_percent,'Апрель'!green,IF(H114&gt;='Апрель'!yellow_percent,'Апрель'!yellow,IF(H114&gt;='Апрель'!orange_percent,'Апрель'!orange,'Апрель'!red)));""max"",1}))"),"")</f>
        <v/>
      </c>
      <c r="J114" s="912"/>
      <c r="K114" s="1020"/>
      <c r="L114" s="930"/>
      <c r="M114" s="929"/>
      <c r="N114" s="776"/>
      <c r="O114" s="1020"/>
      <c r="P114" s="931"/>
      <c r="Q114" s="929"/>
      <c r="R114" s="776"/>
      <c r="S114" s="929"/>
      <c r="T114" s="776"/>
      <c r="U114" s="929"/>
      <c r="V114" s="773"/>
      <c r="W114" s="1064"/>
      <c r="X114" s="1078"/>
      <c r="Y114" s="313" t="str">
        <f>Y112/Y973</f>
        <v>#DIV/0!</v>
      </c>
      <c r="Z114" s="245" t="str">
        <f>Z112/Z107</f>
        <v>#DIV/0!</v>
      </c>
      <c r="AA114" s="412" t="str">
        <f t="shared" si="231"/>
        <v/>
      </c>
      <c r="AB114" s="413" t="str">
        <f>IFERROR(__xludf.DUMMYFUNCTION("IFERROR(SPARKLINE(AA114,{""charttype"",""bar"";""color1"",IF(AA114&gt;='Апрель'!green_percent,'Апрель'!green,IF(AA114&gt;='Апрель'!yellow_percent,'Апрель'!yellow,IF(AA114&gt;='Апрель'!orange_percent,'Апрель'!orange,'Апрель'!red)));""max"",1}))"),"")</f>
        <v/>
      </c>
      <c r="AC114" s="1079"/>
      <c r="AD114" s="1067"/>
      <c r="AE114" s="1079"/>
      <c r="AF114" s="1067"/>
      <c r="AG114" s="1079"/>
      <c r="AH114" s="1067"/>
      <c r="AI114" s="1079"/>
      <c r="AJ114" s="1067"/>
      <c r="AK114" s="1079"/>
      <c r="AL114" s="1067"/>
      <c r="AM114" s="1079"/>
      <c r="AN114" s="1068"/>
      <c r="AO114" s="1079"/>
      <c r="AP114" s="1069"/>
      <c r="AQ114" s="943" t="e">
        <v>#DIV/0!</v>
      </c>
      <c r="AR114" s="486"/>
      <c r="AS114" s="253"/>
      <c r="AT114" s="1080"/>
      <c r="AU114" s="711"/>
      <c r="AV114" s="1078"/>
      <c r="AW114" s="711"/>
      <c r="AX114" s="1078"/>
      <c r="AY114" s="711"/>
      <c r="AZ114" s="773"/>
      <c r="BA114" s="711"/>
      <c r="BB114" s="776"/>
      <c r="BC114" s="711"/>
      <c r="BD114" s="776"/>
      <c r="BE114" s="711"/>
      <c r="BF114" s="776"/>
      <c r="BG114" s="711"/>
      <c r="BH114" s="773"/>
      <c r="BI114" s="255"/>
      <c r="BJ114" s="244">
        <v>0.0</v>
      </c>
      <c r="BK114" s="253"/>
      <c r="BL114" s="427"/>
      <c r="BM114" s="1081"/>
      <c r="BN114" s="776"/>
      <c r="BO114" s="711"/>
      <c r="BP114" s="776"/>
      <c r="BQ114" s="711"/>
      <c r="BR114" s="776"/>
      <c r="BS114" s="711"/>
      <c r="BT114" s="776"/>
      <c r="BU114" s="711"/>
      <c r="BV114" s="776"/>
      <c r="BW114" s="711"/>
      <c r="BX114" s="776"/>
      <c r="BY114" s="711"/>
      <c r="BZ114" s="773"/>
      <c r="CA114" s="255"/>
      <c r="CB114" s="486"/>
      <c r="CC114" s="1089"/>
      <c r="CD114" s="318"/>
      <c r="CE114" s="1081"/>
      <c r="CF114" s="776"/>
      <c r="CG114" s="711"/>
      <c r="CH114" s="776"/>
      <c r="CI114" s="711"/>
      <c r="CJ114" s="776"/>
      <c r="CK114" s="711"/>
      <c r="CL114" s="776"/>
      <c r="CM114" s="261"/>
      <c r="CN114" s="875"/>
      <c r="CO114" s="261"/>
      <c r="CP114" s="875"/>
      <c r="CQ114" s="261"/>
      <c r="CR114" s="875"/>
      <c r="CS114" s="257"/>
      <c r="CT114" s="258"/>
      <c r="CU114" s="1087"/>
      <c r="CV114" s="1088"/>
      <c r="CW114" s="842"/>
      <c r="CX114" s="875"/>
      <c r="CY114" s="842"/>
      <c r="CZ114" s="875"/>
      <c r="DA114" s="875"/>
      <c r="DB114" s="875"/>
      <c r="DC114" s="875"/>
      <c r="DD114" s="875"/>
      <c r="DE114" s="875"/>
      <c r="DF114" s="875"/>
      <c r="DG114" s="875"/>
      <c r="DH114" s="875"/>
      <c r="DI114" s="875"/>
      <c r="DJ114" s="875"/>
      <c r="DK114" s="326"/>
      <c r="DL114" s="876"/>
      <c r="DM114" s="327"/>
      <c r="DN114" s="329"/>
      <c r="DO114" s="875"/>
      <c r="DP114" s="926"/>
    </row>
    <row r="115">
      <c r="A115" s="1090"/>
      <c r="B115" s="1091" t="s">
        <v>27</v>
      </c>
      <c r="C115" s="608"/>
      <c r="D115" s="608"/>
      <c r="E115" s="609"/>
      <c r="F115" s="611">
        <v>0.0</v>
      </c>
      <c r="G115" s="611">
        <f t="shared" si="244"/>
        <v>0</v>
      </c>
      <c r="H115" s="1092" t="str">
        <f t="shared" si="234"/>
        <v/>
      </c>
      <c r="I115" s="1093" t="str">
        <f>IFERROR(__xludf.DUMMYFUNCTION("IFERROR(SPARKLINE(H115,{""charttype"",""bar"";""color1"",IF(H115&gt;='Апрель'!green_percent,'Апрель'!green,IF(H115&gt;='Апрель'!yellow_percent,'Апрель'!yellow,IF(H115&gt;='Апрель'!orange_percent,'Апрель'!orange,'Апрель'!red)));""max"",1}))"),"")</f>
        <v/>
      </c>
      <c r="J115" s="965"/>
      <c r="K115" s="1094"/>
      <c r="L115" s="1095"/>
      <c r="M115" s="1096"/>
      <c r="N115" s="865"/>
      <c r="O115" s="1094"/>
      <c r="P115" s="972"/>
      <c r="Q115" s="1096"/>
      <c r="R115" s="865"/>
      <c r="S115" s="1096"/>
      <c r="T115" s="865"/>
      <c r="U115" s="1096"/>
      <c r="V115" s="1097"/>
      <c r="W115" s="1098"/>
      <c r="X115" s="1099"/>
      <c r="Y115" s="623">
        <f t="shared" ref="Y115:Z115" si="245">K115+M115+O115+Q115+S115+U115+W115</f>
        <v>0</v>
      </c>
      <c r="Z115" s="624">
        <f t="shared" si="245"/>
        <v>0</v>
      </c>
      <c r="AA115" s="612" t="str">
        <f t="shared" si="231"/>
        <v/>
      </c>
      <c r="AB115" s="613" t="str">
        <f>IFERROR(__xludf.DUMMYFUNCTION("IFERROR(SPARKLINE(AA115,{""charttype"",""bar"";""color1"",IF(AA115&gt;='Апрель'!green_percent,'Апрель'!green,IF(AA115&gt;='Апрель'!yellow_percent,'Апрель'!yellow,IF(AA115&gt;='Апрель'!orange_percent,'Апрель'!orange,'Апрель'!red)));""max"",1}))"),"")</f>
        <v/>
      </c>
      <c r="AC115" s="1100"/>
      <c r="AD115" s="1101"/>
      <c r="AE115" s="1100"/>
      <c r="AF115" s="1101"/>
      <c r="AG115" s="1100"/>
      <c r="AH115" s="1101"/>
      <c r="AI115" s="1100"/>
      <c r="AJ115" s="1101"/>
      <c r="AK115" s="1100"/>
      <c r="AL115" s="1101"/>
      <c r="AM115" s="1100"/>
      <c r="AN115" s="1102"/>
      <c r="AO115" s="1100"/>
      <c r="AP115" s="1103"/>
      <c r="AQ115" s="623">
        <v>0.0</v>
      </c>
      <c r="AR115" s="1104"/>
      <c r="AS115" s="1105"/>
      <c r="AT115" s="1106"/>
      <c r="AU115" s="367"/>
      <c r="AV115" s="1107"/>
      <c r="AW115" s="367"/>
      <c r="AX115" s="1107"/>
      <c r="AY115" s="367"/>
      <c r="AZ115" s="1097"/>
      <c r="BA115" s="367"/>
      <c r="BB115" s="865"/>
      <c r="BC115" s="367"/>
      <c r="BD115" s="865"/>
      <c r="BE115" s="367"/>
      <c r="BF115" s="865"/>
      <c r="BG115" s="367"/>
      <c r="BH115" s="1097"/>
      <c r="BI115" s="1108"/>
      <c r="BJ115" s="980">
        <v>0.0</v>
      </c>
      <c r="BK115" s="629"/>
      <c r="BL115" s="630"/>
      <c r="BM115" s="984"/>
      <c r="BN115" s="849"/>
      <c r="BO115" s="983"/>
      <c r="BP115" s="849"/>
      <c r="BQ115" s="983"/>
      <c r="BR115" s="849"/>
      <c r="BS115" s="983"/>
      <c r="BT115" s="849"/>
      <c r="BU115" s="983"/>
      <c r="BV115" s="849"/>
      <c r="BW115" s="983"/>
      <c r="BX115" s="849"/>
      <c r="BY115" s="983"/>
      <c r="BZ115" s="820"/>
      <c r="CA115" s="1109"/>
      <c r="CB115" s="1104"/>
      <c r="CC115" s="1110"/>
      <c r="CD115" s="1111"/>
      <c r="CE115" s="984"/>
      <c r="CF115" s="849"/>
      <c r="CG115" s="983"/>
      <c r="CH115" s="849"/>
      <c r="CI115" s="983"/>
      <c r="CJ115" s="849"/>
      <c r="CK115" s="983"/>
      <c r="CL115" s="849"/>
      <c r="CM115" s="321"/>
      <c r="CN115" s="843"/>
      <c r="CO115" s="1100"/>
      <c r="CP115" s="957"/>
      <c r="CQ115" s="1100"/>
      <c r="CR115" s="957"/>
      <c r="CS115" s="1112"/>
      <c r="CT115" s="1113"/>
      <c r="CU115" s="1114"/>
      <c r="CV115" s="1115"/>
      <c r="CW115" s="956"/>
      <c r="CX115" s="957"/>
      <c r="CY115" s="956"/>
      <c r="CZ115" s="957"/>
      <c r="DA115" s="957"/>
      <c r="DB115" s="957"/>
      <c r="DC115" s="957"/>
      <c r="DD115" s="957"/>
      <c r="DE115" s="957"/>
      <c r="DF115" s="957"/>
      <c r="DG115" s="957"/>
      <c r="DH115" s="957"/>
      <c r="DI115" s="957"/>
      <c r="DJ115" s="957"/>
      <c r="DK115" s="958"/>
      <c r="DL115" s="959"/>
      <c r="DM115" s="960"/>
      <c r="DN115" s="961"/>
      <c r="DO115" s="957"/>
      <c r="DP115" s="962"/>
    </row>
    <row r="116" hidden="1">
      <c r="A116" s="1056" t="s">
        <v>65</v>
      </c>
      <c r="B116" s="645" t="s">
        <v>20</v>
      </c>
      <c r="C116" s="646"/>
      <c r="D116" s="646"/>
      <c r="E116" s="670"/>
      <c r="F116" s="1116">
        <f>F117/F126</f>
        <v>2</v>
      </c>
      <c r="G116" s="648" t="str">
        <f>G114/G109</f>
        <v>#DIV/0!</v>
      </c>
      <c r="H116" s="1117" t="str">
        <f t="shared" si="234"/>
        <v/>
      </c>
      <c r="I116" s="1118" t="str">
        <f>IFERROR(__xludf.DUMMYFUNCTION("IFERROR(SPARKLINE(H116,{""charttype"",""bar"";""color1"",IF(H116&gt;='Апрель'!green_percent,'Апрель'!green,IF(H116&gt;='Апрель'!yellow_percent,'Апрель'!yellow,IF(H116&gt;='Апрель'!orange_percent,'Апрель'!orange,'Апрель'!red)));""max"",1}))"),"")</f>
        <v/>
      </c>
      <c r="J116" s="1119"/>
      <c r="K116" s="992"/>
      <c r="L116" s="889"/>
      <c r="M116" s="887"/>
      <c r="N116" s="890"/>
      <c r="O116" s="992"/>
      <c r="P116" s="889"/>
      <c r="Q116" s="887"/>
      <c r="R116" s="890"/>
      <c r="S116" s="887"/>
      <c r="T116" s="890"/>
      <c r="U116" s="887"/>
      <c r="V116" s="888"/>
      <c r="W116" s="1120"/>
      <c r="X116" s="1121"/>
      <c r="Y116" s="491"/>
      <c r="Z116" s="1122"/>
      <c r="AA116" s="429"/>
      <c r="AB116" s="430"/>
      <c r="AC116" s="1079"/>
      <c r="AD116" s="1067"/>
      <c r="AE116" s="1079"/>
      <c r="AF116" s="1067"/>
      <c r="AG116" s="1079"/>
      <c r="AH116" s="1067"/>
      <c r="AI116" s="1079"/>
      <c r="AJ116" s="1067"/>
      <c r="AK116" s="1079"/>
      <c r="AL116" s="1067"/>
      <c r="AM116" s="1079"/>
      <c r="AN116" s="1068"/>
      <c r="AO116" s="1079"/>
      <c r="AP116" s="1069"/>
      <c r="AQ116" s="1123"/>
      <c r="AR116" s="1003"/>
      <c r="AS116" s="1004"/>
      <c r="AT116" s="1005"/>
      <c r="AU116" s="1007"/>
      <c r="AV116" s="995"/>
      <c r="AW116" s="1007"/>
      <c r="AX116" s="995"/>
      <c r="AY116" s="1007"/>
      <c r="AZ116" s="890"/>
      <c r="BA116" s="1007"/>
      <c r="BB116" s="890"/>
      <c r="BC116" s="1007"/>
      <c r="BD116" s="890"/>
      <c r="BE116" s="1007"/>
      <c r="BF116" s="890"/>
      <c r="BG116" s="1007"/>
      <c r="BH116" s="1124"/>
      <c r="BI116" s="1123"/>
      <c r="BJ116" s="1003"/>
      <c r="BK116" s="1004"/>
      <c r="BL116" s="1005"/>
      <c r="BM116" s="1007"/>
      <c r="BN116" s="1008"/>
      <c r="BO116" s="1007"/>
      <c r="BP116" s="1009"/>
      <c r="BQ116" s="1007"/>
      <c r="BR116" s="1010"/>
      <c r="BS116" s="1007"/>
      <c r="BT116" s="1010"/>
      <c r="BU116" s="1007"/>
      <c r="BV116" s="1010"/>
      <c r="BW116" s="1007"/>
      <c r="BX116" s="1010"/>
      <c r="BY116" s="1007"/>
      <c r="BZ116" s="1010"/>
      <c r="CA116" s="1123"/>
      <c r="CB116" s="1003"/>
      <c r="CC116" s="1125"/>
      <c r="CD116" s="991"/>
      <c r="CE116" s="1007"/>
      <c r="CF116" s="1008"/>
      <c r="CG116" s="1007"/>
      <c r="CH116" s="1008"/>
      <c r="CI116" s="1007"/>
      <c r="CJ116" s="1008"/>
      <c r="CK116" s="1007"/>
      <c r="CL116" s="1008"/>
      <c r="CM116" s="1011"/>
      <c r="CN116" s="1008"/>
      <c r="CO116" s="261"/>
      <c r="CP116" s="875"/>
      <c r="CQ116" s="261"/>
      <c r="CR116" s="875"/>
      <c r="CS116" s="1126"/>
      <c r="CT116" s="1126"/>
      <c r="CU116" s="1127"/>
      <c r="CV116" s="1127"/>
      <c r="CW116" s="842"/>
      <c r="CX116" s="875"/>
      <c r="CY116" s="842"/>
      <c r="CZ116" s="875"/>
      <c r="DA116" s="875"/>
      <c r="DB116" s="875"/>
      <c r="DC116" s="875"/>
      <c r="DD116" s="875"/>
      <c r="DE116" s="875"/>
      <c r="DF116" s="875"/>
      <c r="DG116" s="875"/>
      <c r="DH116" s="875"/>
      <c r="DI116" s="875"/>
      <c r="DJ116" s="875"/>
      <c r="DK116" s="326"/>
      <c r="DL116" s="876"/>
      <c r="DM116" s="327"/>
      <c r="DN116" s="329"/>
      <c r="DO116" s="875"/>
      <c r="DP116" s="875"/>
    </row>
    <row r="117" hidden="1">
      <c r="A117" s="673"/>
      <c r="B117" s="1082" t="s">
        <v>66</v>
      </c>
      <c r="C117" s="374"/>
      <c r="D117" s="374"/>
      <c r="E117" s="1128"/>
      <c r="F117" s="270">
        <v>100000.0</v>
      </c>
      <c r="G117" s="270" t="str">
        <f>Z117</f>
        <v/>
      </c>
      <c r="H117" s="543">
        <f t="shared" si="234"/>
        <v>0</v>
      </c>
      <c r="I117" s="675" t="str">
        <f>IFERROR(__xludf.DUMMYFUNCTION("IFERROR(SPARKLINE(H117,{""charttype"",""bar"";""color1"",IF(H117&gt;='Апрель'!green_percent,'Апрель'!green,IF(H117&gt;='Апрель'!yellow_percent,'Апрель'!yellow,IF(H117&gt;='Апрель'!orange_percent,'Апрель'!orange,'Апрель'!red)));""max"",1}))"),"")</f>
        <v/>
      </c>
      <c r="J117" s="1119"/>
      <c r="K117" s="282"/>
      <c r="L117" s="931"/>
      <c r="M117" s="929"/>
      <c r="N117" s="776"/>
      <c r="O117" s="282"/>
      <c r="P117" s="931"/>
      <c r="Q117" s="929"/>
      <c r="R117" s="776"/>
      <c r="S117" s="929"/>
      <c r="T117" s="776"/>
      <c r="U117" s="929"/>
      <c r="V117" s="773"/>
      <c r="W117" s="1129"/>
      <c r="X117" s="1083"/>
      <c r="Y117" s="349"/>
      <c r="Z117" s="464"/>
      <c r="AA117" s="376"/>
      <c r="AB117" s="377"/>
      <c r="AC117" s="261"/>
      <c r="AD117" s="1067"/>
      <c r="AE117" s="261"/>
      <c r="AF117" s="1067"/>
      <c r="AG117" s="261"/>
      <c r="AH117" s="1067"/>
      <c r="AI117" s="261"/>
      <c r="AJ117" s="1067"/>
      <c r="AK117" s="261"/>
      <c r="AL117" s="1067"/>
      <c r="AM117" s="261"/>
      <c r="AN117" s="1068"/>
      <c r="AO117" s="261"/>
      <c r="AP117" s="1069"/>
      <c r="AQ117" s="349"/>
      <c r="AR117" s="464"/>
      <c r="AS117" s="279"/>
      <c r="AT117" s="462"/>
      <c r="AU117" s="256"/>
      <c r="AV117" s="463"/>
      <c r="AW117" s="256"/>
      <c r="AX117" s="463"/>
      <c r="AY117" s="256"/>
      <c r="AZ117" s="776"/>
      <c r="BA117" s="256"/>
      <c r="BB117" s="776"/>
      <c r="BC117" s="256"/>
      <c r="BD117" s="776"/>
      <c r="BE117" s="256"/>
      <c r="BF117" s="776"/>
      <c r="BG117" s="256"/>
      <c r="BH117" s="1083"/>
      <c r="BI117" s="349"/>
      <c r="BJ117" s="464"/>
      <c r="BK117" s="279"/>
      <c r="BL117" s="462"/>
      <c r="BM117" s="256"/>
      <c r="BN117" s="466"/>
      <c r="BO117" s="256"/>
      <c r="BP117" s="465"/>
      <c r="BQ117" s="256"/>
      <c r="BR117" s="465"/>
      <c r="BS117" s="256"/>
      <c r="BT117" s="465"/>
      <c r="BU117" s="256"/>
      <c r="BV117" s="465"/>
      <c r="BW117" s="256"/>
      <c r="BX117" s="465"/>
      <c r="BY117" s="256"/>
      <c r="BZ117" s="465"/>
      <c r="CA117" s="349"/>
      <c r="CB117" s="464"/>
      <c r="CC117" s="838"/>
      <c r="CD117" s="334"/>
      <c r="CE117" s="256"/>
      <c r="CF117" s="466"/>
      <c r="CG117" s="256"/>
      <c r="CH117" s="466"/>
      <c r="CI117" s="256"/>
      <c r="CJ117" s="466"/>
      <c r="CK117" s="256"/>
      <c r="CL117" s="466"/>
      <c r="CM117" s="256"/>
      <c r="CN117" s="466"/>
      <c r="CO117" s="261"/>
      <c r="CP117" s="843"/>
      <c r="CQ117" s="261"/>
      <c r="CR117" s="843"/>
      <c r="CS117" s="733"/>
      <c r="CT117" s="733"/>
      <c r="CU117" s="840"/>
      <c r="CV117" s="840"/>
      <c r="CW117" s="842"/>
      <c r="CX117" s="843"/>
      <c r="CY117" s="842"/>
      <c r="CZ117" s="843"/>
      <c r="DA117" s="843"/>
      <c r="DB117" s="843"/>
      <c r="DC117" s="843"/>
      <c r="DD117" s="843"/>
      <c r="DE117" s="843"/>
      <c r="DF117" s="843"/>
      <c r="DG117" s="843"/>
      <c r="DH117" s="843"/>
      <c r="DI117" s="843"/>
      <c r="DJ117" s="843"/>
      <c r="DK117" s="289"/>
      <c r="DL117" s="844"/>
      <c r="DM117" s="310"/>
      <c r="DN117" s="339"/>
      <c r="DO117" s="843"/>
      <c r="DP117" s="843"/>
    </row>
    <row r="118" hidden="1">
      <c r="A118" s="703"/>
      <c r="B118" s="579" t="s">
        <v>67</v>
      </c>
      <c r="C118" s="242"/>
      <c r="D118" s="242"/>
      <c r="E118" s="1130"/>
      <c r="F118" s="1131">
        <v>40.0</v>
      </c>
      <c r="G118" s="438">
        <f>SUMIFS(O118:DN118,$O$11:$DN$11,"Факт",$O$3:$DN$3,"&gt;"&amp;EOMONTH('Апрель'!date,-1),$O$3:$DN$3,"&lt;="&amp;EOMONTH('Апрель'!date,0))</f>
        <v>0</v>
      </c>
      <c r="H118" s="1132"/>
      <c r="I118" s="1133"/>
      <c r="J118" s="1119"/>
      <c r="K118" s="1020"/>
      <c r="L118" s="931"/>
      <c r="M118" s="929"/>
      <c r="N118" s="776"/>
      <c r="O118" s="1020"/>
      <c r="P118" s="931"/>
      <c r="Q118" s="929"/>
      <c r="R118" s="776"/>
      <c r="S118" s="929"/>
      <c r="T118" s="776"/>
      <c r="U118" s="929"/>
      <c r="V118" s="773"/>
      <c r="W118" s="1129"/>
      <c r="X118" s="1078"/>
      <c r="Y118" s="255"/>
      <c r="Z118" s="486"/>
      <c r="AA118" s="429"/>
      <c r="AB118" s="430"/>
      <c r="AC118" s="1079"/>
      <c r="AD118" s="1067"/>
      <c r="AE118" s="1079"/>
      <c r="AF118" s="1067"/>
      <c r="AG118" s="1079"/>
      <c r="AH118" s="1067"/>
      <c r="AI118" s="1079"/>
      <c r="AJ118" s="1067"/>
      <c r="AK118" s="1079"/>
      <c r="AL118" s="1067"/>
      <c r="AM118" s="1079"/>
      <c r="AN118" s="1068"/>
      <c r="AO118" s="1079"/>
      <c r="AP118" s="1069"/>
      <c r="AQ118" s="255"/>
      <c r="AR118" s="486"/>
      <c r="AS118" s="253"/>
      <c r="AT118" s="427"/>
      <c r="AU118" s="711"/>
      <c r="AV118" s="822"/>
      <c r="AW118" s="711"/>
      <c r="AX118" s="822"/>
      <c r="AY118" s="711"/>
      <c r="AZ118" s="776"/>
      <c r="BA118" s="711"/>
      <c r="BB118" s="776"/>
      <c r="BC118" s="711"/>
      <c r="BD118" s="776"/>
      <c r="BE118" s="711"/>
      <c r="BF118" s="776"/>
      <c r="BG118" s="711"/>
      <c r="BH118" s="1078"/>
      <c r="BI118" s="255"/>
      <c r="BJ118" s="486"/>
      <c r="BK118" s="253"/>
      <c r="BL118" s="427"/>
      <c r="BM118" s="711"/>
      <c r="BN118" s="710"/>
      <c r="BO118" s="711"/>
      <c r="BP118" s="465"/>
      <c r="BQ118" s="711"/>
      <c r="BR118" s="716"/>
      <c r="BS118" s="711"/>
      <c r="BT118" s="716"/>
      <c r="BU118" s="711"/>
      <c r="BV118" s="716"/>
      <c r="BW118" s="711"/>
      <c r="BX118" s="716"/>
      <c r="BY118" s="711"/>
      <c r="BZ118" s="716"/>
      <c r="CA118" s="255"/>
      <c r="CB118" s="486"/>
      <c r="CC118" s="1089"/>
      <c r="CD118" s="318"/>
      <c r="CE118" s="711"/>
      <c r="CF118" s="710"/>
      <c r="CG118" s="711"/>
      <c r="CH118" s="710"/>
      <c r="CI118" s="711"/>
      <c r="CJ118" s="710"/>
      <c r="CK118" s="711"/>
      <c r="CL118" s="710"/>
      <c r="CM118" s="256"/>
      <c r="CN118" s="710"/>
      <c r="CO118" s="261"/>
      <c r="CP118" s="875"/>
      <c r="CQ118" s="261"/>
      <c r="CR118" s="875"/>
      <c r="CS118" s="258"/>
      <c r="CT118" s="258"/>
      <c r="CU118" s="1087"/>
      <c r="CV118" s="1087"/>
      <c r="CW118" s="842"/>
      <c r="CX118" s="875"/>
      <c r="CY118" s="842"/>
      <c r="CZ118" s="875"/>
      <c r="DA118" s="875"/>
      <c r="DB118" s="875"/>
      <c r="DC118" s="875"/>
      <c r="DD118" s="875"/>
      <c r="DE118" s="875"/>
      <c r="DF118" s="875"/>
      <c r="DG118" s="875"/>
      <c r="DH118" s="875"/>
      <c r="DI118" s="875"/>
      <c r="DJ118" s="875"/>
      <c r="DK118" s="326"/>
      <c r="DL118" s="876"/>
      <c r="DM118" s="327"/>
      <c r="DN118" s="329"/>
      <c r="DO118" s="875"/>
      <c r="DP118" s="875"/>
    </row>
    <row r="119" hidden="1">
      <c r="A119" s="673"/>
      <c r="B119" s="724" t="s">
        <v>68</v>
      </c>
      <c r="C119" s="217"/>
      <c r="D119" s="217"/>
      <c r="E119" s="1134"/>
      <c r="F119" s="939">
        <v>5.0</v>
      </c>
      <c r="G119" s="400">
        <f>SUMIFS(O119:DN119,$O$11:$DN$11,"Факт",$O$3:$DN$3,"&gt;"&amp;EOMONTH('Апрель'!date,-1),$O$3:$DN$3,"&lt;="&amp;EOMONTH('Апрель'!date,0))</f>
        <v>0</v>
      </c>
      <c r="H119" s="384"/>
      <c r="I119" s="1135"/>
      <c r="J119" s="1119"/>
      <c r="K119" s="282"/>
      <c r="L119" s="931"/>
      <c r="M119" s="929"/>
      <c r="N119" s="776"/>
      <c r="O119" s="282"/>
      <c r="P119" s="931"/>
      <c r="Q119" s="929"/>
      <c r="R119" s="776"/>
      <c r="S119" s="929"/>
      <c r="T119" s="776"/>
      <c r="U119" s="929"/>
      <c r="V119" s="773">
        <v>0.0</v>
      </c>
      <c r="W119" s="1129"/>
      <c r="X119" s="1083">
        <v>0.0</v>
      </c>
      <c r="Y119" s="349"/>
      <c r="Z119" s="464"/>
      <c r="AA119" s="376"/>
      <c r="AB119" s="377"/>
      <c r="AC119" s="261"/>
      <c r="AD119" s="1067"/>
      <c r="AE119" s="261"/>
      <c r="AF119" s="1067"/>
      <c r="AG119" s="261"/>
      <c r="AH119" s="1067"/>
      <c r="AI119" s="261"/>
      <c r="AJ119" s="1067"/>
      <c r="AK119" s="261"/>
      <c r="AL119" s="1067"/>
      <c r="AM119" s="261"/>
      <c r="AN119" s="1068"/>
      <c r="AO119" s="261"/>
      <c r="AP119" s="1069"/>
      <c r="AQ119" s="349"/>
      <c r="AR119" s="464"/>
      <c r="AS119" s="279"/>
      <c r="AT119" s="462"/>
      <c r="AU119" s="256"/>
      <c r="AV119" s="463"/>
      <c r="AW119" s="256"/>
      <c r="AX119" s="463"/>
      <c r="AY119" s="256"/>
      <c r="AZ119" s="776"/>
      <c r="BA119" s="256"/>
      <c r="BB119" s="776"/>
      <c r="BC119" s="256"/>
      <c r="BD119" s="776"/>
      <c r="BE119" s="256"/>
      <c r="BF119" s="776"/>
      <c r="BG119" s="256"/>
      <c r="BH119" s="1083"/>
      <c r="BI119" s="349"/>
      <c r="BJ119" s="464"/>
      <c r="BK119" s="279"/>
      <c r="BL119" s="462"/>
      <c r="BM119" s="256"/>
      <c r="BN119" s="466"/>
      <c r="BO119" s="256"/>
      <c r="BP119" s="465"/>
      <c r="BQ119" s="256"/>
      <c r="BR119" s="465"/>
      <c r="BS119" s="256"/>
      <c r="BT119" s="465"/>
      <c r="BU119" s="256"/>
      <c r="BV119" s="465"/>
      <c r="BW119" s="256"/>
      <c r="BX119" s="465"/>
      <c r="BY119" s="256"/>
      <c r="BZ119" s="465"/>
      <c r="CA119" s="349"/>
      <c r="CB119" s="464"/>
      <c r="CC119" s="838"/>
      <c r="CD119" s="334"/>
      <c r="CE119" s="256"/>
      <c r="CF119" s="466"/>
      <c r="CG119" s="256"/>
      <c r="CH119" s="466"/>
      <c r="CI119" s="256"/>
      <c r="CJ119" s="466"/>
      <c r="CK119" s="256"/>
      <c r="CL119" s="466"/>
      <c r="CM119" s="256"/>
      <c r="CN119" s="466"/>
      <c r="CO119" s="261"/>
      <c r="CP119" s="843"/>
      <c r="CQ119" s="261"/>
      <c r="CR119" s="843"/>
      <c r="CS119" s="733"/>
      <c r="CT119" s="733"/>
      <c r="CU119" s="840"/>
      <c r="CV119" s="840"/>
      <c r="CW119" s="842"/>
      <c r="CX119" s="843"/>
      <c r="CY119" s="842"/>
      <c r="CZ119" s="843"/>
      <c r="DA119" s="843"/>
      <c r="DB119" s="843"/>
      <c r="DC119" s="843"/>
      <c r="DD119" s="843"/>
      <c r="DE119" s="843"/>
      <c r="DF119" s="843"/>
      <c r="DG119" s="843"/>
      <c r="DH119" s="843"/>
      <c r="DI119" s="843"/>
      <c r="DJ119" s="843"/>
      <c r="DK119" s="289"/>
      <c r="DL119" s="844"/>
      <c r="DM119" s="310"/>
      <c r="DN119" s="339"/>
      <c r="DO119" s="843"/>
      <c r="DP119" s="843"/>
    </row>
    <row r="120" hidden="1">
      <c r="A120" s="703"/>
      <c r="B120" s="579" t="s">
        <v>22</v>
      </c>
      <c r="C120" s="242"/>
      <c r="D120" s="242"/>
      <c r="E120" s="1130"/>
      <c r="F120" s="1131">
        <f>F117/F118</f>
        <v>2500</v>
      </c>
      <c r="G120" s="438">
        <f>SUMIFS(O120:DN120,$O$11:$DN$11,"Факт",$O$3:$DN$3,"&gt;"&amp;EOMONTH('Апрель'!date,-1),$O$3:$DN$3,"&lt;="&amp;EOMONTH('Апрель'!date,0))</f>
        <v>0</v>
      </c>
      <c r="H120" s="1132"/>
      <c r="I120" s="1133"/>
      <c r="J120" s="1119"/>
      <c r="K120" s="1020"/>
      <c r="L120" s="931"/>
      <c r="M120" s="929"/>
      <c r="N120" s="776"/>
      <c r="O120" s="1020"/>
      <c r="P120" s="931"/>
      <c r="Q120" s="929"/>
      <c r="R120" s="776"/>
      <c r="S120" s="929"/>
      <c r="T120" s="776"/>
      <c r="U120" s="929"/>
      <c r="V120" s="773"/>
      <c r="W120" s="1129"/>
      <c r="X120" s="1078"/>
      <c r="Y120" s="255"/>
      <c r="Z120" s="486"/>
      <c r="AA120" s="429"/>
      <c r="AB120" s="430"/>
      <c r="AC120" s="1079"/>
      <c r="AD120" s="1067"/>
      <c r="AE120" s="1079"/>
      <c r="AF120" s="1067"/>
      <c r="AG120" s="1079"/>
      <c r="AH120" s="1067"/>
      <c r="AI120" s="1079"/>
      <c r="AJ120" s="1067"/>
      <c r="AK120" s="1079"/>
      <c r="AL120" s="1067"/>
      <c r="AM120" s="1079"/>
      <c r="AN120" s="1068"/>
      <c r="AO120" s="1079"/>
      <c r="AP120" s="1069"/>
      <c r="AQ120" s="255"/>
      <c r="AR120" s="486"/>
      <c r="AS120" s="253"/>
      <c r="AT120" s="427"/>
      <c r="AU120" s="711"/>
      <c r="AV120" s="822"/>
      <c r="AW120" s="711"/>
      <c r="AX120" s="822"/>
      <c r="AY120" s="711"/>
      <c r="AZ120" s="776"/>
      <c r="BA120" s="711"/>
      <c r="BB120" s="776"/>
      <c r="BC120" s="711"/>
      <c r="BD120" s="776"/>
      <c r="BE120" s="711"/>
      <c r="BF120" s="776"/>
      <c r="BG120" s="711"/>
      <c r="BH120" s="1078"/>
      <c r="BI120" s="255"/>
      <c r="BJ120" s="486"/>
      <c r="BK120" s="253"/>
      <c r="BL120" s="427"/>
      <c r="BM120" s="711"/>
      <c r="BN120" s="710"/>
      <c r="BO120" s="711"/>
      <c r="BP120" s="465"/>
      <c r="BQ120" s="711"/>
      <c r="BR120" s="716"/>
      <c r="BS120" s="711"/>
      <c r="BT120" s="716"/>
      <c r="BU120" s="711"/>
      <c r="BV120" s="716"/>
      <c r="BW120" s="711"/>
      <c r="BX120" s="716"/>
      <c r="BY120" s="711"/>
      <c r="BZ120" s="716"/>
      <c r="CA120" s="255"/>
      <c r="CB120" s="486"/>
      <c r="CC120" s="1089"/>
      <c r="CD120" s="318"/>
      <c r="CE120" s="711"/>
      <c r="CF120" s="710"/>
      <c r="CG120" s="711"/>
      <c r="CH120" s="710"/>
      <c r="CI120" s="711"/>
      <c r="CJ120" s="710"/>
      <c r="CK120" s="711"/>
      <c r="CL120" s="710"/>
      <c r="CM120" s="256"/>
      <c r="CN120" s="710"/>
      <c r="CO120" s="261"/>
      <c r="CP120" s="875"/>
      <c r="CQ120" s="261"/>
      <c r="CR120" s="875"/>
      <c r="CS120" s="258"/>
      <c r="CT120" s="258"/>
      <c r="CU120" s="1087"/>
      <c r="CV120" s="1087"/>
      <c r="CW120" s="842"/>
      <c r="CX120" s="875"/>
      <c r="CY120" s="842"/>
      <c r="CZ120" s="875"/>
      <c r="DA120" s="875"/>
      <c r="DB120" s="875"/>
      <c r="DC120" s="875"/>
      <c r="DD120" s="875"/>
      <c r="DE120" s="875"/>
      <c r="DF120" s="875"/>
      <c r="DG120" s="875"/>
      <c r="DH120" s="875"/>
      <c r="DI120" s="875"/>
      <c r="DJ120" s="875"/>
      <c r="DK120" s="326"/>
      <c r="DL120" s="876"/>
      <c r="DM120" s="327"/>
      <c r="DN120" s="329"/>
      <c r="DO120" s="875"/>
      <c r="DP120" s="875"/>
    </row>
    <row r="121" hidden="1">
      <c r="A121" s="673"/>
      <c r="B121" s="724" t="s">
        <v>69</v>
      </c>
      <c r="C121" s="217"/>
      <c r="D121" s="217"/>
      <c r="E121" s="1134"/>
      <c r="F121" s="1136">
        <f>F119/F118</f>
        <v>0.125</v>
      </c>
      <c r="G121" s="270">
        <f>SUMIFS(O121:DN121,$O$11:$DN$11,"Факт",$O$3:$DN$3,"&gt;"&amp;EOMONTH('Апрель'!date,-1),$O$3:$DN$3,"&lt;="&amp;EOMONTH('Апрель'!date,0))</f>
        <v>0</v>
      </c>
      <c r="H121" s="384"/>
      <c r="I121" s="1135"/>
      <c r="J121" s="1119"/>
      <c r="K121" s="282"/>
      <c r="L121" s="931"/>
      <c r="M121" s="929"/>
      <c r="N121" s="776"/>
      <c r="O121" s="282"/>
      <c r="P121" s="931"/>
      <c r="Q121" s="929"/>
      <c r="R121" s="776"/>
      <c r="S121" s="929"/>
      <c r="T121" s="776"/>
      <c r="U121" s="929"/>
      <c r="V121" s="773"/>
      <c r="W121" s="1129"/>
      <c r="X121" s="1083"/>
      <c r="Y121" s="349"/>
      <c r="Z121" s="464"/>
      <c r="AA121" s="376"/>
      <c r="AB121" s="377"/>
      <c r="AC121" s="261"/>
      <c r="AD121" s="1067"/>
      <c r="AE121" s="261"/>
      <c r="AF121" s="1067"/>
      <c r="AG121" s="261"/>
      <c r="AH121" s="1067"/>
      <c r="AI121" s="261"/>
      <c r="AJ121" s="1067"/>
      <c r="AK121" s="261"/>
      <c r="AL121" s="1067"/>
      <c r="AM121" s="261"/>
      <c r="AN121" s="1068"/>
      <c r="AO121" s="261"/>
      <c r="AP121" s="1069"/>
      <c r="AQ121" s="349"/>
      <c r="AR121" s="464"/>
      <c r="AS121" s="279"/>
      <c r="AT121" s="462"/>
      <c r="AU121" s="256"/>
      <c r="AV121" s="463"/>
      <c r="AW121" s="256"/>
      <c r="AX121" s="463"/>
      <c r="AY121" s="256"/>
      <c r="AZ121" s="776"/>
      <c r="BA121" s="256"/>
      <c r="BB121" s="776"/>
      <c r="BC121" s="256"/>
      <c r="BD121" s="776"/>
      <c r="BE121" s="256"/>
      <c r="BF121" s="776"/>
      <c r="BG121" s="256"/>
      <c r="BH121" s="1083"/>
      <c r="BI121" s="349"/>
      <c r="BJ121" s="464"/>
      <c r="BK121" s="279"/>
      <c r="BL121" s="462"/>
      <c r="BM121" s="256"/>
      <c r="BN121" s="466"/>
      <c r="BO121" s="256"/>
      <c r="BP121" s="465"/>
      <c r="BQ121" s="256"/>
      <c r="BR121" s="465"/>
      <c r="BS121" s="256"/>
      <c r="BT121" s="465"/>
      <c r="BU121" s="256"/>
      <c r="BV121" s="465"/>
      <c r="BW121" s="256"/>
      <c r="BX121" s="465"/>
      <c r="BY121" s="256"/>
      <c r="BZ121" s="465"/>
      <c r="CA121" s="349"/>
      <c r="CB121" s="464"/>
      <c r="CC121" s="838"/>
      <c r="CD121" s="334"/>
      <c r="CE121" s="256"/>
      <c r="CF121" s="466"/>
      <c r="CG121" s="256"/>
      <c r="CH121" s="466"/>
      <c r="CI121" s="256"/>
      <c r="CJ121" s="466"/>
      <c r="CK121" s="256"/>
      <c r="CL121" s="466"/>
      <c r="CM121" s="256"/>
      <c r="CN121" s="466"/>
      <c r="CO121" s="261"/>
      <c r="CP121" s="843"/>
      <c r="CQ121" s="261"/>
      <c r="CR121" s="843"/>
      <c r="CS121" s="733"/>
      <c r="CT121" s="733"/>
      <c r="CU121" s="840"/>
      <c r="CV121" s="840"/>
      <c r="CW121" s="842"/>
      <c r="CX121" s="843"/>
      <c r="CY121" s="842"/>
      <c r="CZ121" s="843"/>
      <c r="DA121" s="843"/>
      <c r="DB121" s="843"/>
      <c r="DC121" s="843"/>
      <c r="DD121" s="843"/>
      <c r="DE121" s="843"/>
      <c r="DF121" s="843"/>
      <c r="DG121" s="843"/>
      <c r="DH121" s="843"/>
      <c r="DI121" s="843"/>
      <c r="DJ121" s="843"/>
      <c r="DK121" s="289"/>
      <c r="DL121" s="844"/>
      <c r="DM121" s="310"/>
      <c r="DN121" s="339"/>
      <c r="DO121" s="843"/>
      <c r="DP121" s="843"/>
    </row>
    <row r="122" hidden="1">
      <c r="A122" s="703"/>
      <c r="B122" s="579" t="s">
        <v>35</v>
      </c>
      <c r="C122" s="242"/>
      <c r="D122" s="242"/>
      <c r="E122" s="1130"/>
      <c r="F122" s="1131">
        <v>2.0</v>
      </c>
      <c r="G122" s="438">
        <f>SUMIFS(O122:DN122,$O$11:$DN$11,"Факт",$O$3:$DN$3,"&gt;"&amp;EOMONTH('Апрель'!date,-1),$O$3:$DN$3,"&lt;="&amp;EOMONTH('Апрель'!date,0))</f>
        <v>0</v>
      </c>
      <c r="H122" s="1132"/>
      <c r="I122" s="1133"/>
      <c r="J122" s="1119"/>
      <c r="K122" s="1020"/>
      <c r="L122" s="931"/>
      <c r="M122" s="929"/>
      <c r="N122" s="776"/>
      <c r="O122" s="1020"/>
      <c r="P122" s="931"/>
      <c r="Q122" s="929"/>
      <c r="R122" s="776"/>
      <c r="S122" s="929"/>
      <c r="T122" s="776"/>
      <c r="U122" s="929"/>
      <c r="V122" s="773">
        <v>0.0</v>
      </c>
      <c r="W122" s="1129"/>
      <c r="X122" s="1078">
        <v>0.0</v>
      </c>
      <c r="Y122" s="255"/>
      <c r="Z122" s="486"/>
      <c r="AA122" s="429"/>
      <c r="AB122" s="430"/>
      <c r="AC122" s="1079"/>
      <c r="AD122" s="1067"/>
      <c r="AE122" s="1079"/>
      <c r="AF122" s="1067"/>
      <c r="AG122" s="1079"/>
      <c r="AH122" s="1067"/>
      <c r="AI122" s="1079"/>
      <c r="AJ122" s="1067"/>
      <c r="AK122" s="1079"/>
      <c r="AL122" s="1067"/>
      <c r="AM122" s="1079"/>
      <c r="AN122" s="1068"/>
      <c r="AO122" s="1079"/>
      <c r="AP122" s="1069"/>
      <c r="AQ122" s="255"/>
      <c r="AR122" s="486"/>
      <c r="AS122" s="253"/>
      <c r="AT122" s="427"/>
      <c r="AU122" s="711"/>
      <c r="AV122" s="822"/>
      <c r="AW122" s="711"/>
      <c r="AX122" s="822"/>
      <c r="AY122" s="711"/>
      <c r="AZ122" s="776"/>
      <c r="BA122" s="711"/>
      <c r="BB122" s="776"/>
      <c r="BC122" s="711"/>
      <c r="BD122" s="776"/>
      <c r="BE122" s="711"/>
      <c r="BF122" s="776"/>
      <c r="BG122" s="711"/>
      <c r="BH122" s="1078"/>
      <c r="BI122" s="255"/>
      <c r="BJ122" s="486"/>
      <c r="BK122" s="253"/>
      <c r="BL122" s="427"/>
      <c r="BM122" s="711"/>
      <c r="BN122" s="710"/>
      <c r="BO122" s="711"/>
      <c r="BP122" s="465"/>
      <c r="BQ122" s="711"/>
      <c r="BR122" s="716"/>
      <c r="BS122" s="711"/>
      <c r="BT122" s="716"/>
      <c r="BU122" s="711"/>
      <c r="BV122" s="716"/>
      <c r="BW122" s="711"/>
      <c r="BX122" s="716"/>
      <c r="BY122" s="711"/>
      <c r="BZ122" s="716"/>
      <c r="CA122" s="255"/>
      <c r="CB122" s="486"/>
      <c r="CC122" s="1089"/>
      <c r="CD122" s="318"/>
      <c r="CE122" s="711"/>
      <c r="CF122" s="710"/>
      <c r="CG122" s="711"/>
      <c r="CH122" s="710"/>
      <c r="CI122" s="711"/>
      <c r="CJ122" s="710"/>
      <c r="CK122" s="711"/>
      <c r="CL122" s="710"/>
      <c r="CM122" s="256"/>
      <c r="CN122" s="710"/>
      <c r="CO122" s="261"/>
      <c r="CP122" s="875"/>
      <c r="CQ122" s="261"/>
      <c r="CR122" s="875"/>
      <c r="CS122" s="258"/>
      <c r="CT122" s="258"/>
      <c r="CU122" s="1087"/>
      <c r="CV122" s="1087"/>
      <c r="CW122" s="842"/>
      <c r="CX122" s="875"/>
      <c r="CY122" s="842"/>
      <c r="CZ122" s="875"/>
      <c r="DA122" s="875"/>
      <c r="DB122" s="875"/>
      <c r="DC122" s="875"/>
      <c r="DD122" s="875"/>
      <c r="DE122" s="875"/>
      <c r="DF122" s="875"/>
      <c r="DG122" s="875"/>
      <c r="DH122" s="875"/>
      <c r="DI122" s="875"/>
      <c r="DJ122" s="875"/>
      <c r="DK122" s="326"/>
      <c r="DL122" s="876"/>
      <c r="DM122" s="327"/>
      <c r="DN122" s="329"/>
      <c r="DO122" s="875"/>
      <c r="DP122" s="875"/>
    </row>
    <row r="123" hidden="1">
      <c r="A123" s="673"/>
      <c r="B123" s="724" t="s">
        <v>25</v>
      </c>
      <c r="C123" s="217"/>
      <c r="D123" s="217"/>
      <c r="E123" s="1134"/>
      <c r="F123" s="1136">
        <f>F122/F119</f>
        <v>0.4</v>
      </c>
      <c r="G123" s="400">
        <f>SUMIFS(O123:DN123,$O$11:$DN$11,"Факт",$O$3:$DN$3,"&gt;"&amp;EOMONTH('Апрель'!date,-1),$O$3:$DN$3,"&lt;="&amp;EOMONTH('Апрель'!date,0))</f>
        <v>0</v>
      </c>
      <c r="H123" s="384"/>
      <c r="I123" s="1135"/>
      <c r="J123" s="1119"/>
      <c r="K123" s="282"/>
      <c r="L123" s="931"/>
      <c r="M123" s="929"/>
      <c r="N123" s="776"/>
      <c r="O123" s="282"/>
      <c r="P123" s="931"/>
      <c r="Q123" s="929"/>
      <c r="R123" s="776"/>
      <c r="S123" s="929"/>
      <c r="T123" s="776"/>
      <c r="U123" s="929"/>
      <c r="V123" s="773"/>
      <c r="W123" s="1129"/>
      <c r="X123" s="1083"/>
      <c r="Y123" s="349"/>
      <c r="Z123" s="464"/>
      <c r="AA123" s="376"/>
      <c r="AB123" s="377"/>
      <c r="AC123" s="261"/>
      <c r="AD123" s="1067"/>
      <c r="AE123" s="261"/>
      <c r="AF123" s="1067"/>
      <c r="AG123" s="261"/>
      <c r="AH123" s="1067"/>
      <c r="AI123" s="261"/>
      <c r="AJ123" s="1067"/>
      <c r="AK123" s="261"/>
      <c r="AL123" s="1067"/>
      <c r="AM123" s="261"/>
      <c r="AN123" s="1068"/>
      <c r="AO123" s="261"/>
      <c r="AP123" s="1069"/>
      <c r="AQ123" s="349"/>
      <c r="AR123" s="464"/>
      <c r="AS123" s="279"/>
      <c r="AT123" s="462"/>
      <c r="AU123" s="256"/>
      <c r="AV123" s="463"/>
      <c r="AW123" s="256"/>
      <c r="AX123" s="463"/>
      <c r="AY123" s="256"/>
      <c r="AZ123" s="776"/>
      <c r="BA123" s="256"/>
      <c r="BB123" s="776"/>
      <c r="BC123" s="256"/>
      <c r="BD123" s="776"/>
      <c r="BE123" s="256"/>
      <c r="BF123" s="776"/>
      <c r="BG123" s="256"/>
      <c r="BH123" s="1083"/>
      <c r="BI123" s="349"/>
      <c r="BJ123" s="464"/>
      <c r="BK123" s="279"/>
      <c r="BL123" s="462"/>
      <c r="BM123" s="256"/>
      <c r="BN123" s="466"/>
      <c r="BO123" s="256"/>
      <c r="BP123" s="465"/>
      <c r="BQ123" s="256"/>
      <c r="BR123" s="465"/>
      <c r="BS123" s="256"/>
      <c r="BT123" s="465"/>
      <c r="BU123" s="256"/>
      <c r="BV123" s="465"/>
      <c r="BW123" s="256"/>
      <c r="BX123" s="465"/>
      <c r="BY123" s="256"/>
      <c r="BZ123" s="465"/>
      <c r="CA123" s="349"/>
      <c r="CB123" s="464"/>
      <c r="CC123" s="838"/>
      <c r="CD123" s="334"/>
      <c r="CE123" s="256"/>
      <c r="CF123" s="466"/>
      <c r="CG123" s="256"/>
      <c r="CH123" s="466"/>
      <c r="CI123" s="256"/>
      <c r="CJ123" s="466"/>
      <c r="CK123" s="256"/>
      <c r="CL123" s="466"/>
      <c r="CM123" s="256"/>
      <c r="CN123" s="466"/>
      <c r="CO123" s="261"/>
      <c r="CP123" s="843"/>
      <c r="CQ123" s="261"/>
      <c r="CR123" s="843"/>
      <c r="CS123" s="733"/>
      <c r="CT123" s="733"/>
      <c r="CU123" s="840"/>
      <c r="CV123" s="840"/>
      <c r="CW123" s="842"/>
      <c r="CX123" s="843"/>
      <c r="CY123" s="842"/>
      <c r="CZ123" s="843"/>
      <c r="DA123" s="843"/>
      <c r="DB123" s="843"/>
      <c r="DC123" s="843"/>
      <c r="DD123" s="843"/>
      <c r="DE123" s="843"/>
      <c r="DF123" s="843"/>
      <c r="DG123" s="843"/>
      <c r="DH123" s="843"/>
      <c r="DI123" s="843"/>
      <c r="DJ123" s="843"/>
      <c r="DK123" s="289"/>
      <c r="DL123" s="844"/>
      <c r="DM123" s="310"/>
      <c r="DN123" s="339"/>
      <c r="DO123" s="843"/>
      <c r="DP123" s="843"/>
    </row>
    <row r="124" hidden="1">
      <c r="A124" s="703"/>
      <c r="B124" s="579" t="s">
        <v>36</v>
      </c>
      <c r="C124" s="242"/>
      <c r="D124" s="242"/>
      <c r="E124" s="1130"/>
      <c r="F124" s="1022">
        <f>F117/F122</f>
        <v>50000</v>
      </c>
      <c r="G124" s="581">
        <f>SUMIFS(O124:DN124,$O$11:$DN$11,"Факт",$O$3:$DN$3,"&gt;"&amp;EOMONTH('Апрель'!date,-1),$O$3:$DN$3,"&lt;="&amp;EOMONTH('Апрель'!date,0))</f>
        <v>0</v>
      </c>
      <c r="H124" s="1132"/>
      <c r="I124" s="1133"/>
      <c r="J124" s="1119"/>
      <c r="K124" s="1020"/>
      <c r="L124" s="931"/>
      <c r="M124" s="929"/>
      <c r="N124" s="776"/>
      <c r="O124" s="1020"/>
      <c r="P124" s="931"/>
      <c r="Q124" s="929"/>
      <c r="R124" s="776"/>
      <c r="S124" s="929"/>
      <c r="T124" s="776"/>
      <c r="U124" s="929"/>
      <c r="V124" s="773"/>
      <c r="W124" s="1129"/>
      <c r="X124" s="1078"/>
      <c r="Y124" s="255"/>
      <c r="Z124" s="486"/>
      <c r="AA124" s="429"/>
      <c r="AB124" s="430"/>
      <c r="AC124" s="1079"/>
      <c r="AD124" s="1067"/>
      <c r="AE124" s="1079"/>
      <c r="AF124" s="1067"/>
      <c r="AG124" s="1079"/>
      <c r="AH124" s="1067"/>
      <c r="AI124" s="1079"/>
      <c r="AJ124" s="1067"/>
      <c r="AK124" s="1079"/>
      <c r="AL124" s="1067"/>
      <c r="AM124" s="1079"/>
      <c r="AN124" s="1068"/>
      <c r="AO124" s="1079"/>
      <c r="AP124" s="1069"/>
      <c r="AQ124" s="255"/>
      <c r="AR124" s="486"/>
      <c r="AS124" s="253"/>
      <c r="AT124" s="427"/>
      <c r="AU124" s="711"/>
      <c r="AV124" s="822"/>
      <c r="AW124" s="711"/>
      <c r="AX124" s="822"/>
      <c r="AY124" s="711"/>
      <c r="AZ124" s="776"/>
      <c r="BA124" s="711"/>
      <c r="BB124" s="776"/>
      <c r="BC124" s="711"/>
      <c r="BD124" s="776"/>
      <c r="BE124" s="711"/>
      <c r="BF124" s="776"/>
      <c r="BG124" s="711"/>
      <c r="BH124" s="1078"/>
      <c r="BI124" s="255"/>
      <c r="BJ124" s="486"/>
      <c r="BK124" s="253"/>
      <c r="BL124" s="427"/>
      <c r="BM124" s="711"/>
      <c r="BN124" s="710"/>
      <c r="BO124" s="711"/>
      <c r="BP124" s="465"/>
      <c r="BQ124" s="711"/>
      <c r="BR124" s="716"/>
      <c r="BS124" s="711"/>
      <c r="BT124" s="716"/>
      <c r="BU124" s="711"/>
      <c r="BV124" s="716"/>
      <c r="BW124" s="711"/>
      <c r="BX124" s="716"/>
      <c r="BY124" s="711"/>
      <c r="BZ124" s="716"/>
      <c r="CA124" s="255"/>
      <c r="CB124" s="486"/>
      <c r="CC124" s="1089"/>
      <c r="CD124" s="318"/>
      <c r="CE124" s="711"/>
      <c r="CF124" s="710"/>
      <c r="CG124" s="711"/>
      <c r="CH124" s="710"/>
      <c r="CI124" s="711"/>
      <c r="CJ124" s="710"/>
      <c r="CK124" s="711"/>
      <c r="CL124" s="710"/>
      <c r="CM124" s="256"/>
      <c r="CN124" s="710"/>
      <c r="CO124" s="261"/>
      <c r="CP124" s="875"/>
      <c r="CQ124" s="261"/>
      <c r="CR124" s="875"/>
      <c r="CS124" s="258"/>
      <c r="CT124" s="258"/>
      <c r="CU124" s="1087"/>
      <c r="CV124" s="1087"/>
      <c r="CW124" s="842"/>
      <c r="CX124" s="875"/>
      <c r="CY124" s="842"/>
      <c r="CZ124" s="875"/>
      <c r="DA124" s="875"/>
      <c r="DB124" s="875"/>
      <c r="DC124" s="875"/>
      <c r="DD124" s="875"/>
      <c r="DE124" s="875"/>
      <c r="DF124" s="875"/>
      <c r="DG124" s="875"/>
      <c r="DH124" s="875"/>
      <c r="DI124" s="875"/>
      <c r="DJ124" s="875"/>
      <c r="DK124" s="326"/>
      <c r="DL124" s="876"/>
      <c r="DM124" s="327"/>
      <c r="DN124" s="329"/>
      <c r="DO124" s="875"/>
      <c r="DP124" s="875"/>
    </row>
    <row r="125" hidden="1">
      <c r="A125" s="673"/>
      <c r="B125" s="724" t="s">
        <v>26</v>
      </c>
      <c r="C125" s="217"/>
      <c r="D125" s="217"/>
      <c r="E125" s="1134"/>
      <c r="F125" s="939">
        <v>1.0</v>
      </c>
      <c r="G125" s="400">
        <f>SUMIFS(O125:DN125,$O$11:$DN$11,"Факт",$O$3:$DN$3,"&gt;"&amp;EOMONTH('Апрель'!date,-1),$O$3:$DN$3,"&lt;="&amp;EOMONTH('Апрель'!date,0))</f>
        <v>0</v>
      </c>
      <c r="H125" s="384"/>
      <c r="I125" s="1135"/>
      <c r="J125" s="1119"/>
      <c r="K125" s="282"/>
      <c r="L125" s="931"/>
      <c r="M125" s="929"/>
      <c r="N125" s="776"/>
      <c r="O125" s="282"/>
      <c r="P125" s="931"/>
      <c r="Q125" s="929"/>
      <c r="R125" s="776"/>
      <c r="S125" s="929"/>
      <c r="T125" s="776"/>
      <c r="U125" s="929"/>
      <c r="V125" s="773"/>
      <c r="W125" s="1129"/>
      <c r="X125" s="1083">
        <v>0.0</v>
      </c>
      <c r="Y125" s="349"/>
      <c r="Z125" s="464"/>
      <c r="AA125" s="376"/>
      <c r="AB125" s="377"/>
      <c r="AC125" s="261"/>
      <c r="AD125" s="1067"/>
      <c r="AE125" s="261"/>
      <c r="AF125" s="1067"/>
      <c r="AG125" s="261"/>
      <c r="AH125" s="1067"/>
      <c r="AI125" s="261"/>
      <c r="AJ125" s="1067"/>
      <c r="AK125" s="261"/>
      <c r="AL125" s="1067"/>
      <c r="AM125" s="261"/>
      <c r="AN125" s="1068"/>
      <c r="AO125" s="261"/>
      <c r="AP125" s="1069"/>
      <c r="AQ125" s="349"/>
      <c r="AR125" s="464"/>
      <c r="AS125" s="279"/>
      <c r="AT125" s="462"/>
      <c r="AU125" s="256"/>
      <c r="AV125" s="463"/>
      <c r="AW125" s="256"/>
      <c r="AX125" s="463"/>
      <c r="AY125" s="256"/>
      <c r="AZ125" s="776"/>
      <c r="BA125" s="256"/>
      <c r="BB125" s="776"/>
      <c r="BC125" s="256"/>
      <c r="BD125" s="776"/>
      <c r="BE125" s="256"/>
      <c r="BF125" s="776"/>
      <c r="BG125" s="256"/>
      <c r="BH125" s="1083"/>
      <c r="BI125" s="349"/>
      <c r="BJ125" s="464"/>
      <c r="BK125" s="279"/>
      <c r="BL125" s="462"/>
      <c r="BM125" s="256"/>
      <c r="BN125" s="466"/>
      <c r="BO125" s="256"/>
      <c r="BP125" s="465"/>
      <c r="BQ125" s="256"/>
      <c r="BR125" s="465"/>
      <c r="BS125" s="256"/>
      <c r="BT125" s="465"/>
      <c r="BU125" s="256"/>
      <c r="BV125" s="465"/>
      <c r="BW125" s="256"/>
      <c r="BX125" s="465"/>
      <c r="BY125" s="256"/>
      <c r="BZ125" s="465"/>
      <c r="CA125" s="349"/>
      <c r="CB125" s="464"/>
      <c r="CC125" s="838"/>
      <c r="CD125" s="334"/>
      <c r="CE125" s="256"/>
      <c r="CF125" s="466"/>
      <c r="CG125" s="256"/>
      <c r="CH125" s="466"/>
      <c r="CI125" s="256"/>
      <c r="CJ125" s="466"/>
      <c r="CK125" s="256"/>
      <c r="CL125" s="466"/>
      <c r="CM125" s="256"/>
      <c r="CN125" s="466"/>
      <c r="CO125" s="261"/>
      <c r="CP125" s="843"/>
      <c r="CQ125" s="261"/>
      <c r="CR125" s="843"/>
      <c r="CS125" s="733"/>
      <c r="CT125" s="733"/>
      <c r="CU125" s="840"/>
      <c r="CV125" s="840"/>
      <c r="CW125" s="842"/>
      <c r="CX125" s="843"/>
      <c r="CY125" s="842"/>
      <c r="CZ125" s="843"/>
      <c r="DA125" s="843"/>
      <c r="DB125" s="843"/>
      <c r="DC125" s="843"/>
      <c r="DD125" s="843"/>
      <c r="DE125" s="843"/>
      <c r="DF125" s="843"/>
      <c r="DG125" s="843"/>
      <c r="DH125" s="843"/>
      <c r="DI125" s="843"/>
      <c r="DJ125" s="843"/>
      <c r="DK125" s="289"/>
      <c r="DL125" s="844"/>
      <c r="DM125" s="310"/>
      <c r="DN125" s="339"/>
      <c r="DO125" s="843"/>
      <c r="DP125" s="843"/>
    </row>
    <row r="126" hidden="1">
      <c r="A126" s="703"/>
      <c r="B126" s="579" t="s">
        <v>39</v>
      </c>
      <c r="C126" s="242"/>
      <c r="D126" s="242"/>
      <c r="E126" s="1130"/>
      <c r="F126" s="1131">
        <v>50000.0</v>
      </c>
      <c r="G126" s="438">
        <f>SUMIFS(O126:DN126,$O$11:$DN$11,"Факт",$O$3:$DN$3,"&gt;"&amp;EOMONTH('Апрель'!date,-1),$O$3:$DN$3,"&lt;="&amp;EOMONTH('Апрель'!date,0))</f>
        <v>0</v>
      </c>
      <c r="H126" s="1132"/>
      <c r="I126" s="1133"/>
      <c r="J126" s="1119"/>
      <c r="K126" s="1020"/>
      <c r="L126" s="931"/>
      <c r="M126" s="929"/>
      <c r="N126" s="776"/>
      <c r="O126" s="1020"/>
      <c r="P126" s="931"/>
      <c r="Q126" s="929"/>
      <c r="R126" s="776"/>
      <c r="S126" s="929"/>
      <c r="T126" s="776"/>
      <c r="U126" s="929"/>
      <c r="V126" s="773"/>
      <c r="W126" s="1129"/>
      <c r="X126" s="1078"/>
      <c r="Y126" s="255"/>
      <c r="Z126" s="486"/>
      <c r="AA126" s="429"/>
      <c r="AB126" s="430"/>
      <c r="AC126" s="1079"/>
      <c r="AD126" s="1067"/>
      <c r="AE126" s="1079"/>
      <c r="AF126" s="1067"/>
      <c r="AG126" s="1079"/>
      <c r="AH126" s="1067"/>
      <c r="AI126" s="1079"/>
      <c r="AJ126" s="1067"/>
      <c r="AK126" s="1079"/>
      <c r="AL126" s="1067"/>
      <c r="AM126" s="1079"/>
      <c r="AN126" s="1068"/>
      <c r="AO126" s="1079"/>
      <c r="AP126" s="1069"/>
      <c r="AQ126" s="255"/>
      <c r="AR126" s="486"/>
      <c r="AS126" s="253"/>
      <c r="AT126" s="427"/>
      <c r="AU126" s="711"/>
      <c r="AV126" s="822"/>
      <c r="AW126" s="711"/>
      <c r="AX126" s="822"/>
      <c r="AY126" s="711"/>
      <c r="AZ126" s="776"/>
      <c r="BA126" s="711"/>
      <c r="BB126" s="776"/>
      <c r="BC126" s="711"/>
      <c r="BD126" s="776"/>
      <c r="BE126" s="711"/>
      <c r="BF126" s="776"/>
      <c r="BG126" s="711"/>
      <c r="BH126" s="1078"/>
      <c r="BI126" s="255"/>
      <c r="BJ126" s="486"/>
      <c r="BK126" s="253"/>
      <c r="BL126" s="427"/>
      <c r="BM126" s="711"/>
      <c r="BN126" s="710"/>
      <c r="BO126" s="711"/>
      <c r="BP126" s="465"/>
      <c r="BQ126" s="711"/>
      <c r="BR126" s="716"/>
      <c r="BS126" s="711"/>
      <c r="BT126" s="716"/>
      <c r="BU126" s="711"/>
      <c r="BV126" s="716"/>
      <c r="BW126" s="711"/>
      <c r="BX126" s="716"/>
      <c r="BY126" s="711"/>
      <c r="BZ126" s="716"/>
      <c r="CA126" s="255"/>
      <c r="CB126" s="486"/>
      <c r="CC126" s="1089"/>
      <c r="CD126" s="318"/>
      <c r="CE126" s="711"/>
      <c r="CF126" s="710"/>
      <c r="CG126" s="711"/>
      <c r="CH126" s="710"/>
      <c r="CI126" s="711"/>
      <c r="CJ126" s="710"/>
      <c r="CK126" s="711"/>
      <c r="CL126" s="710"/>
      <c r="CM126" s="256"/>
      <c r="CN126" s="710"/>
      <c r="CO126" s="261"/>
      <c r="CP126" s="875"/>
      <c r="CQ126" s="261"/>
      <c r="CR126" s="875"/>
      <c r="CS126" s="258"/>
      <c r="CT126" s="258"/>
      <c r="CU126" s="1087"/>
      <c r="CV126" s="1087"/>
      <c r="CW126" s="842"/>
      <c r="CX126" s="875"/>
      <c r="CY126" s="842"/>
      <c r="CZ126" s="875"/>
      <c r="DA126" s="875"/>
      <c r="DB126" s="875"/>
      <c r="DC126" s="875"/>
      <c r="DD126" s="875"/>
      <c r="DE126" s="875"/>
      <c r="DF126" s="875"/>
      <c r="DG126" s="875"/>
      <c r="DH126" s="875"/>
      <c r="DI126" s="875"/>
      <c r="DJ126" s="875"/>
      <c r="DK126" s="326"/>
      <c r="DL126" s="876"/>
      <c r="DM126" s="327"/>
      <c r="DN126" s="329"/>
      <c r="DO126" s="875"/>
      <c r="DP126" s="875"/>
    </row>
    <row r="127" hidden="1">
      <c r="A127" s="673"/>
      <c r="B127" s="804" t="s">
        <v>47</v>
      </c>
      <c r="C127" s="217"/>
      <c r="D127" s="217"/>
      <c r="E127" s="1134"/>
      <c r="F127" s="1136">
        <f>F125/F122</f>
        <v>0.5</v>
      </c>
      <c r="G127" s="400">
        <f>SUMIFS(O127:DN127,$O$11:$DN$11,"Факт",$O$3:$DN$3,"&gt;"&amp;EOMONTH('Апрель'!date,-1),$O$3:$DN$3,"&lt;="&amp;EOMONTH('Апрель'!date,0))</f>
        <v>0</v>
      </c>
      <c r="H127" s="384"/>
      <c r="I127" s="1135"/>
      <c r="J127" s="1119"/>
      <c r="K127" s="282"/>
      <c r="L127" s="931"/>
      <c r="M127" s="929"/>
      <c r="N127" s="776"/>
      <c r="O127" s="282"/>
      <c r="P127" s="931"/>
      <c r="Q127" s="929"/>
      <c r="R127" s="776"/>
      <c r="S127" s="929"/>
      <c r="T127" s="776"/>
      <c r="U127" s="929"/>
      <c r="V127" s="773"/>
      <c r="W127" s="1129"/>
      <c r="X127" s="1083"/>
      <c r="Y127" s="349"/>
      <c r="Z127" s="464"/>
      <c r="AA127" s="376"/>
      <c r="AB127" s="377"/>
      <c r="AC127" s="261"/>
      <c r="AD127" s="1067"/>
      <c r="AE127" s="261"/>
      <c r="AF127" s="1067"/>
      <c r="AG127" s="261"/>
      <c r="AH127" s="1067"/>
      <c r="AI127" s="261"/>
      <c r="AJ127" s="1067"/>
      <c r="AK127" s="261"/>
      <c r="AL127" s="1067"/>
      <c r="AM127" s="261"/>
      <c r="AN127" s="1068"/>
      <c r="AO127" s="261"/>
      <c r="AP127" s="1069"/>
      <c r="AQ127" s="349"/>
      <c r="AR127" s="464"/>
      <c r="AS127" s="279"/>
      <c r="AT127" s="462"/>
      <c r="AU127" s="256"/>
      <c r="AV127" s="463"/>
      <c r="AW127" s="256"/>
      <c r="AX127" s="463"/>
      <c r="AY127" s="256"/>
      <c r="AZ127" s="776"/>
      <c r="BA127" s="256"/>
      <c r="BB127" s="776"/>
      <c r="BC127" s="256"/>
      <c r="BD127" s="776"/>
      <c r="BE127" s="256"/>
      <c r="BF127" s="776"/>
      <c r="BG127" s="256"/>
      <c r="BH127" s="1083"/>
      <c r="BI127" s="349"/>
      <c r="BJ127" s="464"/>
      <c r="BK127" s="279"/>
      <c r="BL127" s="462"/>
      <c r="BM127" s="256"/>
      <c r="BN127" s="466"/>
      <c r="BO127" s="256"/>
      <c r="BP127" s="465"/>
      <c r="BQ127" s="256"/>
      <c r="BR127" s="465"/>
      <c r="BS127" s="256"/>
      <c r="BT127" s="465"/>
      <c r="BU127" s="256"/>
      <c r="BV127" s="465"/>
      <c r="BW127" s="256"/>
      <c r="BX127" s="465"/>
      <c r="BY127" s="256"/>
      <c r="BZ127" s="465"/>
      <c r="CA127" s="349"/>
      <c r="CB127" s="464"/>
      <c r="CC127" s="838"/>
      <c r="CD127" s="334"/>
      <c r="CE127" s="256"/>
      <c r="CF127" s="466"/>
      <c r="CG127" s="256"/>
      <c r="CH127" s="466"/>
      <c r="CI127" s="256"/>
      <c r="CJ127" s="466"/>
      <c r="CK127" s="256"/>
      <c r="CL127" s="466"/>
      <c r="CM127" s="256"/>
      <c r="CN127" s="466"/>
      <c r="CO127" s="261"/>
      <c r="CP127" s="843"/>
      <c r="CQ127" s="261"/>
      <c r="CR127" s="843"/>
      <c r="CS127" s="733"/>
      <c r="CT127" s="733"/>
      <c r="CU127" s="840"/>
      <c r="CV127" s="840"/>
      <c r="CW127" s="842"/>
      <c r="CX127" s="843"/>
      <c r="CY127" s="842"/>
      <c r="CZ127" s="843"/>
      <c r="DA127" s="843"/>
      <c r="DB127" s="843"/>
      <c r="DC127" s="843"/>
      <c r="DD127" s="843"/>
      <c r="DE127" s="843"/>
      <c r="DF127" s="843"/>
      <c r="DG127" s="843"/>
      <c r="DH127" s="843"/>
      <c r="DI127" s="843"/>
      <c r="DJ127" s="843"/>
      <c r="DK127" s="289"/>
      <c r="DL127" s="844"/>
      <c r="DM127" s="310"/>
      <c r="DN127" s="339"/>
      <c r="DO127" s="843"/>
      <c r="DP127" s="843"/>
    </row>
    <row r="128" hidden="1">
      <c r="A128" s="1137"/>
      <c r="B128" s="813" t="s">
        <v>27</v>
      </c>
      <c r="C128" s="814"/>
      <c r="D128" s="814"/>
      <c r="E128" s="1138"/>
      <c r="F128" s="1139">
        <f>F117/F125</f>
        <v>100000</v>
      </c>
      <c r="G128" s="817">
        <f>SUMIFS(O128:DN128,$O$11:$DN$11,"Факт",$O$3:$DN$3,"&gt;"&amp;EOMONTH('Апрель'!date,-1),$O$3:$DN$3,"&lt;="&amp;EOMONTH('Апрель'!date,0))</f>
        <v>0</v>
      </c>
      <c r="H128" s="1140"/>
      <c r="I128" s="1141"/>
      <c r="J128" s="1119"/>
      <c r="K128" s="1142"/>
      <c r="L128" s="972"/>
      <c r="M128" s="1096"/>
      <c r="N128" s="865"/>
      <c r="O128" s="819"/>
      <c r="P128" s="1143"/>
      <c r="Q128" s="1144"/>
      <c r="R128" s="849"/>
      <c r="S128" s="1144"/>
      <c r="T128" s="849"/>
      <c r="U128" s="1144"/>
      <c r="V128" s="820"/>
      <c r="W128" s="1145"/>
      <c r="X128" s="1146"/>
      <c r="Y128" s="1049"/>
      <c r="Z128" s="855"/>
      <c r="AA128" s="1147"/>
      <c r="AB128" s="1148"/>
      <c r="AC128" s="1149"/>
      <c r="AD128" s="1150"/>
      <c r="AE128" s="1149"/>
      <c r="AF128" s="1150"/>
      <c r="AG128" s="1149"/>
      <c r="AH128" s="1150"/>
      <c r="AI128" s="1149"/>
      <c r="AJ128" s="1150"/>
      <c r="AK128" s="1149"/>
      <c r="AL128" s="1150"/>
      <c r="AM128" s="1149"/>
      <c r="AN128" s="1151"/>
      <c r="AO128" s="1149"/>
      <c r="AP128" s="1152"/>
      <c r="AQ128" s="1049"/>
      <c r="AR128" s="855"/>
      <c r="AS128" s="1051"/>
      <c r="AT128" s="1052"/>
      <c r="AU128" s="1153"/>
      <c r="AV128" s="864"/>
      <c r="AW128" s="1153"/>
      <c r="AX128" s="864"/>
      <c r="AY128" s="1153"/>
      <c r="AZ128" s="865"/>
      <c r="BA128" s="1153"/>
      <c r="BB128" s="865"/>
      <c r="BC128" s="1153"/>
      <c r="BD128" s="865"/>
      <c r="BE128" s="1153"/>
      <c r="BF128" s="865"/>
      <c r="BG128" s="1153"/>
      <c r="BH128" s="1154"/>
      <c r="BI128" s="861"/>
      <c r="BJ128" s="862"/>
      <c r="BK128" s="364"/>
      <c r="BL128" s="863"/>
      <c r="BM128" s="1153"/>
      <c r="BN128" s="866"/>
      <c r="BO128" s="1153"/>
      <c r="BP128" s="867"/>
      <c r="BQ128" s="1153"/>
      <c r="BR128" s="868"/>
      <c r="BS128" s="1153"/>
      <c r="BT128" s="868"/>
      <c r="BU128" s="1153"/>
      <c r="BV128" s="868"/>
      <c r="BW128" s="1153"/>
      <c r="BX128" s="868"/>
      <c r="BY128" s="1153"/>
      <c r="BZ128" s="868"/>
      <c r="CA128" s="861"/>
      <c r="CB128" s="862"/>
      <c r="CC128" s="869"/>
      <c r="CD128" s="366"/>
      <c r="CE128" s="1153"/>
      <c r="CF128" s="866"/>
      <c r="CG128" s="1153"/>
      <c r="CH128" s="866"/>
      <c r="CI128" s="1153"/>
      <c r="CJ128" s="866"/>
      <c r="CK128" s="1153"/>
      <c r="CL128" s="866"/>
      <c r="CM128" s="367"/>
      <c r="CN128" s="866"/>
      <c r="CO128" s="321"/>
      <c r="CP128" s="875"/>
      <c r="CQ128" s="321"/>
      <c r="CR128" s="875"/>
      <c r="CS128" s="1155"/>
      <c r="CT128" s="1155"/>
      <c r="CU128" s="1156"/>
      <c r="CV128" s="1156"/>
      <c r="CW128" s="842"/>
      <c r="CX128" s="875"/>
      <c r="CY128" s="842"/>
      <c r="CZ128" s="875"/>
      <c r="DA128" s="875"/>
      <c r="DB128" s="875"/>
      <c r="DC128" s="875"/>
      <c r="DD128" s="875"/>
      <c r="DE128" s="875"/>
      <c r="DF128" s="875"/>
      <c r="DG128" s="875"/>
      <c r="DH128" s="875"/>
      <c r="DI128" s="875"/>
      <c r="DJ128" s="875"/>
      <c r="DK128" s="326"/>
      <c r="DL128" s="876"/>
      <c r="DM128" s="327"/>
      <c r="DN128" s="329"/>
      <c r="DO128" s="875"/>
      <c r="DP128" s="875"/>
    </row>
    <row r="129">
      <c r="A129" s="1157" t="s">
        <v>70</v>
      </c>
      <c r="B129" s="1158" t="s">
        <v>20</v>
      </c>
      <c r="C129" s="879"/>
      <c r="D129" s="879"/>
      <c r="E129" s="880"/>
      <c r="F129" s="894">
        <f t="shared" ref="F129:G129" si="246">F130/F139</f>
        <v>1.635016</v>
      </c>
      <c r="G129" s="894">
        <f t="shared" si="246"/>
        <v>3.1539968</v>
      </c>
      <c r="H129" s="882">
        <f t="shared" ref="H129:H133" si="248">IFERROR(G129/F129,"")</f>
        <v>1.929031153</v>
      </c>
      <c r="I129" s="895" t="str">
        <f>IFERROR(__xludf.DUMMYFUNCTION("IFERROR(SPARKLINE(H129,{""charttype"",""bar"";""color1"",IF(H129&gt;='Апрель'!green_percent,'Апрель'!green,IF(H129&gt;='Апрель'!yellow_percent,'Апрель'!yellow,IF(H129&gt;='Апрель'!orange_percent,'Апрель'!orange,'Апрель'!red)));""max"",1}))"),"")</f>
        <v/>
      </c>
      <c r="J129" s="1159"/>
      <c r="K129" s="1160"/>
      <c r="L129" s="1160"/>
      <c r="M129" s="1160"/>
      <c r="N129" s="888"/>
      <c r="O129" s="1160">
        <f>O130/O139</f>
        <v>1.635016</v>
      </c>
      <c r="P129" s="889"/>
      <c r="Q129" s="1160">
        <f t="shared" ref="Q129:Z129" si="247">Q130/Q139</f>
        <v>1.635016</v>
      </c>
      <c r="R129" s="1161">
        <f t="shared" si="247"/>
        <v>0.105484</v>
      </c>
      <c r="S129" s="1160">
        <f t="shared" si="247"/>
        <v>1.635016</v>
      </c>
      <c r="T129" s="1161" t="str">
        <f t="shared" si="247"/>
        <v>#DIV/0!</v>
      </c>
      <c r="U129" s="1160">
        <f t="shared" si="247"/>
        <v>1.635016</v>
      </c>
      <c r="V129" s="1161" t="str">
        <f t="shared" si="247"/>
        <v>#DIV/0!</v>
      </c>
      <c r="W129" s="1160">
        <f t="shared" si="247"/>
        <v>1.635016</v>
      </c>
      <c r="X129" s="1161" t="str">
        <f t="shared" si="247"/>
        <v>#DIV/0!</v>
      </c>
      <c r="Y129" s="893">
        <f t="shared" si="247"/>
        <v>1.635016</v>
      </c>
      <c r="Z129" s="881">
        <f t="shared" si="247"/>
        <v>0.5379712</v>
      </c>
      <c r="AA129" s="894">
        <f t="shared" ref="AA129:AA141" si="249">IFERROR(Z129/Y129,"")</f>
        <v>0.3290311532</v>
      </c>
      <c r="AB129" s="895" t="str">
        <f>IFERROR(__xludf.DUMMYFUNCTION("IFERROR(SPARKLINE(AA129,{""charttype"",""bar"";""color1"",IF(AA129&gt;='Апрель'!green_percent,'Апрель'!green,IF(AA129&gt;='Апрель'!yellow_percent,'Апрель'!yellow,IF(AA129&gt;='Апрель'!orange_percent,'Апрель'!orange,'Апрель'!red)));""max"",1}))"),"")</f>
        <v/>
      </c>
      <c r="AC129" s="1162">
        <v>1.6350159999999998</v>
      </c>
      <c r="AD129" s="1000"/>
      <c r="AE129" s="1162">
        <v>1.6350159999999998</v>
      </c>
      <c r="AF129" s="1000"/>
      <c r="AG129" s="1162">
        <v>1.6350159999999998</v>
      </c>
      <c r="AH129" s="1000"/>
      <c r="AI129" s="1162">
        <v>1.6350159999999998</v>
      </c>
      <c r="AJ129" s="1000"/>
      <c r="AK129" s="1162">
        <v>1.6350159999999998</v>
      </c>
      <c r="AL129" s="1000"/>
      <c r="AM129" s="1162">
        <v>1.6350159999999998</v>
      </c>
      <c r="AN129" s="1001"/>
      <c r="AO129" s="1162">
        <v>1.6350159999999998</v>
      </c>
      <c r="AP129" s="1163"/>
      <c r="AQ129" s="1164">
        <f>AQ130/AQ139</f>
        <v>1.635016</v>
      </c>
      <c r="AR129" s="1071"/>
      <c r="AS129" s="894">
        <f t="shared" ref="AS129:AS141" si="250">IFERROR(AR129/AQ129,"")</f>
        <v>0</v>
      </c>
      <c r="AT129" s="895" t="str">
        <f>IFERROR(__xludf.DUMMYFUNCTION("IFERROR(SPARKLINE(AS129,{""charttype"",""bar"";""color1"",IF(AS129&gt;='Апрель'!green_percent,'Апрель'!green,IF(AS129&gt;='Апрель'!yellow_percent,'Апрель'!yellow,IF(AS129&gt;='Апрель'!orange_percent,'Апрель'!orange,'Апрель'!red)));""max"",1}))"),"")</f>
        <v/>
      </c>
      <c r="AU129" s="1165">
        <v>1.6350159999999998</v>
      </c>
      <c r="AV129" s="900"/>
      <c r="AW129" s="387">
        <v>1.6350159999999998</v>
      </c>
      <c r="AX129" s="900"/>
      <c r="AY129" s="387">
        <v>1.6350159999999998</v>
      </c>
      <c r="AZ129" s="901"/>
      <c r="BA129" s="1162">
        <v>1.6350159999999998</v>
      </c>
      <c r="BB129" s="890"/>
      <c r="BC129" s="1162">
        <v>1.6350159999999998</v>
      </c>
      <c r="BD129" s="890"/>
      <c r="BE129" s="1162">
        <v>1.6350159999999998</v>
      </c>
      <c r="BF129" s="890"/>
      <c r="BG129" s="1162">
        <v>1.6350159999999998</v>
      </c>
      <c r="BH129" s="892"/>
      <c r="BI129" s="1164">
        <v>1.635016</v>
      </c>
      <c r="BJ129" s="1071"/>
      <c r="BK129" s="894">
        <f t="shared" ref="BK129:BK141" si="251">IFERROR(BJ129/BI129,"")</f>
        <v>0</v>
      </c>
      <c r="BL129" s="895" t="str">
        <f>IFERROR(__xludf.DUMMYFUNCTION("IFERROR(SPARKLINE(BK129,{""charttype"",""bar"";""color1"",IF(BK129&gt;='Апрель'!green_percent,'Апрель'!green,IF(BK129&gt;='Апрель'!yellow_percent,'Апрель'!yellow,IF(BK129&gt;='Апрель'!orange_percent,'Апрель'!orange,'Апрель'!red)));""max"",1}))"),"")</f>
        <v/>
      </c>
      <c r="BM129" s="1162">
        <v>1.6350159999999998</v>
      </c>
      <c r="BN129" s="1166"/>
      <c r="BO129" s="1162">
        <v>1.6350159999999998</v>
      </c>
      <c r="BP129" s="1009"/>
      <c r="BQ129" s="1162">
        <v>1.6350159999999998</v>
      </c>
      <c r="BR129" s="1009"/>
      <c r="BS129" s="1162">
        <v>1.6350159999999998</v>
      </c>
      <c r="BT129" s="1009"/>
      <c r="BU129" s="1162">
        <v>1.6350159999999998</v>
      </c>
      <c r="BV129" s="1009"/>
      <c r="BW129" s="1162">
        <v>1.6350159999999998</v>
      </c>
      <c r="BX129" s="1009"/>
      <c r="BY129" s="1162">
        <v>1.6350159999999998</v>
      </c>
      <c r="BZ129" s="1009"/>
      <c r="CA129" s="1164">
        <v>1.635016</v>
      </c>
      <c r="CB129" s="1071"/>
      <c r="CC129" s="1167">
        <f t="shared" ref="CC129:CC141" si="252">IFERROR(CB129/CA129,"")</f>
        <v>0</v>
      </c>
      <c r="CD129" s="883" t="str">
        <f>IFERROR(__xludf.DUMMYFUNCTION("IFERROR(SPARKLINE(CC129,{""charttype"",""bar"";""color1"",IF(CC129&gt;='Апрель'!green_percent,'Апрель'!green,IF(CC129&gt;='Апрель'!yellow_percent,'Апрель'!yellow,IF(CC129&gt;='Апрель'!orange_percent,'Апрель'!orange,'Апрель'!red)));""max"",1}))"),"")</f>
        <v/>
      </c>
      <c r="CE129" s="1162">
        <v>1.6350159999999998</v>
      </c>
      <c r="CF129" s="1166"/>
      <c r="CG129" s="1162">
        <v>1.6350159999999998</v>
      </c>
      <c r="CH129" s="1166"/>
      <c r="CI129" s="1162">
        <v>1.6350159999999998</v>
      </c>
      <c r="CJ129" s="1166"/>
      <c r="CK129" s="1162">
        <v>1.6350159999999998</v>
      </c>
      <c r="CL129" s="1166"/>
      <c r="CM129" s="1011"/>
      <c r="CN129" s="1166"/>
      <c r="CO129" s="924"/>
      <c r="CP129" s="448"/>
      <c r="CQ129" s="925"/>
      <c r="CR129" s="726"/>
      <c r="CS129" s="1168">
        <v>1.635016</v>
      </c>
      <c r="CT129" s="1169"/>
      <c r="CU129" s="1170">
        <f t="shared" ref="CU129:CU141" si="253">IFERROR(CT129/CS129,"")</f>
        <v>0</v>
      </c>
      <c r="CV129" s="1171" t="str">
        <f>IFERROR(__xludf.DUMMYFUNCTION("IFERROR(SPARKLINE(CU129,{""charttype"",""bar"";""color1"",IF(CU129&gt;='Апрель'!green_percent,'Апрель'!green,IF(CU129&gt;='Апрель'!yellow_percent,'Апрель'!yellow,IF(CU129&gt;='Апрель'!orange_percent,'Апрель'!orange,'Апрель'!red)));""max"",1}))"),"")</f>
        <v/>
      </c>
      <c r="CW129" s="842"/>
      <c r="CX129" s="843"/>
      <c r="CY129" s="842"/>
      <c r="CZ129" s="843"/>
      <c r="DA129" s="843"/>
      <c r="DB129" s="843"/>
      <c r="DC129" s="843"/>
      <c r="DD129" s="843"/>
      <c r="DE129" s="843"/>
      <c r="DF129" s="843"/>
      <c r="DG129" s="843"/>
      <c r="DH129" s="843"/>
      <c r="DI129" s="843"/>
      <c r="DJ129" s="843"/>
      <c r="DK129" s="289"/>
      <c r="DL129" s="844"/>
      <c r="DM129" s="310"/>
      <c r="DN129" s="339"/>
      <c r="DO129" s="843"/>
      <c r="DP129" s="843"/>
    </row>
    <row r="130">
      <c r="A130" s="912"/>
      <c r="B130" s="937" t="s">
        <v>71</v>
      </c>
      <c r="C130" s="242"/>
      <c r="D130" s="242"/>
      <c r="E130" s="243"/>
      <c r="F130" s="581">
        <v>1635016.0</v>
      </c>
      <c r="G130" s="581">
        <f>SUMIFS(O130:DN130,$O$11:$DN$11,"Факт",$O$3:$DN$3,"&gt;"&amp;EOMONTH('Апрель'!date,-1),$O$3:$DN$3,"&lt;="&amp;EOMONTH('Апрель'!date,0))</f>
        <v>1576998.4</v>
      </c>
      <c r="H130" s="704">
        <f t="shared" si="248"/>
        <v>0.9645155766</v>
      </c>
      <c r="I130" s="413" t="str">
        <f>IFERROR(__xludf.DUMMYFUNCTION("IFERROR(SPARKLINE(H130,{""charttype"",""bar"";""color1"",IF(H130&gt;='Апрель'!green_percent,'Апрель'!green,IF(H130&gt;='Апрель'!yellow_percent,'Апрель'!yellow,IF(H130&gt;='Апрель'!orange_percent,'Апрель'!orange,'Апрель'!red)));""max"",1}))"),"")</f>
        <v/>
      </c>
      <c r="J130" s="1172"/>
      <c r="K130" s="497"/>
      <c r="L130" s="786"/>
      <c r="M130" s="497"/>
      <c r="N130" s="753"/>
      <c r="O130" s="497">
        <f t="shared" ref="O130:O131" si="254">F130/30</f>
        <v>54500.53333</v>
      </c>
      <c r="P130" s="786">
        <v>52742.0</v>
      </c>
      <c r="Q130" s="497">
        <f t="shared" ref="Q130:Q131" si="255">F130/30</f>
        <v>54500.53333</v>
      </c>
      <c r="R130" s="786">
        <v>52742.0</v>
      </c>
      <c r="S130" s="497">
        <f t="shared" ref="S130:S131" si="256">F130/30</f>
        <v>54500.53333</v>
      </c>
      <c r="T130" s="786">
        <f>S130</f>
        <v>54500.53333</v>
      </c>
      <c r="U130" s="497">
        <f t="shared" ref="U130:U131" si="257">F130/30</f>
        <v>54500.53333</v>
      </c>
      <c r="V130" s="786">
        <f>U130</f>
        <v>54500.53333</v>
      </c>
      <c r="W130" s="497">
        <f t="shared" ref="W130:W131" si="258">F130/30</f>
        <v>54500.53333</v>
      </c>
      <c r="X130" s="420">
        <f>W130</f>
        <v>54500.53333</v>
      </c>
      <c r="Y130" s="591">
        <f t="shared" ref="Y130:Y131" si="259">O130+Q130+S130+U130+W130</f>
        <v>272502.6667</v>
      </c>
      <c r="Z130" s="592">
        <f t="shared" ref="Z130:Z132" si="260">L130+N130+P130+R130+T130+V130+X130</f>
        <v>268985.6</v>
      </c>
      <c r="AA130" s="245">
        <f t="shared" si="249"/>
        <v>0.9870934596</v>
      </c>
      <c r="AB130" s="920" t="str">
        <f>IFERROR(__xludf.DUMMYFUNCTION("IFERROR(SPARKLINE(AA130,{""charttype"",""bar"";""color1"",IF(AA130&gt;='Апрель'!green_percent,'Апрель'!green,IF(AA130&gt;='Апрель'!yellow_percent,'Апрель'!yellow,IF(AA130&gt;='Апрель'!orange_percent,'Апрель'!orange,'Апрель'!red)));""max"",1}))"),"")</f>
        <v/>
      </c>
      <c r="AC130" s="425">
        <v>54500.53333333333</v>
      </c>
      <c r="AD130" s="1173">
        <v>54500.53333333333</v>
      </c>
      <c r="AE130" s="425">
        <v>54500.53333333333</v>
      </c>
      <c r="AF130" s="1173">
        <v>54500.53333333333</v>
      </c>
      <c r="AG130" s="425">
        <v>54500.53333333333</v>
      </c>
      <c r="AH130" s="1173">
        <v>54500.53333333333</v>
      </c>
      <c r="AI130" s="425">
        <v>54500.53333333333</v>
      </c>
      <c r="AJ130" s="1173">
        <v>54500.53333333333</v>
      </c>
      <c r="AK130" s="425">
        <v>54500.53333333333</v>
      </c>
      <c r="AL130" s="425">
        <v>54500.53333333333</v>
      </c>
      <c r="AM130" s="425">
        <v>54500.53333333333</v>
      </c>
      <c r="AN130" s="425">
        <v>54500.53333333333</v>
      </c>
      <c r="AO130" s="425">
        <v>54500.53333333333</v>
      </c>
      <c r="AP130" s="425">
        <v>54500.53333333333</v>
      </c>
      <c r="AQ130" s="423">
        <f t="shared" ref="AQ130:AQ131" si="261">F130/30*7</f>
        <v>381503.7333</v>
      </c>
      <c r="AR130" s="428">
        <v>381503.73333333334</v>
      </c>
      <c r="AS130" s="245">
        <f t="shared" si="250"/>
        <v>1</v>
      </c>
      <c r="AT130" s="920" t="str">
        <f>IFERROR(__xludf.DUMMYFUNCTION("IFERROR(SPARKLINE(AS130,{""charttype"",""bar"";""color1"",IF(AS130&gt;='Апрель'!green_percent,'Апрель'!green,IF(AS130&gt;='Апрель'!yellow_percent,'Апрель'!yellow,IF(AS130&gt;='Апрель'!orange_percent,'Апрель'!orange,'Апрель'!red)));""max"",1}))"),"")</f>
        <v/>
      </c>
      <c r="AU130" s="1174">
        <v>54500.53333333333</v>
      </c>
      <c r="AV130" s="1174">
        <v>54500.53333333333</v>
      </c>
      <c r="AW130" s="425">
        <v>54500.53333333333</v>
      </c>
      <c r="AX130" s="425">
        <v>54500.53333333333</v>
      </c>
      <c r="AY130" s="425">
        <v>54500.53333333333</v>
      </c>
      <c r="AZ130" s="425">
        <v>54500.53333333333</v>
      </c>
      <c r="BA130" s="425">
        <v>54500.53333333333</v>
      </c>
      <c r="BB130" s="1175">
        <v>54500.53333333333</v>
      </c>
      <c r="BC130" s="425">
        <v>54500.53333333333</v>
      </c>
      <c r="BD130" s="1175">
        <v>54500.53333333333</v>
      </c>
      <c r="BE130" s="425">
        <v>54500.53333333333</v>
      </c>
      <c r="BF130" s="1175">
        <v>54500.53333333333</v>
      </c>
      <c r="BG130" s="425">
        <v>54500.53333333333</v>
      </c>
      <c r="BH130" s="426">
        <v>54500.53333333333</v>
      </c>
      <c r="BI130" s="423">
        <v>381503.73333333334</v>
      </c>
      <c r="BJ130" s="428">
        <v>381503.73333333334</v>
      </c>
      <c r="BK130" s="245">
        <f t="shared" si="251"/>
        <v>1</v>
      </c>
      <c r="BL130" s="920" t="str">
        <f>IFERROR(__xludf.DUMMYFUNCTION("IFERROR(SPARKLINE(BK130,{""charttype"",""bar"";""color1"",IF(BK130&gt;='Апрель'!green_percent,'Апрель'!green,IF(BK130&gt;='Апрель'!yellow_percent,'Апрель'!yellow,IF(BK130&gt;='Апрель'!orange_percent,'Апрель'!orange,'Апрель'!red)));""max"",1}))"),"")</f>
        <v/>
      </c>
      <c r="BM130" s="425">
        <v>54500.53333333333</v>
      </c>
      <c r="BN130" s="710"/>
      <c r="BO130" s="425">
        <v>54500.53333333333</v>
      </c>
      <c r="BP130" s="1176">
        <v>54500.53333333333</v>
      </c>
      <c r="BQ130" s="425">
        <v>54500.53333333333</v>
      </c>
      <c r="BR130" s="431">
        <v>54500.53333333333</v>
      </c>
      <c r="BS130" s="425">
        <v>54500.53333333333</v>
      </c>
      <c r="BT130" s="431">
        <v>54500.53333333333</v>
      </c>
      <c r="BU130" s="425">
        <v>54500.53333333333</v>
      </c>
      <c r="BV130" s="431">
        <v>54500.53333333333</v>
      </c>
      <c r="BW130" s="425">
        <v>54500.53333333333</v>
      </c>
      <c r="BX130" s="431">
        <v>54500.53333333333</v>
      </c>
      <c r="BY130" s="425">
        <v>54500.53333333333</v>
      </c>
      <c r="BZ130" s="431">
        <v>54500.53333333333</v>
      </c>
      <c r="CA130" s="423">
        <v>381503.73333333334</v>
      </c>
      <c r="CB130" s="428">
        <v>381503.73333333334</v>
      </c>
      <c r="CC130" s="1177">
        <f t="shared" si="252"/>
        <v>1</v>
      </c>
      <c r="CD130" s="318" t="str">
        <f>IFERROR(__xludf.DUMMYFUNCTION("IFERROR(SPARKLINE(CC130,{""charttype"",""bar"";""color1"",IF(CC130&gt;='Апрель'!green_percent,'Апрель'!green,IF(CC130&gt;='Апрель'!yellow_percent,'Апрель'!yellow,IF(CC130&gt;='Апрель'!orange_percent,'Апрель'!orange,'Апрель'!red)));""max"",1}))"),"")</f>
        <v/>
      </c>
      <c r="CE130" s="425">
        <v>54500.53333333333</v>
      </c>
      <c r="CF130" s="425">
        <v>54500.53333333333</v>
      </c>
      <c r="CG130" s="425">
        <v>54500.53333333333</v>
      </c>
      <c r="CH130" s="425">
        <v>54500.53333333333</v>
      </c>
      <c r="CI130" s="425">
        <v>54500.53333333333</v>
      </c>
      <c r="CJ130" s="425">
        <v>54500.53333333333</v>
      </c>
      <c r="CK130" s="425">
        <v>54500.53333333333</v>
      </c>
      <c r="CL130" s="425">
        <v>54500.53333333333</v>
      </c>
      <c r="CM130" s="256"/>
      <c r="CN130" s="710"/>
      <c r="CO130" s="924"/>
      <c r="CP130" s="244"/>
      <c r="CQ130" s="925"/>
      <c r="CR130" s="708"/>
      <c r="CS130" s="436">
        <v>381503.73333333334</v>
      </c>
      <c r="CT130" s="437">
        <v>381503.73333333334</v>
      </c>
      <c r="CU130" s="1087">
        <f t="shared" si="253"/>
        <v>1</v>
      </c>
      <c r="CV130" s="1088" t="str">
        <f>IFERROR(__xludf.DUMMYFUNCTION("IFERROR(SPARKLINE(CU130,{""charttype"",""bar"";""color1"",IF(CU130&gt;='Апрель'!green_percent,'Апрель'!green,IF(CU130&gt;='Апрель'!yellow_percent,'Апрель'!yellow,IF(CU130&gt;='Апрель'!orange_percent,'Апрель'!orange,'Апрель'!red)));""max"",1}))"),"")</f>
        <v/>
      </c>
      <c r="CW130" s="842"/>
      <c r="CX130" s="875"/>
      <c r="CY130" s="842"/>
      <c r="CZ130" s="875"/>
      <c r="DA130" s="875"/>
      <c r="DB130" s="875"/>
      <c r="DC130" s="875"/>
      <c r="DD130" s="875"/>
      <c r="DE130" s="875"/>
      <c r="DF130" s="875"/>
      <c r="DG130" s="875"/>
      <c r="DH130" s="875"/>
      <c r="DI130" s="875"/>
      <c r="DJ130" s="875"/>
      <c r="DK130" s="326"/>
      <c r="DL130" s="876"/>
      <c r="DM130" s="327"/>
      <c r="DN130" s="329"/>
      <c r="DO130" s="875"/>
      <c r="DP130" s="875"/>
    </row>
    <row r="131">
      <c r="A131" s="927"/>
      <c r="B131" s="934" t="s">
        <v>72</v>
      </c>
      <c r="C131" s="217"/>
      <c r="D131" s="217"/>
      <c r="E131" s="218"/>
      <c r="F131" s="448">
        <v>25.0</v>
      </c>
      <c r="G131" s="400">
        <f>SUMIFS(O131:DN131,$O$11:$DN$11,"Факт",$O$3:$DN$3,"&gt;"&amp;EOMONTH('Апрель'!date,-1),$O$3:$DN$3,"&lt;="&amp;EOMONTH('Апрель'!date,0))</f>
        <v>27</v>
      </c>
      <c r="H131" s="543">
        <f t="shared" si="248"/>
        <v>1.08</v>
      </c>
      <c r="I131" s="449" t="str">
        <f>IFERROR(__xludf.DUMMYFUNCTION("IFERROR(SPARKLINE(H131,{""charttype"",""bar"";""color1"",IF(H131&gt;='Апрель'!green_percent,'Апрель'!green,IF(H131&gt;='Апрель'!yellow_percent,'Апрель'!yellow,IF(H131&gt;='Апрель'!orange_percent,'Апрель'!orange,'Апрель'!red)));""max"",1}))"),"")</f>
        <v/>
      </c>
      <c r="J131" s="1172"/>
      <c r="K131" s="417"/>
      <c r="L131" s="1024"/>
      <c r="M131" s="417"/>
      <c r="N131" s="799"/>
      <c r="O131" s="417">
        <f t="shared" si="254"/>
        <v>0.8333333333</v>
      </c>
      <c r="P131" s="1024">
        <v>0.0</v>
      </c>
      <c r="Q131" s="417">
        <f t="shared" si="255"/>
        <v>0.8333333333</v>
      </c>
      <c r="R131" s="1024">
        <v>1.0</v>
      </c>
      <c r="S131" s="417">
        <f t="shared" si="256"/>
        <v>0.8333333333</v>
      </c>
      <c r="T131" s="776">
        <v>1.0</v>
      </c>
      <c r="U131" s="417">
        <f t="shared" si="257"/>
        <v>0.8333333333</v>
      </c>
      <c r="V131" s="1024">
        <v>0.0</v>
      </c>
      <c r="W131" s="417">
        <f t="shared" si="258"/>
        <v>0.8333333333</v>
      </c>
      <c r="X131" s="1178">
        <v>0.0</v>
      </c>
      <c r="Y131" s="460">
        <f t="shared" si="259"/>
        <v>4.166666667</v>
      </c>
      <c r="Z131" s="461">
        <f t="shared" si="260"/>
        <v>2</v>
      </c>
      <c r="AA131" s="220">
        <f t="shared" si="249"/>
        <v>0.48</v>
      </c>
      <c r="AB131" s="449" t="str">
        <f>IFERROR(__xludf.DUMMYFUNCTION("IFERROR(SPARKLINE(AA131,{""charttype"",""bar"";""color1"",IF(AA131&gt;='Апрель'!green_percent,'Апрель'!green,IF(AA131&gt;='Апрель'!yellow_percent,'Апрель'!yellow,IF(AA131&gt;='Апрель'!orange_percent,'Апрель'!orange,'Апрель'!red)));""max"",1}))"),"")</f>
        <v/>
      </c>
      <c r="AC131" s="729">
        <v>0.8333333333333334</v>
      </c>
      <c r="AD131" s="459">
        <v>10.0</v>
      </c>
      <c r="AE131" s="729">
        <v>0.8333333333333334</v>
      </c>
      <c r="AF131" s="459">
        <v>1.0</v>
      </c>
      <c r="AG131" s="729">
        <v>0.8333333333333334</v>
      </c>
      <c r="AH131" s="459">
        <v>3.0</v>
      </c>
      <c r="AI131" s="729">
        <v>0.8333333333333334</v>
      </c>
      <c r="AJ131" s="459">
        <v>0.0</v>
      </c>
      <c r="AK131" s="729">
        <v>0.8333333333333334</v>
      </c>
      <c r="AL131" s="459">
        <v>0.0</v>
      </c>
      <c r="AM131" s="729">
        <v>0.8333333333333334</v>
      </c>
      <c r="AN131" s="1179">
        <v>0.0</v>
      </c>
      <c r="AO131" s="729">
        <v>0.8333333333333334</v>
      </c>
      <c r="AP131" s="455">
        <v>0.0</v>
      </c>
      <c r="AQ131" s="460">
        <f t="shared" si="261"/>
        <v>5.833333333</v>
      </c>
      <c r="AR131" s="464">
        <f>AD131+AF131+AH131+AJ131+AL131+AN131+AP131</f>
        <v>14</v>
      </c>
      <c r="AS131" s="220">
        <f t="shared" si="250"/>
        <v>2.4</v>
      </c>
      <c r="AT131" s="449" t="str">
        <f>IFERROR(__xludf.DUMMYFUNCTION("IFERROR(SPARKLINE(AS131,{""charttype"",""bar"";""color1"",IF(AS131&gt;='Апрель'!green_percent,'Апрель'!green,IF(AS131&gt;='Апрель'!yellow_percent,'Апрель'!yellow,IF(AS131&gt;='Апрель'!orange_percent,'Апрель'!orange,'Апрель'!red)));""max"",1}))"),"")</f>
        <v/>
      </c>
      <c r="AU131" s="1180">
        <v>0.8333333333333334</v>
      </c>
      <c r="AV131" s="463">
        <v>4.0</v>
      </c>
      <c r="AW131" s="729">
        <v>0.8333333333333334</v>
      </c>
      <c r="AX131" s="463">
        <v>0.0</v>
      </c>
      <c r="AY131" s="729">
        <v>0.8333333333333334</v>
      </c>
      <c r="AZ131" s="776">
        <v>0.0</v>
      </c>
      <c r="BA131" s="729">
        <v>0.8333333333333334</v>
      </c>
      <c r="BB131" s="776">
        <v>0.0</v>
      </c>
      <c r="BC131" s="729">
        <v>0.8333333333333334</v>
      </c>
      <c r="BD131" s="776">
        <v>0.0</v>
      </c>
      <c r="BE131" s="729">
        <v>0.8333333333333334</v>
      </c>
      <c r="BF131" s="776">
        <v>0.0</v>
      </c>
      <c r="BG131" s="729">
        <v>0.8333333333333334</v>
      </c>
      <c r="BH131" s="463">
        <v>0.0</v>
      </c>
      <c r="BI131" s="460">
        <v>5.833333333333334</v>
      </c>
      <c r="BJ131" s="464">
        <f>AV131+AX131+AZ131+BB131+BD131+BF131+BH131</f>
        <v>4</v>
      </c>
      <c r="BK131" s="220">
        <f t="shared" si="251"/>
        <v>0.6857142857</v>
      </c>
      <c r="BL131" s="449" t="str">
        <f>IFERROR(__xludf.DUMMYFUNCTION("IFERROR(SPARKLINE(BK131,{""charttype"",""bar"";""color1"",IF(BK131&gt;='Апрель'!green_percent,'Апрель'!green,IF(BK131&gt;='Апрель'!yellow_percent,'Апрель'!yellow,IF(BK131&gt;='Апрель'!orange_percent,'Апрель'!orange,'Апрель'!red)));""max"",1}))"),"")</f>
        <v/>
      </c>
      <c r="BM131" s="729">
        <v>0.8333333333333334</v>
      </c>
      <c r="BN131" s="466"/>
      <c r="BO131" s="729">
        <v>0.8333333333333334</v>
      </c>
      <c r="BP131" s="465">
        <v>0.0</v>
      </c>
      <c r="BQ131" s="729">
        <v>0.8333333333333334</v>
      </c>
      <c r="BR131" s="465">
        <v>0.0</v>
      </c>
      <c r="BS131" s="729">
        <v>0.8333333333333334</v>
      </c>
      <c r="BT131" s="465">
        <v>2.0</v>
      </c>
      <c r="BU131" s="729">
        <v>0.8333333333333334</v>
      </c>
      <c r="BV131" s="465">
        <v>1.0</v>
      </c>
      <c r="BW131" s="729">
        <v>0.8333333333333334</v>
      </c>
      <c r="BX131" s="465">
        <v>0.0</v>
      </c>
      <c r="BY131" s="729">
        <v>0.8333333333333334</v>
      </c>
      <c r="BZ131" s="465">
        <v>0.0</v>
      </c>
      <c r="CA131" s="460">
        <v>5.833333333333334</v>
      </c>
      <c r="CB131" s="464">
        <f>BN131+BP131+BR131+BT131+BV131+BX131+BZ131</f>
        <v>3</v>
      </c>
      <c r="CC131" s="1181">
        <f t="shared" si="252"/>
        <v>0.5142857143</v>
      </c>
      <c r="CD131" s="334" t="str">
        <f>IFERROR(__xludf.DUMMYFUNCTION("IFERROR(SPARKLINE(CC131,{""charttype"",""bar"";""color1"",IF(CC131&gt;='Апрель'!green_percent,'Апрель'!green,IF(CC131&gt;='Апрель'!yellow_percent,'Апрель'!yellow,IF(CC131&gt;='Апрель'!orange_percent,'Апрель'!orange,'Апрель'!red)));""max"",1}))"),"")</f>
        <v/>
      </c>
      <c r="CE131" s="729">
        <v>0.8333333333333334</v>
      </c>
      <c r="CF131" s="466">
        <v>0.0</v>
      </c>
      <c r="CG131" s="729">
        <v>0.8333333333333334</v>
      </c>
      <c r="CH131" s="466">
        <v>1.0</v>
      </c>
      <c r="CI131" s="729">
        <v>0.8333333333333334</v>
      </c>
      <c r="CJ131" s="466">
        <v>1.0</v>
      </c>
      <c r="CK131" s="729">
        <v>0.8333333333333334</v>
      </c>
      <c r="CL131" s="466">
        <v>2.0</v>
      </c>
      <c r="CM131" s="256"/>
      <c r="CN131" s="466"/>
      <c r="CO131" s="924"/>
      <c r="CP131" s="448"/>
      <c r="CQ131" s="925"/>
      <c r="CR131" s="726"/>
      <c r="CS131" s="1182">
        <v>5.833333333333334</v>
      </c>
      <c r="CT131" s="733">
        <f>CF131+CH131+CJ131+CL131+CN131+CP131+CR131</f>
        <v>4</v>
      </c>
      <c r="CU131" s="840">
        <f t="shared" si="253"/>
        <v>0.6857142857</v>
      </c>
      <c r="CV131" s="841" t="str">
        <f>IFERROR(__xludf.DUMMYFUNCTION("IFERROR(SPARKLINE(CU131,{""charttype"",""bar"";""color1"",IF(CU131&gt;='Апрель'!green_percent,'Апрель'!green,IF(CU131&gt;='Апрель'!yellow_percent,'Апрель'!yellow,IF(CU131&gt;='Апрель'!orange_percent,'Апрель'!orange,'Апрель'!red)));""max"",1}))"),"")</f>
        <v/>
      </c>
      <c r="CW131" s="842"/>
      <c r="CX131" s="843"/>
      <c r="CY131" s="842"/>
      <c r="CZ131" s="843"/>
      <c r="DA131" s="843"/>
      <c r="DB131" s="843"/>
      <c r="DC131" s="843"/>
      <c r="DD131" s="843"/>
      <c r="DE131" s="843"/>
      <c r="DF131" s="843"/>
      <c r="DG131" s="843"/>
      <c r="DH131" s="843"/>
      <c r="DI131" s="843"/>
      <c r="DJ131" s="843"/>
      <c r="DK131" s="289"/>
      <c r="DL131" s="844"/>
      <c r="DM131" s="310"/>
      <c r="DN131" s="339"/>
      <c r="DO131" s="843"/>
      <c r="DP131" s="843"/>
    </row>
    <row r="132">
      <c r="A132" s="912"/>
      <c r="B132" s="937" t="s">
        <v>22</v>
      </c>
      <c r="C132" s="242"/>
      <c r="D132" s="242"/>
      <c r="E132" s="243"/>
      <c r="F132" s="581">
        <f t="shared" ref="F132:G132" si="262">F130/F131</f>
        <v>65400.64</v>
      </c>
      <c r="G132" s="581">
        <f t="shared" si="262"/>
        <v>58407.34815</v>
      </c>
      <c r="H132" s="704">
        <f t="shared" si="248"/>
        <v>0.8930699783</v>
      </c>
      <c r="I132" s="413" t="str">
        <f>IFERROR(__xludf.DUMMYFUNCTION("IFERROR(SPARKLINE(H132,{""charttype"",""bar"";""color1"",IF(H132&gt;='Апрель'!green_percent,'Апрель'!green,IF(H132&gt;='Апрель'!yellow_percent,'Апрель'!yellow,IF(H132&gt;='Апрель'!orange_percent,'Апрель'!orange,'Апрель'!red)));""max"",1}))"),"")</f>
        <v/>
      </c>
      <c r="J132" s="1172"/>
      <c r="K132" s="497"/>
      <c r="L132" s="1175"/>
      <c r="M132" s="497"/>
      <c r="N132" s="753"/>
      <c r="O132" s="497">
        <f>O130/O131</f>
        <v>65400.64</v>
      </c>
      <c r="P132" s="1175"/>
      <c r="Q132" s="497">
        <f t="shared" ref="Q132:U132" si="263">Q130/Q131</f>
        <v>65400.64</v>
      </c>
      <c r="R132" s="786">
        <f t="shared" si="263"/>
        <v>52742</v>
      </c>
      <c r="S132" s="497">
        <f t="shared" si="263"/>
        <v>65400.64</v>
      </c>
      <c r="T132" s="786">
        <f t="shared" si="263"/>
        <v>54500.53333</v>
      </c>
      <c r="U132" s="1018">
        <f t="shared" si="263"/>
        <v>65400.64</v>
      </c>
      <c r="V132" s="776"/>
      <c r="W132" s="1018">
        <f>W130/W131</f>
        <v>65400.64</v>
      </c>
      <c r="X132" s="822"/>
      <c r="Y132" s="591">
        <f>F132</f>
        <v>65400.64</v>
      </c>
      <c r="Z132" s="592">
        <f t="shared" si="260"/>
        <v>107242.5333</v>
      </c>
      <c r="AA132" s="412">
        <f t="shared" si="249"/>
        <v>1.639778041</v>
      </c>
      <c r="AB132" s="413" t="str">
        <f>IFERROR(__xludf.DUMMYFUNCTION("IFERROR(SPARKLINE(AA132,{""charttype"",""bar"";""color1"",IF(AA132&gt;='Апрель'!green_percent,'Апрель'!green,IF(AA132&gt;='Апрель'!yellow_percent,'Апрель'!yellow,IF(AA132&gt;='Апрель'!orange_percent,'Апрель'!orange,'Апрель'!red)));""max"",1}))"),"")</f>
        <v/>
      </c>
      <c r="AC132" s="425">
        <v>65400.64</v>
      </c>
      <c r="AD132" s="1173">
        <f>AD130/AD131</f>
        <v>5450.053333</v>
      </c>
      <c r="AE132" s="425">
        <v>65400.64</v>
      </c>
      <c r="AF132" s="1173">
        <f>AF130/AF131</f>
        <v>54500.53333</v>
      </c>
      <c r="AG132" s="425">
        <v>65400.64</v>
      </c>
      <c r="AH132" s="1173">
        <f>AH130/AH131</f>
        <v>18166.84444</v>
      </c>
      <c r="AI132" s="425">
        <v>65400.64</v>
      </c>
      <c r="AJ132" s="824"/>
      <c r="AK132" s="425">
        <v>65400.64</v>
      </c>
      <c r="AL132" s="824"/>
      <c r="AM132" s="425">
        <v>65400.64</v>
      </c>
      <c r="AN132" s="825"/>
      <c r="AO132" s="425">
        <v>65400.64</v>
      </c>
      <c r="AP132" s="455"/>
      <c r="AQ132" s="423">
        <f t="shared" ref="AQ132:AR132" si="264">AQ130/AQ131</f>
        <v>65400.64</v>
      </c>
      <c r="AR132" s="428">
        <f t="shared" si="264"/>
        <v>27250.26667</v>
      </c>
      <c r="AS132" s="412">
        <f t="shared" si="250"/>
        <v>0.4166666667</v>
      </c>
      <c r="AT132" s="413" t="str">
        <f>IFERROR(__xludf.DUMMYFUNCTION("IFERROR(SPARKLINE(AS132,{""charttype"",""bar"";""color1"",IF(AS132&gt;='Апрель'!green_percent,'Апрель'!green,IF(AS132&gt;='Апрель'!yellow_percent,'Апрель'!yellow,IF(AS132&gt;='Апрель'!orange_percent,'Апрель'!orange,'Апрель'!red)));""max"",1}))"),"")</f>
        <v/>
      </c>
      <c r="AU132" s="1174">
        <v>65400.64</v>
      </c>
      <c r="AV132" s="420">
        <f>AV130/AV131</f>
        <v>13625.13333</v>
      </c>
      <c r="AW132" s="425">
        <v>65400.64</v>
      </c>
      <c r="AX132" s="822"/>
      <c r="AY132" s="425">
        <v>65400.64</v>
      </c>
      <c r="AZ132" s="776"/>
      <c r="BA132" s="425">
        <v>65400.64</v>
      </c>
      <c r="BB132" s="776"/>
      <c r="BC132" s="425">
        <v>65400.64</v>
      </c>
      <c r="BD132" s="776"/>
      <c r="BE132" s="425">
        <v>65400.64</v>
      </c>
      <c r="BF132" s="776"/>
      <c r="BG132" s="425">
        <v>65400.64</v>
      </c>
      <c r="BH132" s="822"/>
      <c r="BI132" s="423">
        <v>65400.63999999999</v>
      </c>
      <c r="BJ132" s="428">
        <f>BJ130/BJ131</f>
        <v>95375.93333</v>
      </c>
      <c r="BK132" s="412">
        <f t="shared" si="251"/>
        <v>1.458333333</v>
      </c>
      <c r="BL132" s="413" t="str">
        <f>IFERROR(__xludf.DUMMYFUNCTION("IFERROR(SPARKLINE(BK132,{""charttype"",""bar"";""color1"",IF(BK132&gt;='Апрель'!green_percent,'Апрель'!green,IF(BK132&gt;='Апрель'!yellow_percent,'Апрель'!yellow,IF(BK132&gt;='Апрель'!orange_percent,'Апрель'!orange,'Апрель'!red)));""max"",1}))"),"")</f>
        <v/>
      </c>
      <c r="BM132" s="425">
        <v>65400.64</v>
      </c>
      <c r="BN132" s="710"/>
      <c r="BO132" s="425">
        <v>65400.64</v>
      </c>
      <c r="BP132" s="465"/>
      <c r="BQ132" s="425">
        <v>65400.64</v>
      </c>
      <c r="BR132" s="716"/>
      <c r="BS132" s="425">
        <v>65400.64</v>
      </c>
      <c r="BT132" s="744">
        <f>BT130/BT131</f>
        <v>27250.26667</v>
      </c>
      <c r="BU132" s="425">
        <v>65400.64</v>
      </c>
      <c r="BV132" s="744">
        <f>BV130/BV131</f>
        <v>54500.53333</v>
      </c>
      <c r="BW132" s="425">
        <v>65400.64</v>
      </c>
      <c r="BX132" s="716"/>
      <c r="BY132" s="425">
        <v>65400.64</v>
      </c>
      <c r="BZ132" s="716"/>
      <c r="CA132" s="423">
        <v>65400.63999999999</v>
      </c>
      <c r="CB132" s="428">
        <f>CB130/CB131</f>
        <v>127167.9111</v>
      </c>
      <c r="CC132" s="1177">
        <f t="shared" si="252"/>
        <v>1.944444444</v>
      </c>
      <c r="CD132" s="318" t="str">
        <f>IFERROR(__xludf.DUMMYFUNCTION("IFERROR(SPARKLINE(CC132,{""charttype"",""bar"";""color1"",IF(CC132&gt;='Апрель'!green_percent,'Апрель'!green,IF(CC132&gt;='Апрель'!yellow_percent,'Апрель'!yellow,IF(CC132&gt;='Апрель'!orange_percent,'Апрель'!orange,'Апрель'!red)));""max"",1}))"),"")</f>
        <v/>
      </c>
      <c r="CE132" s="425">
        <v>65400.64</v>
      </c>
      <c r="CF132" s="710"/>
      <c r="CG132" s="425">
        <v>65400.64</v>
      </c>
      <c r="CH132" s="739">
        <f>CH130/CH131</f>
        <v>54500.53333</v>
      </c>
      <c r="CI132" s="425">
        <v>65400.64</v>
      </c>
      <c r="CJ132" s="739">
        <f>CJ130/CJ131</f>
        <v>54500.53333</v>
      </c>
      <c r="CK132" s="425">
        <v>65400.64</v>
      </c>
      <c r="CL132" s="739">
        <f>CL130/CL131</f>
        <v>27250.26667</v>
      </c>
      <c r="CM132" s="256"/>
      <c r="CN132" s="710"/>
      <c r="CO132" s="924"/>
      <c r="CP132" s="244"/>
      <c r="CQ132" s="925"/>
      <c r="CR132" s="708"/>
      <c r="CS132" s="436">
        <v>65400.63999999999</v>
      </c>
      <c r="CT132" s="437">
        <f>CT130/CT131</f>
        <v>95375.93333</v>
      </c>
      <c r="CU132" s="1087">
        <f t="shared" si="253"/>
        <v>1.458333333</v>
      </c>
      <c r="CV132" s="1088" t="str">
        <f>IFERROR(__xludf.DUMMYFUNCTION("IFERROR(SPARKLINE(CU132,{""charttype"",""bar"";""color1"",IF(CU132&gt;='Апрель'!green_percent,'Апрель'!green,IF(CU132&gt;='Апрель'!yellow_percent,'Апрель'!yellow,IF(CU132&gt;='Апрель'!orange_percent,'Апрель'!orange,'Апрель'!red)));""max"",1}))"),"")</f>
        <v/>
      </c>
      <c r="CW132" s="842"/>
      <c r="CX132" s="875"/>
      <c r="CY132" s="842"/>
      <c r="CZ132" s="875"/>
      <c r="DA132" s="875"/>
      <c r="DB132" s="875"/>
      <c r="DC132" s="875"/>
      <c r="DD132" s="875"/>
      <c r="DE132" s="875"/>
      <c r="DF132" s="875"/>
      <c r="DG132" s="875"/>
      <c r="DH132" s="875"/>
      <c r="DI132" s="875"/>
      <c r="DJ132" s="875"/>
      <c r="DK132" s="326"/>
      <c r="DL132" s="876"/>
      <c r="DM132" s="327"/>
      <c r="DN132" s="329"/>
      <c r="DO132" s="875"/>
      <c r="DP132" s="875"/>
    </row>
    <row r="133">
      <c r="A133" s="927"/>
      <c r="B133" s="934" t="s">
        <v>35</v>
      </c>
      <c r="C133" s="217"/>
      <c r="D133" s="217"/>
      <c r="E133" s="218"/>
      <c r="F133" s="448">
        <v>19.0</v>
      </c>
      <c r="G133" s="400">
        <f>SUMIFS(O133:DN133,$O$11:$DN$11,"Факт",$O$3:$DN$3,"&gt;"&amp;EOMONTH('Апрель'!date,-1),$O$3:$DN$3,"&lt;="&amp;EOMONTH('Апрель'!date,0))</f>
        <v>22</v>
      </c>
      <c r="H133" s="543">
        <f t="shared" si="248"/>
        <v>1.157894737</v>
      </c>
      <c r="I133" s="449" t="str">
        <f>IFERROR(__xludf.DUMMYFUNCTION("IFERROR(SPARKLINE(H133,{""charttype"",""bar"";""color1"",IF(H133&gt;='Апрель'!green_percent,'Апрель'!green,IF(H133&gt;='Апрель'!yellow_percent,'Апрель'!yellow,IF(H133&gt;='Апрель'!orange_percent,'Апрель'!orange,'Апрель'!red)));""max"",1}))"),"")</f>
        <v/>
      </c>
      <c r="J133" s="1172"/>
      <c r="K133" s="417"/>
      <c r="L133" s="776"/>
      <c r="M133" s="417"/>
      <c r="N133" s="773"/>
      <c r="O133" s="417">
        <f>F133/30</f>
        <v>0.6333333333</v>
      </c>
      <c r="P133" s="776">
        <v>0.0</v>
      </c>
      <c r="Q133" s="417">
        <f>F133/30</f>
        <v>0.6333333333</v>
      </c>
      <c r="R133" s="776">
        <v>1.0</v>
      </c>
      <c r="S133" s="417">
        <f>F133/30</f>
        <v>0.6333333333</v>
      </c>
      <c r="T133" s="776">
        <v>1.0</v>
      </c>
      <c r="U133" s="417">
        <f>F133/30</f>
        <v>0.6333333333</v>
      </c>
      <c r="V133" s="776">
        <v>0.0</v>
      </c>
      <c r="W133" s="417">
        <f>F133/30</f>
        <v>0.6333333333</v>
      </c>
      <c r="X133" s="463">
        <v>0.0</v>
      </c>
      <c r="Y133" s="460">
        <f t="shared" ref="Y133:Z133" si="265">K133+M133+O133+Q133+S133+U133+W133</f>
        <v>3.166666667</v>
      </c>
      <c r="Z133" s="461">
        <f t="shared" si="265"/>
        <v>2</v>
      </c>
      <c r="AA133" s="220">
        <f t="shared" si="249"/>
        <v>0.6315789474</v>
      </c>
      <c r="AB133" s="449" t="str">
        <f>IFERROR(__xludf.DUMMYFUNCTION("IFERROR(SPARKLINE(AA133,{""charttype"",""bar"";""color1"",IF(AA133&gt;='Апрель'!green_percent,'Апрель'!green,IF(AA133&gt;='Апрель'!yellow_percent,'Апрель'!yellow,IF(AA133&gt;='Апрель'!orange_percent,'Апрель'!orange,'Апрель'!red)));""max"",1}))"),"")</f>
        <v/>
      </c>
      <c r="AC133" s="729">
        <v>0.6333333333333333</v>
      </c>
      <c r="AD133" s="459">
        <v>10.0</v>
      </c>
      <c r="AE133" s="729">
        <v>0.6333333333333333</v>
      </c>
      <c r="AF133" s="459">
        <v>1.0</v>
      </c>
      <c r="AG133" s="729">
        <v>0.6333333333333333</v>
      </c>
      <c r="AH133" s="459">
        <v>2.0</v>
      </c>
      <c r="AI133" s="729">
        <v>0.6333333333333333</v>
      </c>
      <c r="AJ133" s="824"/>
      <c r="AK133" s="729">
        <v>0.6333333333333333</v>
      </c>
      <c r="AL133" s="824"/>
      <c r="AM133" s="729">
        <v>0.6333333333333333</v>
      </c>
      <c r="AN133" s="825"/>
      <c r="AO133" s="729">
        <v>0.6333333333333333</v>
      </c>
      <c r="AP133" s="455"/>
      <c r="AQ133" s="333">
        <f>F133/30*7</f>
        <v>4.433333333</v>
      </c>
      <c r="AR133" s="811">
        <f>AD133+AF133+AH133+AJ133+AL133+AN133+AP133</f>
        <v>13</v>
      </c>
      <c r="AS133" s="220">
        <f t="shared" si="250"/>
        <v>2.932330827</v>
      </c>
      <c r="AT133" s="449" t="str">
        <f>IFERROR(__xludf.DUMMYFUNCTION("IFERROR(SPARKLINE(AS133,{""charttype"",""bar"";""color1"",IF(AS133&gt;='Апрель'!green_percent,'Апрель'!green,IF(AS133&gt;='Апрель'!yellow_percent,'Апрель'!yellow,IF(AS133&gt;='Апрель'!orange_percent,'Апрель'!orange,'Апрель'!red)));""max"",1}))"),"")</f>
        <v/>
      </c>
      <c r="AU133" s="1180">
        <v>0.6333333333333333</v>
      </c>
      <c r="AV133" s="463">
        <v>1.0</v>
      </c>
      <c r="AW133" s="729">
        <v>0.6333333333333333</v>
      </c>
      <c r="AX133" s="463">
        <v>0.0</v>
      </c>
      <c r="AY133" s="729">
        <v>0.6333333333333333</v>
      </c>
      <c r="AZ133" s="776"/>
      <c r="BA133" s="729">
        <v>0.6333333333333333</v>
      </c>
      <c r="BB133" s="776">
        <v>0.0</v>
      </c>
      <c r="BC133" s="729">
        <v>0.6333333333333333</v>
      </c>
      <c r="BD133" s="776">
        <v>0.0</v>
      </c>
      <c r="BE133" s="729">
        <v>0.6333333333333333</v>
      </c>
      <c r="BF133" s="776">
        <v>0.0</v>
      </c>
      <c r="BG133" s="729">
        <v>0.6333333333333333</v>
      </c>
      <c r="BH133" s="463">
        <v>0.0</v>
      </c>
      <c r="BI133" s="333">
        <v>4.433333333333334</v>
      </c>
      <c r="BJ133" s="811">
        <f>AV133+AX133+AZ133+BB133+BD133+BF133+BH133</f>
        <v>1</v>
      </c>
      <c r="BK133" s="220">
        <f t="shared" si="251"/>
        <v>0.2255639098</v>
      </c>
      <c r="BL133" s="449" t="str">
        <f>IFERROR(__xludf.DUMMYFUNCTION("IFERROR(SPARKLINE(BK133,{""charttype"",""bar"";""color1"",IF(BK133&gt;='Апрель'!green_percent,'Апрель'!green,IF(BK133&gt;='Апрель'!yellow_percent,'Апрель'!yellow,IF(BK133&gt;='Апрель'!orange_percent,'Апрель'!orange,'Апрель'!red)));""max"",1}))"),"")</f>
        <v/>
      </c>
      <c r="BM133" s="729">
        <v>0.6333333333333333</v>
      </c>
      <c r="BN133" s="466"/>
      <c r="BO133" s="729">
        <v>0.6333333333333333</v>
      </c>
      <c r="BP133" s="465">
        <v>0.0</v>
      </c>
      <c r="BQ133" s="729">
        <v>0.6333333333333333</v>
      </c>
      <c r="BR133" s="465">
        <v>0.0</v>
      </c>
      <c r="BS133" s="729">
        <v>0.6333333333333333</v>
      </c>
      <c r="BT133" s="465">
        <v>2.0</v>
      </c>
      <c r="BU133" s="729">
        <v>0.6333333333333333</v>
      </c>
      <c r="BV133" s="465">
        <v>1.0</v>
      </c>
      <c r="BW133" s="729">
        <v>0.6333333333333333</v>
      </c>
      <c r="BX133" s="465">
        <v>0.0</v>
      </c>
      <c r="BY133" s="729">
        <v>0.6333333333333333</v>
      </c>
      <c r="BZ133" s="465">
        <v>0.0</v>
      </c>
      <c r="CA133" s="333">
        <v>4.433333333333334</v>
      </c>
      <c r="CB133" s="464">
        <f>BN133+BP133+BR133+BT133+BV133+BX133+BZ133</f>
        <v>3</v>
      </c>
      <c r="CC133" s="1181">
        <f t="shared" si="252"/>
        <v>0.6766917293</v>
      </c>
      <c r="CD133" s="334" t="str">
        <f>IFERROR(__xludf.DUMMYFUNCTION("IFERROR(SPARKLINE(CC133,{""charttype"",""bar"";""color1"",IF(CC133&gt;='Апрель'!green_percent,'Апрель'!green,IF(CC133&gt;='Апрель'!yellow_percent,'Апрель'!yellow,IF(CC133&gt;='Апрель'!orange_percent,'Апрель'!orange,'Апрель'!red)));""max"",1}))"),"")</f>
        <v/>
      </c>
      <c r="CE133" s="729">
        <v>0.6333333333333333</v>
      </c>
      <c r="CF133" s="466">
        <v>0.0</v>
      </c>
      <c r="CG133" s="729">
        <v>0.6333333333333333</v>
      </c>
      <c r="CH133" s="466">
        <v>1.0</v>
      </c>
      <c r="CI133" s="729">
        <v>0.6333333333333333</v>
      </c>
      <c r="CJ133" s="466">
        <v>1.0</v>
      </c>
      <c r="CK133" s="729">
        <v>0.6333333333333333</v>
      </c>
      <c r="CL133" s="466">
        <v>1.0</v>
      </c>
      <c r="CM133" s="256"/>
      <c r="CN133" s="466"/>
      <c r="CO133" s="924"/>
      <c r="CP133" s="448"/>
      <c r="CQ133" s="925"/>
      <c r="CR133" s="726"/>
      <c r="CS133" s="1183">
        <v>4.433333333333334</v>
      </c>
      <c r="CT133" s="733">
        <f>CF133+CH133+CJ133+CL133+CN133+CP133+CR133</f>
        <v>3</v>
      </c>
      <c r="CU133" s="840">
        <f t="shared" si="253"/>
        <v>0.6766917293</v>
      </c>
      <c r="CV133" s="841" t="str">
        <f>IFERROR(__xludf.DUMMYFUNCTION("IFERROR(SPARKLINE(CU133,{""charttype"",""bar"";""color1"",IF(CU133&gt;='Апрель'!green_percent,'Апрель'!green,IF(CU133&gt;='Апрель'!yellow_percent,'Апрель'!yellow,IF(CU133&gt;='Апрель'!orange_percent,'Апрель'!orange,'Апрель'!red)));""max"",1}))"),"")</f>
        <v/>
      </c>
      <c r="CW133" s="842"/>
      <c r="CX133" s="843"/>
      <c r="CY133" s="842"/>
      <c r="CZ133" s="843"/>
      <c r="DA133" s="843"/>
      <c r="DB133" s="843"/>
      <c r="DC133" s="843"/>
      <c r="DD133" s="843"/>
      <c r="DE133" s="843"/>
      <c r="DF133" s="843"/>
      <c r="DG133" s="843"/>
      <c r="DH133" s="843"/>
      <c r="DI133" s="843"/>
      <c r="DJ133" s="843"/>
      <c r="DK133" s="289"/>
      <c r="DL133" s="844"/>
      <c r="DM133" s="310"/>
      <c r="DN133" s="339"/>
      <c r="DO133" s="843"/>
      <c r="DP133" s="843"/>
    </row>
    <row r="134">
      <c r="A134" s="912"/>
      <c r="B134" s="937" t="s">
        <v>25</v>
      </c>
      <c r="C134" s="242"/>
      <c r="D134" s="242"/>
      <c r="E134" s="243"/>
      <c r="F134" s="412">
        <f t="shared" ref="F134:H134" si="266">F133/F131</f>
        <v>0.76</v>
      </c>
      <c r="G134" s="412">
        <f t="shared" si="266"/>
        <v>0.8148148148</v>
      </c>
      <c r="H134" s="412">
        <f t="shared" si="266"/>
        <v>1.072124756</v>
      </c>
      <c r="I134" s="413" t="str">
        <f>IFERROR(__xludf.DUMMYFUNCTION("IFERROR(SPARKLINE(H134,{""charttype"",""bar"";""color1"",IF(H134&gt;='Апрель'!green_percent,'Апрель'!green,IF(H134&gt;='Апрель'!yellow_percent,'Апрель'!yellow,IF(H134&gt;='Апрель'!orange_percent,'Апрель'!orange,'Апрель'!red)));""max"",1}))"),"")</f>
        <v/>
      </c>
      <c r="J134" s="1172"/>
      <c r="K134" s="515"/>
      <c r="L134" s="953"/>
      <c r="M134" s="515"/>
      <c r="N134" s="752"/>
      <c r="O134" s="515">
        <f>O133/O131</f>
        <v>0.76</v>
      </c>
      <c r="P134" s="953"/>
      <c r="Q134" s="515">
        <f t="shared" ref="Q134:U134" si="267">Q133/Q131</f>
        <v>0.76</v>
      </c>
      <c r="R134" s="755">
        <f t="shared" si="267"/>
        <v>1</v>
      </c>
      <c r="S134" s="515">
        <f t="shared" si="267"/>
        <v>0.76</v>
      </c>
      <c r="T134" s="755">
        <f t="shared" si="267"/>
        <v>1</v>
      </c>
      <c r="U134" s="941">
        <f t="shared" si="267"/>
        <v>0.76</v>
      </c>
      <c r="V134" s="776"/>
      <c r="W134" s="941">
        <f>W133/W131</f>
        <v>0.76</v>
      </c>
      <c r="X134" s="822"/>
      <c r="Y134" s="316">
        <f>Y133/Y131</f>
        <v>0.76</v>
      </c>
      <c r="Z134" s="253">
        <f t="shared" ref="Z134:Z140" si="271">L134+N134+P134+R134+T134+V134+X134</f>
        <v>2</v>
      </c>
      <c r="AA134" s="412">
        <f t="shared" si="249"/>
        <v>2.631578947</v>
      </c>
      <c r="AB134" s="413" t="str">
        <f>IFERROR(__xludf.DUMMYFUNCTION("IFERROR(SPARKLINE(AA134,{""charttype"",""bar"";""color1"",IF(AA134&gt;='Апрель'!green_percent,'Апрель'!green,IF(AA134&gt;='Апрель'!yellow_percent,'Апрель'!yellow,IF(AA134&gt;='Апрель'!orange_percent,'Апрель'!orange,'Апрель'!red)));""max"",1}))"),"")</f>
        <v/>
      </c>
      <c r="AC134" s="541">
        <v>0.7599999999999999</v>
      </c>
      <c r="AD134" s="1184">
        <f>AD133/AD131</f>
        <v>1</v>
      </c>
      <c r="AE134" s="541">
        <v>0.7599999999999999</v>
      </c>
      <c r="AF134" s="1184">
        <f>AF133/AF131</f>
        <v>1</v>
      </c>
      <c r="AG134" s="541">
        <v>0.7599999999999999</v>
      </c>
      <c r="AH134" s="1184">
        <f>AH133/AH131</f>
        <v>0.6666666667</v>
      </c>
      <c r="AI134" s="541">
        <v>0.7599999999999999</v>
      </c>
      <c r="AJ134" s="824"/>
      <c r="AK134" s="541">
        <v>0.7599999999999999</v>
      </c>
      <c r="AL134" s="824"/>
      <c r="AM134" s="541">
        <v>0.7599999999999999</v>
      </c>
      <c r="AN134" s="825"/>
      <c r="AO134" s="541">
        <v>0.7599999999999999</v>
      </c>
      <c r="AP134" s="455"/>
      <c r="AQ134" s="1185">
        <f t="shared" ref="AQ134:AR134" si="268">AQ133/AQ131</f>
        <v>0.76</v>
      </c>
      <c r="AR134" s="253">
        <f t="shared" si="268"/>
        <v>0.9285714286</v>
      </c>
      <c r="AS134" s="412">
        <f t="shared" si="250"/>
        <v>1.221804511</v>
      </c>
      <c r="AT134" s="413" t="str">
        <f>IFERROR(__xludf.DUMMYFUNCTION("IFERROR(SPARKLINE(AS134,{""charttype"",""bar"";""color1"",IF(AS134&gt;='Апрель'!green_percent,'Апрель'!green,IF(AS134&gt;='Апрель'!yellow_percent,'Апрель'!yellow,IF(AS134&gt;='Апрель'!orange_percent,'Апрель'!orange,'Апрель'!red)));""max"",1}))"),"")</f>
        <v/>
      </c>
      <c r="AU134" s="1186">
        <v>0.7599999999999999</v>
      </c>
      <c r="AV134" s="517">
        <f>AV133/AV131</f>
        <v>0.25</v>
      </c>
      <c r="AW134" s="541">
        <v>0.7599999999999999</v>
      </c>
      <c r="AX134" s="822"/>
      <c r="AY134" s="541">
        <v>0.7599999999999999</v>
      </c>
      <c r="AZ134" s="776"/>
      <c r="BA134" s="541">
        <v>0.7599999999999999</v>
      </c>
      <c r="BB134" s="776"/>
      <c r="BC134" s="541">
        <v>0.7599999999999999</v>
      </c>
      <c r="BD134" s="776"/>
      <c r="BE134" s="541">
        <v>0.7599999999999999</v>
      </c>
      <c r="BF134" s="776"/>
      <c r="BG134" s="541">
        <v>0.7599999999999999</v>
      </c>
      <c r="BH134" s="822"/>
      <c r="BI134" s="1185">
        <v>0.76</v>
      </c>
      <c r="BJ134" s="253">
        <f>BJ133/BJ131</f>
        <v>0.25</v>
      </c>
      <c r="BK134" s="412">
        <f t="shared" si="251"/>
        <v>0.3289473684</v>
      </c>
      <c r="BL134" s="413" t="str">
        <f>IFERROR(__xludf.DUMMYFUNCTION("IFERROR(SPARKLINE(BK134,{""charttype"",""bar"";""color1"",IF(BK134&gt;='Апрель'!green_percent,'Апрель'!green,IF(BK134&gt;='Апрель'!yellow_percent,'Апрель'!yellow,IF(BK134&gt;='Апрель'!orange_percent,'Апрель'!orange,'Апрель'!red)));""max"",1}))"),"")</f>
        <v/>
      </c>
      <c r="BM134" s="541">
        <v>0.7599999999999999</v>
      </c>
      <c r="BN134" s="710"/>
      <c r="BO134" s="541">
        <v>0.7599999999999999</v>
      </c>
      <c r="BP134" s="465"/>
      <c r="BQ134" s="541">
        <v>0.7599999999999999</v>
      </c>
      <c r="BR134" s="716"/>
      <c r="BS134" s="541">
        <v>0.7599999999999999</v>
      </c>
      <c r="BT134" s="521">
        <f>BT133/BT131</f>
        <v>1</v>
      </c>
      <c r="BU134" s="541">
        <v>0.7599999999999999</v>
      </c>
      <c r="BV134" s="521">
        <f>BV133/BV131</f>
        <v>1</v>
      </c>
      <c r="BW134" s="541">
        <v>0.7599999999999999</v>
      </c>
      <c r="BX134" s="716"/>
      <c r="BY134" s="541">
        <v>0.7599999999999999</v>
      </c>
      <c r="BZ134" s="716"/>
      <c r="CA134" s="316">
        <v>0.76</v>
      </c>
      <c r="CB134" s="253">
        <f>CB133/CB131</f>
        <v>1</v>
      </c>
      <c r="CC134" s="1177">
        <f t="shared" si="252"/>
        <v>1.315789474</v>
      </c>
      <c r="CD134" s="318" t="str">
        <f>IFERROR(__xludf.DUMMYFUNCTION("IFERROR(SPARKLINE(CC134,{""charttype"",""bar"";""color1"",IF(CC134&gt;='Апрель'!green_percent,'Апрель'!green,IF(CC134&gt;='Апрель'!yellow_percent,'Апрель'!yellow,IF(CC134&gt;='Апрель'!orange_percent,'Апрель'!orange,'Апрель'!red)));""max"",1}))"),"")</f>
        <v/>
      </c>
      <c r="CE134" s="541">
        <v>0.7599999999999999</v>
      </c>
      <c r="CF134" s="710"/>
      <c r="CG134" s="541">
        <v>0.7599999999999999</v>
      </c>
      <c r="CH134" s="522">
        <f>CH133/CH131</f>
        <v>1</v>
      </c>
      <c r="CI134" s="541">
        <v>0.7599999999999999</v>
      </c>
      <c r="CJ134" s="522">
        <f>CJ133/CJ131</f>
        <v>1</v>
      </c>
      <c r="CK134" s="541">
        <v>0.7599999999999999</v>
      </c>
      <c r="CL134" s="522">
        <f>CL133/CL131</f>
        <v>0.5</v>
      </c>
      <c r="CM134" s="256"/>
      <c r="CN134" s="710"/>
      <c r="CO134" s="924"/>
      <c r="CP134" s="244"/>
      <c r="CQ134" s="925"/>
      <c r="CR134" s="708"/>
      <c r="CS134" s="319">
        <v>0.76</v>
      </c>
      <c r="CT134" s="802">
        <f>CT133/CT131</f>
        <v>0.75</v>
      </c>
      <c r="CU134" s="1087">
        <f t="shared" si="253"/>
        <v>0.9868421053</v>
      </c>
      <c r="CV134" s="1088" t="str">
        <f>IFERROR(__xludf.DUMMYFUNCTION("IFERROR(SPARKLINE(CU134,{""charttype"",""bar"";""color1"",IF(CU134&gt;='Апрель'!green_percent,'Апрель'!green,IF(CU134&gt;='Апрель'!yellow_percent,'Апрель'!yellow,IF(CU134&gt;='Апрель'!orange_percent,'Апрель'!orange,'Апрель'!red)));""max"",1}))"),"")</f>
        <v/>
      </c>
      <c r="CW134" s="842"/>
      <c r="CX134" s="875"/>
      <c r="CY134" s="842"/>
      <c r="CZ134" s="875"/>
      <c r="DA134" s="875"/>
      <c r="DB134" s="875"/>
      <c r="DC134" s="875"/>
      <c r="DD134" s="875"/>
      <c r="DE134" s="875"/>
      <c r="DF134" s="875"/>
      <c r="DG134" s="875"/>
      <c r="DH134" s="875"/>
      <c r="DI134" s="875"/>
      <c r="DJ134" s="875"/>
      <c r="DK134" s="326"/>
      <c r="DL134" s="876"/>
      <c r="DM134" s="327"/>
      <c r="DN134" s="329"/>
      <c r="DO134" s="875"/>
      <c r="DP134" s="875"/>
    </row>
    <row r="135">
      <c r="A135" s="927"/>
      <c r="B135" s="934" t="s">
        <v>36</v>
      </c>
      <c r="C135" s="217"/>
      <c r="D135" s="217"/>
      <c r="E135" s="218"/>
      <c r="F135" s="270">
        <f t="shared" ref="F135:G135" si="269">F130/F133</f>
        <v>86053.47368</v>
      </c>
      <c r="G135" s="270">
        <f t="shared" si="269"/>
        <v>71681.74545</v>
      </c>
      <c r="H135" s="543">
        <f t="shared" ref="H135:H141" si="273">IFERROR(G135/F135,"")</f>
        <v>0.8329907253</v>
      </c>
      <c r="I135" s="449" t="str">
        <f>IFERROR(__xludf.DUMMYFUNCTION("IFERROR(SPARKLINE(H135,{""charttype"",""bar"";""color1"",IF(H135&gt;='Апрель'!green_percent,'Апрель'!green,IF(H135&gt;='Апрель'!yellow_percent,'Апрель'!yellow,IF(H135&gt;='Апрель'!orange_percent,'Апрель'!orange,'Апрель'!red)));""max"",1}))"),"")</f>
        <v/>
      </c>
      <c r="J135" s="1172"/>
      <c r="K135" s="419"/>
      <c r="L135" s="1175"/>
      <c r="M135" s="419"/>
      <c r="N135" s="753"/>
      <c r="O135" s="419">
        <f>O130/O133</f>
        <v>86053.47368</v>
      </c>
      <c r="P135" s="1175"/>
      <c r="Q135" s="419">
        <f t="shared" ref="Q135:S135" si="270">Q130/Q133</f>
        <v>86053.47368</v>
      </c>
      <c r="R135" s="786">
        <f t="shared" si="270"/>
        <v>52742</v>
      </c>
      <c r="S135" s="419">
        <f t="shared" si="270"/>
        <v>86053.47368</v>
      </c>
      <c r="T135" s="786">
        <f>T130/T136</f>
        <v>54500.53333</v>
      </c>
      <c r="U135" s="1018">
        <f>U130/U133</f>
        <v>86053.47368</v>
      </c>
      <c r="V135" s="776"/>
      <c r="W135" s="1018">
        <f>W130/W133</f>
        <v>86053.47368</v>
      </c>
      <c r="X135" s="463"/>
      <c r="Y135" s="565">
        <f>F135</f>
        <v>86053.47368</v>
      </c>
      <c r="Z135" s="563">
        <f t="shared" si="271"/>
        <v>107242.5333</v>
      </c>
      <c r="AA135" s="220">
        <f t="shared" si="249"/>
        <v>1.246231311</v>
      </c>
      <c r="AB135" s="449" t="str">
        <f>IFERROR(__xludf.DUMMYFUNCTION("IFERROR(SPARKLINE(AA135,{""charttype"",""bar"";""color1"",IF(AA135&gt;='Апрель'!green_percent,'Апрель'!green,IF(AA135&gt;='Апрель'!yellow_percent,'Апрель'!yellow,IF(AA135&gt;='Апрель'!orange_percent,'Апрель'!orange,'Апрель'!red)));""max"",1}))"),"")</f>
        <v/>
      </c>
      <c r="AC135" s="837">
        <v>86053.47368421053</v>
      </c>
      <c r="AD135" s="1173">
        <f>AD130/AD133</f>
        <v>5450.053333</v>
      </c>
      <c r="AE135" s="837">
        <v>86053.47368421053</v>
      </c>
      <c r="AF135" s="1173">
        <f>AF130/AF133</f>
        <v>54500.53333</v>
      </c>
      <c r="AG135" s="837">
        <v>86053.47368421053</v>
      </c>
      <c r="AH135" s="1173">
        <f>AH130/AH133</f>
        <v>27250.26667</v>
      </c>
      <c r="AI135" s="837">
        <v>86053.47368421053</v>
      </c>
      <c r="AJ135" s="824"/>
      <c r="AK135" s="837">
        <v>86053.47368421053</v>
      </c>
      <c r="AL135" s="824"/>
      <c r="AM135" s="837">
        <v>86053.47368421053</v>
      </c>
      <c r="AN135" s="825"/>
      <c r="AO135" s="837">
        <v>86053.47368421053</v>
      </c>
      <c r="AP135" s="455"/>
      <c r="AQ135" s="277">
        <f t="shared" ref="AQ135:AR135" si="272">AQ130/AQ133</f>
        <v>86053.47368</v>
      </c>
      <c r="AR135" s="1187">
        <f t="shared" si="272"/>
        <v>29346.44103</v>
      </c>
      <c r="AS135" s="220">
        <f t="shared" si="250"/>
        <v>0.341025641</v>
      </c>
      <c r="AT135" s="449" t="str">
        <f>IFERROR(__xludf.DUMMYFUNCTION("IFERROR(SPARKLINE(AS135,{""charttype"",""bar"";""color1"",IF(AS135&gt;='Апрель'!green_percent,'Апрель'!green,IF(AS135&gt;='Апрель'!yellow_percent,'Апрель'!yellow,IF(AS135&gt;='Апрель'!orange_percent,'Апрель'!orange,'Апрель'!red)));""max"",1}))"),"")</f>
        <v/>
      </c>
      <c r="AU135" s="1188">
        <v>86053.47368421053</v>
      </c>
      <c r="AV135" s="763">
        <f>AV130/AV133</f>
        <v>54500.53333</v>
      </c>
      <c r="AW135" s="837">
        <v>86053.47368421053</v>
      </c>
      <c r="AX135" s="463"/>
      <c r="AY135" s="837">
        <v>86053.47368421053</v>
      </c>
      <c r="AZ135" s="776"/>
      <c r="BA135" s="837">
        <v>86053.47368421053</v>
      </c>
      <c r="BB135" s="776"/>
      <c r="BC135" s="837">
        <v>86053.47368421053</v>
      </c>
      <c r="BD135" s="776"/>
      <c r="BE135" s="837">
        <v>86053.47368421053</v>
      </c>
      <c r="BF135" s="776"/>
      <c r="BG135" s="837">
        <v>86053.47368421053</v>
      </c>
      <c r="BH135" s="463"/>
      <c r="BI135" s="277">
        <v>86053.47368421052</v>
      </c>
      <c r="BJ135" s="1187">
        <f>BJ130/BJ133</f>
        <v>381503.7333</v>
      </c>
      <c r="BK135" s="220">
        <f t="shared" si="251"/>
        <v>4.433333333</v>
      </c>
      <c r="BL135" s="449" t="str">
        <f>IFERROR(__xludf.DUMMYFUNCTION("IFERROR(SPARKLINE(BK135,{""charttype"",""bar"";""color1"",IF(BK135&gt;='Апрель'!green_percent,'Апрель'!green,IF(BK135&gt;='Апрель'!yellow_percent,'Апрель'!yellow,IF(BK135&gt;='Апрель'!orange_percent,'Апрель'!orange,'Апрель'!red)));""max"",1}))"),"")</f>
        <v/>
      </c>
      <c r="BM135" s="837">
        <v>86053.47368421053</v>
      </c>
      <c r="BN135" s="466"/>
      <c r="BO135" s="837">
        <v>86053.47368421053</v>
      </c>
      <c r="BP135" s="465"/>
      <c r="BQ135" s="837">
        <v>86053.47368421053</v>
      </c>
      <c r="BR135" s="465"/>
      <c r="BS135" s="837">
        <v>86053.47368421053</v>
      </c>
      <c r="BT135" s="503">
        <f>BT130/BT133</f>
        <v>27250.26667</v>
      </c>
      <c r="BU135" s="837">
        <v>86053.47368421053</v>
      </c>
      <c r="BV135" s="503">
        <f>BV130/BV133</f>
        <v>54500.53333</v>
      </c>
      <c r="BW135" s="837">
        <v>86053.47368421053</v>
      </c>
      <c r="BX135" s="465"/>
      <c r="BY135" s="837">
        <v>86053.47368421053</v>
      </c>
      <c r="BZ135" s="465"/>
      <c r="CA135" s="277">
        <v>86053.47368421052</v>
      </c>
      <c r="CB135" s="499">
        <f>CB130/CB133</f>
        <v>127167.9111</v>
      </c>
      <c r="CC135" s="1181">
        <f t="shared" si="252"/>
        <v>1.477777778</v>
      </c>
      <c r="CD135" s="334" t="str">
        <f>IFERROR(__xludf.DUMMYFUNCTION("IFERROR(SPARKLINE(CC135,{""charttype"",""bar"";""color1"",IF(CC135&gt;='Апрель'!green_percent,'Апрель'!green,IF(CC135&gt;='Апрель'!yellow_percent,'Апрель'!yellow,IF(CC135&gt;='Апрель'!orange_percent,'Апрель'!orange,'Апрель'!red)));""max"",1}))"),"")</f>
        <v/>
      </c>
      <c r="CE135" s="837">
        <v>86053.47368421053</v>
      </c>
      <c r="CF135" s="466"/>
      <c r="CG135" s="837">
        <v>86053.47368421053</v>
      </c>
      <c r="CH135" s="504">
        <f>CH130/CH133</f>
        <v>54500.53333</v>
      </c>
      <c r="CI135" s="837">
        <v>86053.47368421053</v>
      </c>
      <c r="CJ135" s="504">
        <f>CJ130/CJ133</f>
        <v>54500.53333</v>
      </c>
      <c r="CK135" s="837">
        <v>86053.47368421053</v>
      </c>
      <c r="CL135" s="504">
        <f>CL130/CL133</f>
        <v>54500.53333</v>
      </c>
      <c r="CM135" s="256"/>
      <c r="CN135" s="466"/>
      <c r="CO135" s="924"/>
      <c r="CP135" s="448"/>
      <c r="CQ135" s="925"/>
      <c r="CR135" s="726"/>
      <c r="CS135" s="1189">
        <v>86053.47368421052</v>
      </c>
      <c r="CT135" s="285">
        <f>CT130/CT133</f>
        <v>127167.9111</v>
      </c>
      <c r="CU135" s="840">
        <f t="shared" si="253"/>
        <v>1.477777778</v>
      </c>
      <c r="CV135" s="841" t="str">
        <f>IFERROR(__xludf.DUMMYFUNCTION("IFERROR(SPARKLINE(CU135,{""charttype"",""bar"";""color1"",IF(CU135&gt;='Апрель'!green_percent,'Апрель'!green,IF(CU135&gt;='Апрель'!yellow_percent,'Апрель'!yellow,IF(CU135&gt;='Апрель'!orange_percent,'Апрель'!orange,'Апрель'!red)));""max"",1}))"),"")</f>
        <v/>
      </c>
      <c r="CW135" s="842"/>
      <c r="CX135" s="843"/>
      <c r="CY135" s="842"/>
      <c r="CZ135" s="843"/>
      <c r="DA135" s="843"/>
      <c r="DB135" s="843"/>
      <c r="DC135" s="843"/>
      <c r="DD135" s="843"/>
      <c r="DE135" s="843"/>
      <c r="DF135" s="843"/>
      <c r="DG135" s="843"/>
      <c r="DH135" s="843"/>
      <c r="DI135" s="843"/>
      <c r="DJ135" s="843"/>
      <c r="DK135" s="289"/>
      <c r="DL135" s="844"/>
      <c r="DM135" s="310"/>
      <c r="DN135" s="339"/>
      <c r="DO135" s="843"/>
      <c r="DP135" s="843"/>
    </row>
    <row r="136">
      <c r="A136" s="912"/>
      <c r="B136" s="937" t="s">
        <v>37</v>
      </c>
      <c r="C136" s="242"/>
      <c r="D136" s="242"/>
      <c r="E136" s="243"/>
      <c r="F136" s="244">
        <v>16.0</v>
      </c>
      <c r="G136" s="438">
        <f>SUMIFS(O136:DN136,$O$11:$DN$11,"Факт",$O$3:$DN$3,"&gt;"&amp;EOMONTH('Апрель'!date,-1),$O$3:$DN$3,"&lt;="&amp;EOMONTH('Апрель'!date,0))</f>
        <v>16</v>
      </c>
      <c r="H136" s="704">
        <f t="shared" si="273"/>
        <v>1</v>
      </c>
      <c r="I136" s="413" t="str">
        <f>IFERROR(__xludf.DUMMYFUNCTION("IFERROR(SPARKLINE(H136,{""charttype"",""bar"";""color1"",IF(H136&gt;='Апрель'!green_percent,'Апрель'!green,IF(H136&gt;='Апрель'!yellow_percent,'Апрель'!yellow,IF(H136&gt;='Апрель'!orange_percent,'Апрель'!orange,'Апрель'!red)));""max"",1}))"),"")</f>
        <v/>
      </c>
      <c r="J136" s="1172"/>
      <c r="K136" s="1025"/>
      <c r="L136" s="1190"/>
      <c r="M136" s="1025"/>
      <c r="N136" s="773"/>
      <c r="O136" s="1025">
        <f>F136/30</f>
        <v>0.5333333333</v>
      </c>
      <c r="P136" s="776">
        <v>0.0</v>
      </c>
      <c r="Q136" s="1025">
        <f>F136/30</f>
        <v>0.5333333333</v>
      </c>
      <c r="R136" s="776">
        <v>1.0</v>
      </c>
      <c r="S136" s="1025">
        <f>F136/30</f>
        <v>0.5333333333</v>
      </c>
      <c r="T136" s="776">
        <v>1.0</v>
      </c>
      <c r="U136" s="932">
        <f>F136/30</f>
        <v>0.5333333333</v>
      </c>
      <c r="V136" s="776">
        <v>0.0</v>
      </c>
      <c r="W136" s="932">
        <f>F136/30</f>
        <v>0.5333333333</v>
      </c>
      <c r="X136" s="822">
        <v>0.0</v>
      </c>
      <c r="Y136" s="535">
        <f>O136+Q136+S136+U136+W136</f>
        <v>2.666666667</v>
      </c>
      <c r="Z136" s="1191">
        <f t="shared" si="271"/>
        <v>2</v>
      </c>
      <c r="AA136" s="412">
        <f t="shared" si="249"/>
        <v>0.75</v>
      </c>
      <c r="AB136" s="413" t="str">
        <f>IFERROR(__xludf.DUMMYFUNCTION("IFERROR(SPARKLINE(AA136,{""charttype"",""bar"";""color1"",IF(AA136&gt;='Апрель'!green_percent,'Апрель'!green,IF(AA136&gt;='Апрель'!yellow_percent,'Апрель'!yellow,IF(AA136&gt;='Апрель'!orange_percent,'Апрель'!orange,'Апрель'!red)));""max"",1}))"),"")</f>
        <v/>
      </c>
      <c r="AC136" s="432">
        <v>0.5333333333333333</v>
      </c>
      <c r="AD136" s="459">
        <v>9.0</v>
      </c>
      <c r="AE136" s="432">
        <v>0.5333333333333333</v>
      </c>
      <c r="AF136" s="459">
        <v>1.0</v>
      </c>
      <c r="AG136" s="432">
        <v>0.5333333333333333</v>
      </c>
      <c r="AH136" s="459">
        <v>2.0</v>
      </c>
      <c r="AI136" s="432">
        <v>0.5333333333333333</v>
      </c>
      <c r="AJ136" s="824"/>
      <c r="AK136" s="432">
        <v>0.5333333333333333</v>
      </c>
      <c r="AL136" s="824"/>
      <c r="AM136" s="432">
        <v>0.5333333333333333</v>
      </c>
      <c r="AN136" s="825"/>
      <c r="AO136" s="432">
        <v>0.5333333333333333</v>
      </c>
      <c r="AP136" s="455"/>
      <c r="AQ136" s="531">
        <f>F136/30*7</f>
        <v>3.733333333</v>
      </c>
      <c r="AR136" s="486">
        <f>AD136+AF136+AH136+AJ136+AL136+AN136+AP136</f>
        <v>12</v>
      </c>
      <c r="AS136" s="412">
        <f t="shared" si="250"/>
        <v>3.214285714</v>
      </c>
      <c r="AT136" s="413" t="str">
        <f>IFERROR(__xludf.DUMMYFUNCTION("IFERROR(SPARKLINE(AS136,{""charttype"",""bar"";""color1"",IF(AS136&gt;='Апрель'!green_percent,'Апрель'!green,IF(AS136&gt;='Апрель'!yellow_percent,'Апрель'!yellow,IF(AS136&gt;='Апрель'!orange_percent,'Апрель'!orange,'Апрель'!red)));""max"",1}))"),"")</f>
        <v/>
      </c>
      <c r="AU136" s="1192">
        <v>0.5333333333333333</v>
      </c>
      <c r="AV136" s="822">
        <v>0.0</v>
      </c>
      <c r="AW136" s="432">
        <v>0.5333333333333333</v>
      </c>
      <c r="AX136" s="822">
        <v>0.0</v>
      </c>
      <c r="AY136" s="432">
        <v>0.5333333333333333</v>
      </c>
      <c r="AZ136" s="776"/>
      <c r="BA136" s="432">
        <v>0.5333333333333333</v>
      </c>
      <c r="BB136" s="776">
        <v>0.0</v>
      </c>
      <c r="BC136" s="432">
        <v>0.5333333333333333</v>
      </c>
      <c r="BD136" s="776">
        <v>0.0</v>
      </c>
      <c r="BE136" s="432">
        <v>0.5333333333333333</v>
      </c>
      <c r="BF136" s="776">
        <v>0.0</v>
      </c>
      <c r="BG136" s="432">
        <v>0.5333333333333333</v>
      </c>
      <c r="BH136" s="822">
        <v>0.0</v>
      </c>
      <c r="BI136" s="531">
        <v>3.7333333333333334</v>
      </c>
      <c r="BJ136" s="486">
        <f>AV136+AX136+AZ136+BB136+BD136+BF136+BH136</f>
        <v>0</v>
      </c>
      <c r="BK136" s="412">
        <f t="shared" si="251"/>
        <v>0</v>
      </c>
      <c r="BL136" s="413" t="str">
        <f>IFERROR(__xludf.DUMMYFUNCTION("IFERROR(SPARKLINE(BK136,{""charttype"",""bar"";""color1"",IF(BK136&gt;='Апрель'!green_percent,'Апрель'!green,IF(BK136&gt;='Апрель'!yellow_percent,'Апрель'!yellow,IF(BK136&gt;='Апрель'!orange_percent,'Апрель'!orange,'Апрель'!red)));""max"",1}))"),"")</f>
        <v/>
      </c>
      <c r="BM136" s="432">
        <v>0.5333333333333333</v>
      </c>
      <c r="BN136" s="710"/>
      <c r="BO136" s="432">
        <v>0.5333333333333333</v>
      </c>
      <c r="BP136" s="465">
        <v>0.0</v>
      </c>
      <c r="BQ136" s="432">
        <v>0.5333333333333333</v>
      </c>
      <c r="BR136" s="716">
        <v>0.0</v>
      </c>
      <c r="BS136" s="432">
        <v>0.5333333333333333</v>
      </c>
      <c r="BT136" s="716">
        <v>2.0</v>
      </c>
      <c r="BU136" s="432">
        <v>0.5333333333333333</v>
      </c>
      <c r="BV136" s="716">
        <v>0.0</v>
      </c>
      <c r="BW136" s="432">
        <v>0.5333333333333333</v>
      </c>
      <c r="BX136" s="716">
        <v>0.0</v>
      </c>
      <c r="BY136" s="432">
        <v>0.5333333333333333</v>
      </c>
      <c r="BZ136" s="716">
        <v>0.0</v>
      </c>
      <c r="CA136" s="531">
        <v>3.7333333333333334</v>
      </c>
      <c r="CB136" s="486">
        <f>BN136+BP136+BR136+BT136+BV136+BX136+BZ136</f>
        <v>2</v>
      </c>
      <c r="CC136" s="1177">
        <f t="shared" si="252"/>
        <v>0.5357142857</v>
      </c>
      <c r="CD136" s="318" t="str">
        <f>IFERROR(__xludf.DUMMYFUNCTION("IFERROR(SPARKLINE(CC136,{""charttype"",""bar"";""color1"",IF(CC136&gt;='Апрель'!green_percent,'Апрель'!green,IF(CC136&gt;='Апрель'!yellow_percent,'Апрель'!yellow,IF(CC136&gt;='Апрель'!orange_percent,'Апрель'!orange,'Апрель'!red)));""max"",1}))"),"")</f>
        <v/>
      </c>
      <c r="CE136" s="432">
        <v>0.5333333333333333</v>
      </c>
      <c r="CF136" s="710">
        <v>0.0</v>
      </c>
      <c r="CG136" s="432">
        <v>0.5333333333333333</v>
      </c>
      <c r="CH136" s="710">
        <v>0.0</v>
      </c>
      <c r="CI136" s="432">
        <v>0.5333333333333333</v>
      </c>
      <c r="CJ136" s="710">
        <v>0.0</v>
      </c>
      <c r="CK136" s="432">
        <v>0.5333333333333333</v>
      </c>
      <c r="CL136" s="710">
        <v>0.0</v>
      </c>
      <c r="CM136" s="256"/>
      <c r="CN136" s="710"/>
      <c r="CO136" s="924"/>
      <c r="CP136" s="244"/>
      <c r="CQ136" s="925"/>
      <c r="CR136" s="708"/>
      <c r="CS136" s="1193">
        <v>3.7333333333333334</v>
      </c>
      <c r="CT136" s="258">
        <f>CF136+CH136+CJ136+CL136+CN136+CP136+CR136</f>
        <v>0</v>
      </c>
      <c r="CU136" s="1087">
        <f t="shared" si="253"/>
        <v>0</v>
      </c>
      <c r="CV136" s="1088" t="str">
        <f>IFERROR(__xludf.DUMMYFUNCTION("IFERROR(SPARKLINE(CU136,{""charttype"",""bar"";""color1"",IF(CU136&gt;='Апрель'!green_percent,'Апрель'!green,IF(CU136&gt;='Апрель'!yellow_percent,'Апрель'!yellow,IF(CU136&gt;='Апрель'!orange_percent,'Апрель'!orange,'Апрель'!red)));""max"",1}))"),"")</f>
        <v/>
      </c>
      <c r="CW136" s="842"/>
      <c r="CX136" s="875"/>
      <c r="CY136" s="842"/>
      <c r="CZ136" s="875"/>
      <c r="DA136" s="875"/>
      <c r="DB136" s="875"/>
      <c r="DC136" s="875"/>
      <c r="DD136" s="875"/>
      <c r="DE136" s="875"/>
      <c r="DF136" s="875"/>
      <c r="DG136" s="875"/>
      <c r="DH136" s="875"/>
      <c r="DI136" s="875"/>
      <c r="DJ136" s="875"/>
      <c r="DK136" s="326"/>
      <c r="DL136" s="876"/>
      <c r="DM136" s="327"/>
      <c r="DN136" s="329"/>
      <c r="DO136" s="875"/>
      <c r="DP136" s="875"/>
    </row>
    <row r="137">
      <c r="A137" s="927"/>
      <c r="B137" s="948" t="s">
        <v>38</v>
      </c>
      <c r="C137" s="217"/>
      <c r="D137" s="217"/>
      <c r="E137" s="218"/>
      <c r="F137" s="220">
        <f t="shared" ref="F137:G137" si="274">F136/F133</f>
        <v>0.8421052632</v>
      </c>
      <c r="G137" s="220">
        <f t="shared" si="274"/>
        <v>0.7272727273</v>
      </c>
      <c r="H137" s="543">
        <f t="shared" si="273"/>
        <v>0.8636363636</v>
      </c>
      <c r="I137" s="449" t="str">
        <f>IFERROR(__xludf.DUMMYFUNCTION("IFERROR(SPARKLINE(H137,{""charttype"",""bar"";""color1"",IF(H137&gt;='Апрель'!green_percent,'Апрель'!green,IF(H137&gt;='Апрель'!yellow_percent,'Апрель'!yellow,IF(H137&gt;='Апрель'!orange_percent,'Апрель'!orange,'Апрель'!red)));""max"",1}))"),"")</f>
        <v/>
      </c>
      <c r="J137" s="1172"/>
      <c r="K137" s="518"/>
      <c r="L137" s="953"/>
      <c r="M137" s="518"/>
      <c r="N137" s="752"/>
      <c r="O137" s="518">
        <f>O136/O133</f>
        <v>0.8421052632</v>
      </c>
      <c r="P137" s="776"/>
      <c r="Q137" s="518">
        <f t="shared" ref="Q137:U137" si="275">Q136/Q133</f>
        <v>0.8421052632</v>
      </c>
      <c r="R137" s="755">
        <f t="shared" si="275"/>
        <v>1</v>
      </c>
      <c r="S137" s="518">
        <f t="shared" si="275"/>
        <v>0.8421052632</v>
      </c>
      <c r="T137" s="755">
        <f t="shared" si="275"/>
        <v>1</v>
      </c>
      <c r="U137" s="941">
        <f t="shared" si="275"/>
        <v>0.8421052632</v>
      </c>
      <c r="V137" s="776"/>
      <c r="W137" s="941">
        <f>W136/W133</f>
        <v>0.8421052632</v>
      </c>
      <c r="X137" s="463"/>
      <c r="Y137" s="348">
        <f>Y136/Y133</f>
        <v>0.8421052632</v>
      </c>
      <c r="Z137" s="279">
        <f t="shared" si="271"/>
        <v>2</v>
      </c>
      <c r="AA137" s="220">
        <f t="shared" si="249"/>
        <v>2.375</v>
      </c>
      <c r="AB137" s="449" t="str">
        <f>IFERROR(__xludf.DUMMYFUNCTION("IFERROR(SPARKLINE(AA137,{""charttype"",""bar"";""color1"",IF(AA137&gt;='Апрель'!green_percent,'Апрель'!green,IF(AA137&gt;='Апрель'!yellow_percent,'Апрель'!yellow,IF(AA137&gt;='Апрель'!orange_percent,'Апрель'!orange,'Апрель'!red)));""max"",1}))"),"")</f>
        <v/>
      </c>
      <c r="AC137" s="942">
        <v>0.8421052631578948</v>
      </c>
      <c r="AD137" s="1184">
        <f>AD136/AD133</f>
        <v>0.9</v>
      </c>
      <c r="AE137" s="942">
        <v>0.8421052631578948</v>
      </c>
      <c r="AF137" s="1184">
        <f>AF136/AF133</f>
        <v>1</v>
      </c>
      <c r="AG137" s="942">
        <v>0.8421052631578948</v>
      </c>
      <c r="AH137" s="1184">
        <f>AH136/AH133</f>
        <v>1</v>
      </c>
      <c r="AI137" s="942">
        <v>0.8421052631578948</v>
      </c>
      <c r="AJ137" s="824"/>
      <c r="AK137" s="942">
        <v>0.8421052631578948</v>
      </c>
      <c r="AL137" s="824"/>
      <c r="AM137" s="942">
        <v>0.8421052631578948</v>
      </c>
      <c r="AN137" s="825"/>
      <c r="AO137" s="942">
        <v>0.8421052631578948</v>
      </c>
      <c r="AP137" s="455"/>
      <c r="AQ137" s="348">
        <f t="shared" ref="AQ137:AR137" si="276">AQ136/AQ133</f>
        <v>0.8421052632</v>
      </c>
      <c r="AR137" s="279">
        <f t="shared" si="276"/>
        <v>0.9230769231</v>
      </c>
      <c r="AS137" s="220">
        <f t="shared" si="250"/>
        <v>1.096153846</v>
      </c>
      <c r="AT137" s="449" t="str">
        <f>IFERROR(__xludf.DUMMYFUNCTION("IFERROR(SPARKLINE(AS137,{""charttype"",""bar"";""color1"",IF(AS137&gt;='Апрель'!green_percent,'Апрель'!green,IF(AS137&gt;='Апрель'!yellow_percent,'Апрель'!yellow,IF(AS137&gt;='Апрель'!orange_percent,'Апрель'!orange,'Апрель'!red)));""max"",1}))"),"")</f>
        <v/>
      </c>
      <c r="AU137" s="1194">
        <v>0.8421052631578948</v>
      </c>
      <c r="AV137" s="463"/>
      <c r="AW137" s="942">
        <v>0.8421052631578948</v>
      </c>
      <c r="AX137" s="463"/>
      <c r="AY137" s="942">
        <v>0.8421052631578948</v>
      </c>
      <c r="AZ137" s="776"/>
      <c r="BA137" s="942">
        <v>0.8421052631578948</v>
      </c>
      <c r="BB137" s="776"/>
      <c r="BC137" s="942">
        <v>0.8421052631578948</v>
      </c>
      <c r="BD137" s="776"/>
      <c r="BE137" s="942">
        <v>0.8421052631578948</v>
      </c>
      <c r="BF137" s="776"/>
      <c r="BG137" s="942">
        <v>0.8421052631578948</v>
      </c>
      <c r="BH137" s="463"/>
      <c r="BI137" s="348">
        <v>0.8421052631578947</v>
      </c>
      <c r="BJ137" s="279">
        <f>BJ136/BJ133</f>
        <v>0</v>
      </c>
      <c r="BK137" s="220">
        <f t="shared" si="251"/>
        <v>0</v>
      </c>
      <c r="BL137" s="449" t="str">
        <f>IFERROR(__xludf.DUMMYFUNCTION("IFERROR(SPARKLINE(BK137,{""charttype"",""bar"";""color1"",IF(BK137&gt;='Апрель'!green_percent,'Апрель'!green,IF(BK137&gt;='Апрель'!yellow_percent,'Апрель'!yellow,IF(BK137&gt;='Апрель'!orange_percent,'Апрель'!orange,'Апрель'!red)));""max"",1}))"),"")</f>
        <v/>
      </c>
      <c r="BM137" s="942">
        <v>0.8421052631578948</v>
      </c>
      <c r="BN137" s="466"/>
      <c r="BO137" s="942">
        <v>0.8421052631578948</v>
      </c>
      <c r="BP137" s="465"/>
      <c r="BQ137" s="942">
        <v>0.8421052631578948</v>
      </c>
      <c r="BR137" s="465"/>
      <c r="BS137" s="942">
        <v>0.8421052631578948</v>
      </c>
      <c r="BT137" s="532">
        <f>BT136/BT133</f>
        <v>1</v>
      </c>
      <c r="BU137" s="942">
        <v>0.8421052631578948</v>
      </c>
      <c r="BV137" s="465"/>
      <c r="BW137" s="942">
        <v>0.8421052631578948</v>
      </c>
      <c r="BX137" s="465"/>
      <c r="BY137" s="942">
        <v>0.8421052631578948</v>
      </c>
      <c r="BZ137" s="465"/>
      <c r="CA137" s="348">
        <v>0.8421052631578947</v>
      </c>
      <c r="CB137" s="279">
        <f>CB136/CB133</f>
        <v>0.6666666667</v>
      </c>
      <c r="CC137" s="1181">
        <f t="shared" si="252"/>
        <v>0.7916666667</v>
      </c>
      <c r="CD137" s="334" t="str">
        <f>IFERROR(__xludf.DUMMYFUNCTION("IFERROR(SPARKLINE(CC137,{""charttype"",""bar"";""color1"",IF(CC137&gt;='Апрель'!green_percent,'Апрель'!green,IF(CC137&gt;='Апрель'!yellow_percent,'Апрель'!yellow,IF(CC137&gt;='Апрель'!orange_percent,'Апрель'!orange,'Апрель'!red)));""max"",1}))"),"")</f>
        <v/>
      </c>
      <c r="CE137" s="942">
        <v>0.8421052631578948</v>
      </c>
      <c r="CF137" s="466"/>
      <c r="CG137" s="942">
        <v>0.8421052631578948</v>
      </c>
      <c r="CH137" s="466"/>
      <c r="CI137" s="942">
        <v>0.8421052631578948</v>
      </c>
      <c r="CJ137" s="466"/>
      <c r="CK137" s="942">
        <v>0.8421052631578948</v>
      </c>
      <c r="CL137" s="466"/>
      <c r="CM137" s="256"/>
      <c r="CN137" s="466"/>
      <c r="CO137" s="924"/>
      <c r="CP137" s="448"/>
      <c r="CQ137" s="925"/>
      <c r="CR137" s="726"/>
      <c r="CS137" s="1195">
        <v>0.8421052631578947</v>
      </c>
      <c r="CT137" s="230">
        <f>CT136/CT133</f>
        <v>0</v>
      </c>
      <c r="CU137" s="840">
        <f t="shared" si="253"/>
        <v>0</v>
      </c>
      <c r="CV137" s="841" t="str">
        <f>IFERROR(__xludf.DUMMYFUNCTION("IFERROR(SPARKLINE(CU137,{""charttype"",""bar"";""color1"",IF(CU137&gt;='Апрель'!green_percent,'Апрель'!green,IF(CU137&gt;='Апрель'!yellow_percent,'Апрель'!yellow,IF(CU137&gt;='Апрель'!orange_percent,'Апрель'!orange,'Апрель'!red)));""max"",1}))"),"")</f>
        <v/>
      </c>
      <c r="CW137" s="842"/>
      <c r="CX137" s="843"/>
      <c r="CY137" s="842"/>
      <c r="CZ137" s="843"/>
      <c r="DA137" s="843"/>
      <c r="DB137" s="843"/>
      <c r="DC137" s="843"/>
      <c r="DD137" s="843"/>
      <c r="DE137" s="843"/>
      <c r="DF137" s="843"/>
      <c r="DG137" s="843"/>
      <c r="DH137" s="843"/>
      <c r="DI137" s="843"/>
      <c r="DJ137" s="843"/>
      <c r="DK137" s="289"/>
      <c r="DL137" s="844"/>
      <c r="DM137" s="310"/>
      <c r="DN137" s="339"/>
      <c r="DO137" s="843"/>
      <c r="DP137" s="843"/>
    </row>
    <row r="138">
      <c r="A138" s="912"/>
      <c r="B138" s="937" t="s">
        <v>26</v>
      </c>
      <c r="C138" s="242"/>
      <c r="D138" s="242"/>
      <c r="E138" s="243"/>
      <c r="F138" s="244">
        <v>1.0</v>
      </c>
      <c r="G138" s="438">
        <f>SUMIFS(O138:DN138,$O$11:$DN$11,"Факт",$O$3:$DN$3,"&gt;"&amp;EOMONTH('Апрель'!date,-1),$O$3:$DN$3,"&lt;="&amp;EOMONTH('Апрель'!date,0))</f>
        <v>1</v>
      </c>
      <c r="H138" s="704">
        <f t="shared" si="273"/>
        <v>1</v>
      </c>
      <c r="I138" s="413" t="str">
        <f>IFERROR(__xludf.DUMMYFUNCTION("IFERROR(SPARKLINE(H138,{""charttype"",""bar"";""color1"",IF(H138&gt;='Апрель'!green_percent,'Апрель'!green,IF(H138&gt;='Апрель'!yellow_percent,'Апрель'!yellow,IF(H138&gt;='Апрель'!orange_percent,'Апрель'!orange,'Апрель'!red)));""max"",1}))"),"")</f>
        <v/>
      </c>
      <c r="J138" s="1172"/>
      <c r="K138" s="1025"/>
      <c r="L138" s="1196"/>
      <c r="M138" s="1025"/>
      <c r="N138" s="773"/>
      <c r="O138" s="1025">
        <f t="shared" ref="O138:O139" si="277">F138/30</f>
        <v>0.03333333333</v>
      </c>
      <c r="P138" s="776">
        <v>0.0</v>
      </c>
      <c r="Q138" s="1025">
        <f t="shared" ref="Q138:Q139" si="278">F138/30</f>
        <v>0.03333333333</v>
      </c>
      <c r="R138" s="776">
        <v>1.0</v>
      </c>
      <c r="S138" s="1025">
        <f t="shared" ref="S138:S139" si="279">F138/30</f>
        <v>0.03333333333</v>
      </c>
      <c r="T138" s="776"/>
      <c r="U138" s="932">
        <f t="shared" ref="U138:U139" si="280">F138/30</f>
        <v>0.03333333333</v>
      </c>
      <c r="V138" s="776"/>
      <c r="W138" s="932">
        <f t="shared" ref="W138:W139" si="281">F138/30</f>
        <v>0.03333333333</v>
      </c>
      <c r="X138" s="822">
        <v>0.0</v>
      </c>
      <c r="Y138" s="535">
        <f t="shared" ref="Y138:Y139" si="282">O138+Q138+S138+U138+W138</f>
        <v>0.1666666667</v>
      </c>
      <c r="Z138" s="1191">
        <f t="shared" si="271"/>
        <v>1</v>
      </c>
      <c r="AA138" s="412">
        <f t="shared" si="249"/>
        <v>6</v>
      </c>
      <c r="AB138" s="413" t="str">
        <f>IFERROR(__xludf.DUMMYFUNCTION("IFERROR(SPARKLINE(AA138,{""charttype"",""bar"";""color1"",IF(AA138&gt;='Апрель'!green_percent,'Апрель'!green,IF(AA138&gt;='Апрель'!yellow_percent,'Апрель'!yellow,IF(AA138&gt;='Апрель'!orange_percent,'Апрель'!orange,'Апрель'!red)));""max"",1}))"),"")</f>
        <v/>
      </c>
      <c r="AC138" s="432">
        <v>0.03333333333333333</v>
      </c>
      <c r="AD138" s="459">
        <v>0.0</v>
      </c>
      <c r="AE138" s="432">
        <v>0.03333333333333333</v>
      </c>
      <c r="AF138" s="459">
        <v>0.0</v>
      </c>
      <c r="AG138" s="432">
        <v>0.03333333333333333</v>
      </c>
      <c r="AH138" s="459">
        <v>0.0</v>
      </c>
      <c r="AI138" s="432">
        <v>0.03333333333333333</v>
      </c>
      <c r="AJ138" s="824"/>
      <c r="AK138" s="432">
        <v>0.03333333333333333</v>
      </c>
      <c r="AL138" s="824"/>
      <c r="AM138" s="432">
        <v>0.03333333333333333</v>
      </c>
      <c r="AN138" s="825"/>
      <c r="AO138" s="432">
        <v>0.03333333333333333</v>
      </c>
      <c r="AP138" s="455"/>
      <c r="AQ138" s="535">
        <f t="shared" ref="AQ138:AQ139" si="283">F138/30*7</f>
        <v>0.2333333333</v>
      </c>
      <c r="AR138" s="486">
        <f t="shared" ref="AR138:AR139" si="284">AD138+AF138+AH138+AJ138+AL138+AN138+AP138</f>
        <v>0</v>
      </c>
      <c r="AS138" s="412">
        <f t="shared" si="250"/>
        <v>0</v>
      </c>
      <c r="AT138" s="413" t="str">
        <f>IFERROR(__xludf.DUMMYFUNCTION("IFERROR(SPARKLINE(AS138,{""charttype"",""bar"";""color1"",IF(AS138&gt;='Апрель'!green_percent,'Апрель'!green,IF(AS138&gt;='Апрель'!yellow_percent,'Апрель'!yellow,IF(AS138&gt;='Апрель'!orange_percent,'Апрель'!orange,'Апрель'!red)));""max"",1}))"),"")</f>
        <v/>
      </c>
      <c r="AU138" s="1192">
        <v>0.03333333333333333</v>
      </c>
      <c r="AV138" s="822"/>
      <c r="AW138" s="432">
        <v>0.03333333333333333</v>
      </c>
      <c r="AX138" s="822">
        <v>0.0</v>
      </c>
      <c r="AY138" s="432">
        <v>0.03333333333333333</v>
      </c>
      <c r="AZ138" s="776"/>
      <c r="BA138" s="432">
        <v>0.03333333333333333</v>
      </c>
      <c r="BB138" s="776">
        <v>0.0</v>
      </c>
      <c r="BC138" s="432">
        <v>0.03333333333333333</v>
      </c>
      <c r="BD138" s="776">
        <v>0.0</v>
      </c>
      <c r="BE138" s="432">
        <v>0.03333333333333333</v>
      </c>
      <c r="BF138" s="776">
        <v>0.0</v>
      </c>
      <c r="BG138" s="432">
        <v>0.03333333333333333</v>
      </c>
      <c r="BH138" s="822">
        <v>0.0</v>
      </c>
      <c r="BI138" s="535">
        <v>0.23333333333333334</v>
      </c>
      <c r="BJ138" s="486">
        <f t="shared" ref="BJ138:BJ139" si="285">AV138+AX138+AZ138+BB138+BD138+BF138+BH138</f>
        <v>0</v>
      </c>
      <c r="BK138" s="412">
        <f t="shared" si="251"/>
        <v>0</v>
      </c>
      <c r="BL138" s="413" t="str">
        <f>IFERROR(__xludf.DUMMYFUNCTION("IFERROR(SPARKLINE(BK138,{""charttype"",""bar"";""color1"",IF(BK138&gt;='Апрель'!green_percent,'Апрель'!green,IF(BK138&gt;='Апрель'!yellow_percent,'Апрель'!yellow,IF(BK138&gt;='Апрель'!orange_percent,'Апрель'!orange,'Апрель'!red)));""max"",1}))"),"")</f>
        <v/>
      </c>
      <c r="BM138" s="432">
        <v>0.03333333333333333</v>
      </c>
      <c r="BN138" s="710"/>
      <c r="BO138" s="432">
        <v>0.03333333333333333</v>
      </c>
      <c r="BP138" s="465">
        <v>0.0</v>
      </c>
      <c r="BQ138" s="432">
        <v>0.03333333333333333</v>
      </c>
      <c r="BR138" s="716">
        <v>0.0</v>
      </c>
      <c r="BS138" s="432">
        <v>0.03333333333333333</v>
      </c>
      <c r="BT138" s="716">
        <v>0.0</v>
      </c>
      <c r="BU138" s="432">
        <v>0.03333333333333333</v>
      </c>
      <c r="BV138" s="716">
        <v>0.0</v>
      </c>
      <c r="BW138" s="432">
        <v>0.03333333333333333</v>
      </c>
      <c r="BX138" s="716">
        <v>0.0</v>
      </c>
      <c r="BY138" s="432">
        <v>0.03333333333333333</v>
      </c>
      <c r="BZ138" s="716">
        <v>0.0</v>
      </c>
      <c r="CA138" s="535">
        <v>0.23333333333333334</v>
      </c>
      <c r="CB138" s="486">
        <f t="shared" ref="CB138:CB139" si="286">BN138+BP138+BR138+BT138+BV138+BX138+BZ138</f>
        <v>0</v>
      </c>
      <c r="CC138" s="1177">
        <f t="shared" si="252"/>
        <v>0</v>
      </c>
      <c r="CD138" s="318" t="str">
        <f>IFERROR(__xludf.DUMMYFUNCTION("IFERROR(SPARKLINE(CC138,{""charttype"",""bar"";""color1"",IF(CC138&gt;='Апрель'!green_percent,'Апрель'!green,IF(CC138&gt;='Апрель'!yellow_percent,'Апрель'!yellow,IF(CC138&gt;='Апрель'!orange_percent,'Апрель'!orange,'Апрель'!red)));""max"",1}))"),"")</f>
        <v/>
      </c>
      <c r="CE138" s="432">
        <v>0.03333333333333333</v>
      </c>
      <c r="CF138" s="710">
        <v>0.0</v>
      </c>
      <c r="CG138" s="432">
        <v>0.03333333333333333</v>
      </c>
      <c r="CH138" s="710"/>
      <c r="CI138" s="432">
        <v>0.03333333333333333</v>
      </c>
      <c r="CJ138" s="710">
        <v>0.0</v>
      </c>
      <c r="CK138" s="432">
        <v>0.03333333333333333</v>
      </c>
      <c r="CL138" s="710">
        <v>0.0</v>
      </c>
      <c r="CM138" s="256"/>
      <c r="CN138" s="710"/>
      <c r="CO138" s="924"/>
      <c r="CP138" s="244"/>
      <c r="CQ138" s="925"/>
      <c r="CR138" s="708"/>
      <c r="CS138" s="1197">
        <v>0.23333333333333334</v>
      </c>
      <c r="CT138" s="258">
        <f t="shared" ref="CT138:CT139" si="287">CF138+CH138+CJ138+CL138+CN138+CP138+CR138</f>
        <v>0</v>
      </c>
      <c r="CU138" s="1087">
        <f t="shared" si="253"/>
        <v>0</v>
      </c>
      <c r="CV138" s="1088" t="str">
        <f>IFERROR(__xludf.DUMMYFUNCTION("IFERROR(SPARKLINE(CU138,{""charttype"",""bar"";""color1"",IF(CU138&gt;='Апрель'!green_percent,'Апрель'!green,IF(CU138&gt;='Апрель'!yellow_percent,'Апрель'!yellow,IF(CU138&gt;='Апрель'!orange_percent,'Апрель'!orange,'Апрель'!red)));""max"",1}))"),"")</f>
        <v/>
      </c>
      <c r="CW138" s="842"/>
      <c r="CX138" s="875"/>
      <c r="CY138" s="842"/>
      <c r="CZ138" s="875"/>
      <c r="DA138" s="875"/>
      <c r="DB138" s="875"/>
      <c r="DC138" s="875"/>
      <c r="DD138" s="875"/>
      <c r="DE138" s="875"/>
      <c r="DF138" s="875"/>
      <c r="DG138" s="875"/>
      <c r="DH138" s="875"/>
      <c r="DI138" s="875"/>
      <c r="DJ138" s="875"/>
      <c r="DK138" s="326"/>
      <c r="DL138" s="876"/>
      <c r="DM138" s="327"/>
      <c r="DN138" s="329"/>
      <c r="DO138" s="875"/>
      <c r="DP138" s="875"/>
    </row>
    <row r="139">
      <c r="A139" s="927"/>
      <c r="B139" s="934" t="s">
        <v>39</v>
      </c>
      <c r="C139" s="217"/>
      <c r="D139" s="217"/>
      <c r="E139" s="218"/>
      <c r="F139" s="495">
        <v>1000000.0</v>
      </c>
      <c r="G139" s="495">
        <f>SUMIFS(O139:DN139,$O$11:$DN$11,"Факт",$O$3:$DN$3,"&gt;"&amp;EOMONTH('Апрель'!date,-1),$O$3:$DN$3,"&lt;="&amp;EOMONTH('Апрель'!date,0))</f>
        <v>500000</v>
      </c>
      <c r="H139" s="543">
        <f t="shared" si="273"/>
        <v>0.5</v>
      </c>
      <c r="I139" s="449" t="str">
        <f>IFERROR(__xludf.DUMMYFUNCTION("IFERROR(SPARKLINE(H139,{""charttype"",""bar"";""color1"",IF(H139&gt;='Апрель'!green_percent,'Апрель'!green,IF(H139&gt;='Апрель'!yellow_percent,'Апрель'!yellow,IF(H139&gt;='Апрель'!orange_percent,'Апрель'!orange,'Апрель'!red)));""max"",1}))"),"")</f>
        <v/>
      </c>
      <c r="J139" s="1172"/>
      <c r="K139" s="419"/>
      <c r="L139" s="1175"/>
      <c r="M139" s="419"/>
      <c r="N139" s="753"/>
      <c r="O139" s="419">
        <f t="shared" si="277"/>
        <v>33333.33333</v>
      </c>
      <c r="P139" s="1175"/>
      <c r="Q139" s="419">
        <f t="shared" si="278"/>
        <v>33333.33333</v>
      </c>
      <c r="R139" s="786">
        <v>500000.0</v>
      </c>
      <c r="S139" s="419">
        <f t="shared" si="279"/>
        <v>33333.33333</v>
      </c>
      <c r="T139" s="786"/>
      <c r="U139" s="1018">
        <f t="shared" si="280"/>
        <v>33333.33333</v>
      </c>
      <c r="V139" s="786"/>
      <c r="W139" s="1018">
        <f t="shared" si="281"/>
        <v>33333.33333</v>
      </c>
      <c r="X139" s="463"/>
      <c r="Y139" s="565">
        <f t="shared" si="282"/>
        <v>166666.6667</v>
      </c>
      <c r="Z139" s="563">
        <f t="shared" si="271"/>
        <v>500000</v>
      </c>
      <c r="AA139" s="220">
        <f t="shared" si="249"/>
        <v>3</v>
      </c>
      <c r="AB139" s="449" t="str">
        <f>IFERROR(__xludf.DUMMYFUNCTION("IFERROR(SPARKLINE(AA139,{""charttype"",""bar"";""color1"",IF(AA139&gt;='Апрель'!green_percent,'Апрель'!green,IF(AA139&gt;='Апрель'!yellow_percent,'Апрель'!yellow,IF(AA139&gt;='Апрель'!orange_percent,'Апрель'!orange,'Апрель'!red)));""max"",1}))"),"")</f>
        <v/>
      </c>
      <c r="AC139" s="837">
        <v>33333.333333333336</v>
      </c>
      <c r="AD139" s="824"/>
      <c r="AE139" s="837">
        <v>33333.333333333336</v>
      </c>
      <c r="AF139" s="459">
        <v>0.0</v>
      </c>
      <c r="AG139" s="837">
        <v>33333.333333333336</v>
      </c>
      <c r="AH139" s="459">
        <v>0.0</v>
      </c>
      <c r="AI139" s="837">
        <v>33333.333333333336</v>
      </c>
      <c r="AJ139" s="824"/>
      <c r="AK139" s="837">
        <v>33333.333333333336</v>
      </c>
      <c r="AL139" s="824"/>
      <c r="AM139" s="837">
        <v>33333.333333333336</v>
      </c>
      <c r="AN139" s="825"/>
      <c r="AO139" s="837">
        <v>33333.333333333336</v>
      </c>
      <c r="AP139" s="455"/>
      <c r="AQ139" s="277">
        <f t="shared" si="283"/>
        <v>233333.3333</v>
      </c>
      <c r="AR139" s="464">
        <f t="shared" si="284"/>
        <v>0</v>
      </c>
      <c r="AS139" s="220">
        <f t="shared" si="250"/>
        <v>0</v>
      </c>
      <c r="AT139" s="449" t="str">
        <f>IFERROR(__xludf.DUMMYFUNCTION("IFERROR(SPARKLINE(AS139,{""charttype"",""bar"";""color1"",IF(AS139&gt;='Апрель'!green_percent,'Апрель'!green,IF(AS139&gt;='Апрель'!yellow_percent,'Апрель'!yellow,IF(AS139&gt;='Апрель'!orange_percent,'Апрель'!orange,'Апрель'!red)));""max"",1}))"),"")</f>
        <v/>
      </c>
      <c r="AU139" s="1188">
        <v>33333.333333333336</v>
      </c>
      <c r="AV139" s="463"/>
      <c r="AW139" s="837">
        <v>33333.333333333336</v>
      </c>
      <c r="AX139" s="463"/>
      <c r="AY139" s="837">
        <v>33333.333333333336</v>
      </c>
      <c r="AZ139" s="776"/>
      <c r="BA139" s="837">
        <v>33333.333333333336</v>
      </c>
      <c r="BB139" s="776"/>
      <c r="BC139" s="837">
        <v>33333.333333333336</v>
      </c>
      <c r="BD139" s="776"/>
      <c r="BE139" s="837">
        <v>33333.333333333336</v>
      </c>
      <c r="BF139" s="776"/>
      <c r="BG139" s="837">
        <v>33333.333333333336</v>
      </c>
      <c r="BH139" s="463"/>
      <c r="BI139" s="277">
        <v>233333.33333333334</v>
      </c>
      <c r="BJ139" s="464">
        <f t="shared" si="285"/>
        <v>0</v>
      </c>
      <c r="BK139" s="220">
        <f t="shared" si="251"/>
        <v>0</v>
      </c>
      <c r="BL139" s="449" t="str">
        <f>IFERROR(__xludf.DUMMYFUNCTION("IFERROR(SPARKLINE(BK139,{""charttype"",""bar"";""color1"",IF(BK139&gt;='Апрель'!green_percent,'Апрель'!green,IF(BK139&gt;='Апрель'!yellow_percent,'Апрель'!yellow,IF(BK139&gt;='Апрель'!orange_percent,'Апрель'!orange,'Апрель'!red)));""max"",1}))"),"")</f>
        <v/>
      </c>
      <c r="BM139" s="837">
        <v>33333.333333333336</v>
      </c>
      <c r="BN139" s="466"/>
      <c r="BO139" s="837">
        <v>33333.333333333336</v>
      </c>
      <c r="BP139" s="465"/>
      <c r="BQ139" s="837">
        <v>33333.333333333336</v>
      </c>
      <c r="BR139" s="465"/>
      <c r="BS139" s="837">
        <v>33333.333333333336</v>
      </c>
      <c r="BT139" s="465"/>
      <c r="BU139" s="837">
        <v>33333.333333333336</v>
      </c>
      <c r="BV139" s="465"/>
      <c r="BW139" s="837">
        <v>33333.333333333336</v>
      </c>
      <c r="BX139" s="465"/>
      <c r="BY139" s="837">
        <v>33333.333333333336</v>
      </c>
      <c r="BZ139" s="465"/>
      <c r="CA139" s="277">
        <v>233333.33333333334</v>
      </c>
      <c r="CB139" s="464">
        <f t="shared" si="286"/>
        <v>0</v>
      </c>
      <c r="CC139" s="1181">
        <f t="shared" si="252"/>
        <v>0</v>
      </c>
      <c r="CD139" s="334" t="str">
        <f>IFERROR(__xludf.DUMMYFUNCTION("IFERROR(SPARKLINE(CC139,{""charttype"",""bar"";""color1"",IF(CC139&gt;='Апрель'!green_percent,'Апрель'!green,IF(CC139&gt;='Апрель'!yellow_percent,'Апрель'!yellow,IF(CC139&gt;='Апрель'!orange_percent,'Апрель'!orange,'Апрель'!red)));""max"",1}))"),"")</f>
        <v/>
      </c>
      <c r="CE139" s="837">
        <v>33333.333333333336</v>
      </c>
      <c r="CF139" s="466"/>
      <c r="CG139" s="837">
        <v>33333.333333333336</v>
      </c>
      <c r="CH139" s="466"/>
      <c r="CI139" s="837">
        <v>33333.333333333336</v>
      </c>
      <c r="CJ139" s="466"/>
      <c r="CK139" s="837">
        <v>33333.333333333336</v>
      </c>
      <c r="CL139" s="466"/>
      <c r="CM139" s="256"/>
      <c r="CN139" s="466"/>
      <c r="CO139" s="924"/>
      <c r="CP139" s="448"/>
      <c r="CQ139" s="925"/>
      <c r="CR139" s="726"/>
      <c r="CS139" s="1189">
        <v>233333.33333333334</v>
      </c>
      <c r="CT139" s="733">
        <f t="shared" si="287"/>
        <v>0</v>
      </c>
      <c r="CU139" s="840">
        <f t="shared" si="253"/>
        <v>0</v>
      </c>
      <c r="CV139" s="841" t="str">
        <f>IFERROR(__xludf.DUMMYFUNCTION("IFERROR(SPARKLINE(CU139,{""charttype"",""bar"";""color1"",IF(CU139&gt;='Апрель'!green_percent,'Апрель'!green,IF(CU139&gt;='Апрель'!yellow_percent,'Апрель'!yellow,IF(CU139&gt;='Апрель'!orange_percent,'Апрель'!orange,'Апрель'!red)));""max"",1}))"),"")</f>
        <v/>
      </c>
      <c r="CW139" s="842"/>
      <c r="CX139" s="843"/>
      <c r="CY139" s="842"/>
      <c r="CZ139" s="843"/>
      <c r="DA139" s="843"/>
      <c r="DB139" s="843"/>
      <c r="DC139" s="843"/>
      <c r="DD139" s="843"/>
      <c r="DE139" s="843"/>
      <c r="DF139" s="843"/>
      <c r="DG139" s="843"/>
      <c r="DH139" s="843"/>
      <c r="DI139" s="843"/>
      <c r="DJ139" s="843"/>
      <c r="DK139" s="289"/>
      <c r="DL139" s="844"/>
      <c r="DM139" s="310"/>
      <c r="DN139" s="339"/>
      <c r="DO139" s="843"/>
      <c r="DP139" s="843"/>
    </row>
    <row r="140">
      <c r="A140" s="912"/>
      <c r="B140" s="937" t="s">
        <v>47</v>
      </c>
      <c r="C140" s="242"/>
      <c r="D140" s="242"/>
      <c r="E140" s="243"/>
      <c r="F140" s="412">
        <f t="shared" ref="F140:G140" si="288">F138/F133</f>
        <v>0.05263157895</v>
      </c>
      <c r="G140" s="412">
        <f t="shared" si="288"/>
        <v>0.04545454545</v>
      </c>
      <c r="H140" s="704">
        <f t="shared" si="273"/>
        <v>0.8636363636</v>
      </c>
      <c r="I140" s="413" t="str">
        <f>IFERROR(__xludf.DUMMYFUNCTION("IFERROR(SPARKLINE(H140,{""charttype"",""bar"";""color1"",IF(H140&gt;='Апрель'!green_percent,'Апрель'!green,IF(H140&gt;='Апрель'!yellow_percent,'Апрель'!yellow,IF(H140&gt;='Апрель'!orange_percent,'Апрель'!orange,'Апрель'!red)));""max"",1}))"),"")</f>
        <v/>
      </c>
      <c r="J140" s="1172"/>
      <c r="K140" s="515"/>
      <c r="L140" s="953"/>
      <c r="M140" s="515"/>
      <c r="N140" s="752"/>
      <c r="O140" s="515">
        <f>O138/O136</f>
        <v>0.0625</v>
      </c>
      <c r="P140" s="931"/>
      <c r="Q140" s="515">
        <f>Q138/Q136</f>
        <v>0.0625</v>
      </c>
      <c r="R140" s="755">
        <f>R138/R133</f>
        <v>1</v>
      </c>
      <c r="S140" s="515">
        <f>S138/S136</f>
        <v>0.0625</v>
      </c>
      <c r="T140" s="776"/>
      <c r="U140" s="941">
        <f>U138/U136</f>
        <v>0.0625</v>
      </c>
      <c r="V140" s="776"/>
      <c r="W140" s="941">
        <f>W138/W136</f>
        <v>0.0625</v>
      </c>
      <c r="X140" s="822"/>
      <c r="Y140" s="316">
        <f>Y138/Y136</f>
        <v>0.0625</v>
      </c>
      <c r="Z140" s="253">
        <f t="shared" si="271"/>
        <v>1</v>
      </c>
      <c r="AA140" s="412">
        <f t="shared" si="249"/>
        <v>16</v>
      </c>
      <c r="AB140" s="413" t="str">
        <f>IFERROR(__xludf.DUMMYFUNCTION("IFERROR(SPARKLINE(AA140,{""charttype"",""bar"";""color1"",IF(AA140&gt;='Апрель'!green_percent,'Апрель'!green,IF(AA140&gt;='Апрель'!yellow_percent,'Апрель'!yellow,IF(AA140&gt;='Апрель'!orange_percent,'Апрель'!orange,'Апрель'!red)));""max"",1}))"),"")</f>
        <v/>
      </c>
      <c r="AC140" s="541">
        <v>0.0625</v>
      </c>
      <c r="AD140" s="824"/>
      <c r="AE140" s="541">
        <v>0.0625</v>
      </c>
      <c r="AF140" s="824"/>
      <c r="AG140" s="541">
        <v>0.0625</v>
      </c>
      <c r="AH140" s="824"/>
      <c r="AI140" s="541">
        <v>0.0625</v>
      </c>
      <c r="AJ140" s="824"/>
      <c r="AK140" s="541">
        <v>0.0625</v>
      </c>
      <c r="AL140" s="824"/>
      <c r="AM140" s="541">
        <v>0.0625</v>
      </c>
      <c r="AN140" s="825"/>
      <c r="AO140" s="541">
        <v>0.0625</v>
      </c>
      <c r="AP140" s="455"/>
      <c r="AQ140" s="316">
        <f t="shared" ref="AQ140:AR140" si="289">AQ138/AQ136</f>
        <v>0.0625</v>
      </c>
      <c r="AR140" s="253">
        <f t="shared" si="289"/>
        <v>0</v>
      </c>
      <c r="AS140" s="412">
        <f t="shared" si="250"/>
        <v>0</v>
      </c>
      <c r="AT140" s="413" t="str">
        <f>IFERROR(__xludf.DUMMYFUNCTION("IFERROR(SPARKLINE(AS140,{""charttype"",""bar"";""color1"",IF(AS140&gt;='Апрель'!green_percent,'Апрель'!green,IF(AS140&gt;='Апрель'!yellow_percent,'Апрель'!yellow,IF(AS140&gt;='Апрель'!orange_percent,'Апрель'!orange,'Апрель'!red)));""max"",1}))"),"")</f>
        <v/>
      </c>
      <c r="AU140" s="1186">
        <v>0.0625</v>
      </c>
      <c r="AV140" s="822"/>
      <c r="AW140" s="541">
        <v>0.0625</v>
      </c>
      <c r="AX140" s="822"/>
      <c r="AY140" s="541">
        <v>0.0625</v>
      </c>
      <c r="AZ140" s="776"/>
      <c r="BA140" s="541">
        <v>0.0625</v>
      </c>
      <c r="BB140" s="776"/>
      <c r="BC140" s="541">
        <v>0.0625</v>
      </c>
      <c r="BD140" s="776"/>
      <c r="BE140" s="541">
        <v>0.0625</v>
      </c>
      <c r="BF140" s="776"/>
      <c r="BG140" s="541">
        <v>0.0625</v>
      </c>
      <c r="BH140" s="822"/>
      <c r="BI140" s="316">
        <v>0.0625</v>
      </c>
      <c r="BJ140" s="253" t="str">
        <f>BJ138/BJ136</f>
        <v>#DIV/0!</v>
      </c>
      <c r="BK140" s="412" t="str">
        <f t="shared" si="251"/>
        <v/>
      </c>
      <c r="BL140" s="413" t="str">
        <f>IFERROR(__xludf.DUMMYFUNCTION("IFERROR(SPARKLINE(BK140,{""charttype"",""bar"";""color1"",IF(BK140&gt;='Апрель'!green_percent,'Апрель'!green,IF(BK140&gt;='Апрель'!yellow_percent,'Апрель'!yellow,IF(BK140&gt;='Апрель'!orange_percent,'Апрель'!orange,'Апрель'!red)));""max"",1}))"),"")</f>
        <v/>
      </c>
      <c r="BM140" s="541">
        <v>0.0625</v>
      </c>
      <c r="BN140" s="710"/>
      <c r="BO140" s="541">
        <v>0.0625</v>
      </c>
      <c r="BP140" s="465"/>
      <c r="BQ140" s="541">
        <v>0.0625</v>
      </c>
      <c r="BR140" s="716"/>
      <c r="BS140" s="541">
        <v>0.0625</v>
      </c>
      <c r="BT140" s="716"/>
      <c r="BU140" s="541">
        <v>0.0625</v>
      </c>
      <c r="BV140" s="716"/>
      <c r="BW140" s="541">
        <v>0.0625</v>
      </c>
      <c r="BX140" s="716"/>
      <c r="BY140" s="541">
        <v>0.0625</v>
      </c>
      <c r="BZ140" s="716"/>
      <c r="CA140" s="316">
        <v>0.0625</v>
      </c>
      <c r="CB140" s="486">
        <f>CB138/CB136</f>
        <v>0</v>
      </c>
      <c r="CC140" s="1177">
        <f t="shared" si="252"/>
        <v>0</v>
      </c>
      <c r="CD140" s="318" t="str">
        <f>IFERROR(__xludf.DUMMYFUNCTION("IFERROR(SPARKLINE(CC140,{""charttype"",""bar"";""color1"",IF(CC140&gt;='Апрель'!green_percent,'Апрель'!green,IF(CC140&gt;='Апрель'!yellow_percent,'Апрель'!yellow,IF(CC140&gt;='Апрель'!orange_percent,'Апрель'!orange,'Апрель'!red)));""max"",1}))"),"")</f>
        <v/>
      </c>
      <c r="CE140" s="541">
        <v>0.0625</v>
      </c>
      <c r="CF140" s="710"/>
      <c r="CG140" s="541">
        <v>0.0625</v>
      </c>
      <c r="CH140" s="710"/>
      <c r="CI140" s="541">
        <v>0.0625</v>
      </c>
      <c r="CJ140" s="710"/>
      <c r="CK140" s="541">
        <v>0.0625</v>
      </c>
      <c r="CL140" s="710"/>
      <c r="CM140" s="256"/>
      <c r="CN140" s="710"/>
      <c r="CO140" s="924"/>
      <c r="CP140" s="244"/>
      <c r="CQ140" s="925"/>
      <c r="CR140" s="708"/>
      <c r="CS140" s="319">
        <v>0.0625</v>
      </c>
      <c r="CT140" s="258" t="str">
        <f>CT138/CT136</f>
        <v>#DIV/0!</v>
      </c>
      <c r="CU140" s="1087" t="str">
        <f t="shared" si="253"/>
        <v/>
      </c>
      <c r="CV140" s="1088" t="str">
        <f>IFERROR(__xludf.DUMMYFUNCTION("IFERROR(SPARKLINE(CU140,{""charttype"",""bar"";""color1"",IF(CU140&gt;='Апрель'!green_percent,'Апрель'!green,IF(CU140&gt;='Апрель'!yellow_percent,'Апрель'!yellow,IF(CU140&gt;='Апрель'!orange_percent,'Апрель'!orange,'Апрель'!red)));""max"",1}))"),"")</f>
        <v/>
      </c>
      <c r="CW140" s="842"/>
      <c r="CX140" s="875"/>
      <c r="CY140" s="842"/>
      <c r="CZ140" s="875"/>
      <c r="DA140" s="875"/>
      <c r="DB140" s="875"/>
      <c r="DC140" s="875"/>
      <c r="DD140" s="875"/>
      <c r="DE140" s="875"/>
      <c r="DF140" s="875"/>
      <c r="DG140" s="875"/>
      <c r="DH140" s="875"/>
      <c r="DI140" s="875"/>
      <c r="DJ140" s="875"/>
      <c r="DK140" s="326"/>
      <c r="DL140" s="876"/>
      <c r="DM140" s="327"/>
      <c r="DN140" s="329"/>
      <c r="DO140" s="875"/>
      <c r="DP140" s="875"/>
    </row>
    <row r="141">
      <c r="A141" s="927"/>
      <c r="B141" s="954" t="s">
        <v>27</v>
      </c>
      <c r="C141" s="217"/>
      <c r="D141" s="217"/>
      <c r="E141" s="218"/>
      <c r="F141" s="448">
        <f t="shared" ref="F141:G141" si="290">F130/F138</f>
        <v>1635016</v>
      </c>
      <c r="G141" s="270">
        <f t="shared" si="290"/>
        <v>1576998.4</v>
      </c>
      <c r="H141" s="543">
        <f t="shared" si="273"/>
        <v>0.9645155766</v>
      </c>
      <c r="I141" s="449" t="str">
        <f>IFERROR(__xludf.DUMMYFUNCTION("IFERROR(SPARKLINE(H141,{""charttype"",""bar"";""color1"",IF(H141&gt;='Апрель'!green_percent,'Апрель'!green,IF(H141&gt;='Апрель'!yellow_percent,'Апрель'!yellow,IF(H141&gt;='Апрель'!orange_percent,'Апрель'!orange,'Апрель'!red)));""max"",1}))"),"")</f>
        <v/>
      </c>
      <c r="J141" s="1198"/>
      <c r="K141" s="1199"/>
      <c r="L141" s="1200"/>
      <c r="M141" s="1199"/>
      <c r="N141" s="1201"/>
      <c r="O141" s="419">
        <f>F141</f>
        <v>1635016</v>
      </c>
      <c r="P141" s="1175"/>
      <c r="Q141" s="419">
        <f>F141</f>
        <v>1635016</v>
      </c>
      <c r="R141" s="786">
        <f>R130/R138</f>
        <v>52742</v>
      </c>
      <c r="S141" s="419">
        <f>F141</f>
        <v>1635016</v>
      </c>
      <c r="T141" s="786"/>
      <c r="U141" s="1018">
        <f>F141</f>
        <v>1635016</v>
      </c>
      <c r="V141" s="786"/>
      <c r="W141" s="1018">
        <f>F141</f>
        <v>1635016</v>
      </c>
      <c r="X141" s="463"/>
      <c r="Y141" s="565">
        <f>F141</f>
        <v>1635016</v>
      </c>
      <c r="Z141" s="563">
        <f>Z130/Z138</f>
        <v>268985.6</v>
      </c>
      <c r="AA141" s="220">
        <f t="shared" si="249"/>
        <v>0.1645155766</v>
      </c>
      <c r="AB141" s="449" t="str">
        <f>IFERROR(__xludf.DUMMYFUNCTION("IFERROR(SPARKLINE(AA141,{""charttype"",""bar"";""color1"",IF(AA141&gt;='Апрель'!green_percent,'Апрель'!green,IF(AA141&gt;='Апрель'!yellow_percent,'Апрель'!yellow,IF(AA141&gt;='Апрель'!orange_percent,'Апрель'!orange,'Апрель'!red)));""max"",1}))"),"")</f>
        <v/>
      </c>
      <c r="AC141" s="837">
        <v>1635016.0</v>
      </c>
      <c r="AD141" s="824"/>
      <c r="AE141" s="837">
        <v>1635016.0</v>
      </c>
      <c r="AF141" s="824"/>
      <c r="AG141" s="837">
        <v>1635016.0</v>
      </c>
      <c r="AH141" s="824"/>
      <c r="AI141" s="837">
        <v>1635016.0</v>
      </c>
      <c r="AJ141" s="824"/>
      <c r="AK141" s="837">
        <v>1635016.0</v>
      </c>
      <c r="AL141" s="824"/>
      <c r="AM141" s="837">
        <v>1635016.0</v>
      </c>
      <c r="AN141" s="825"/>
      <c r="AO141" s="837">
        <v>1635016.0</v>
      </c>
      <c r="AP141" s="455"/>
      <c r="AQ141" s="837">
        <v>1635016.0</v>
      </c>
      <c r="AR141" s="464"/>
      <c r="AS141" s="220">
        <f t="shared" si="250"/>
        <v>0</v>
      </c>
      <c r="AT141" s="449" t="str">
        <f>IFERROR(__xludf.DUMMYFUNCTION("IFERROR(SPARKLINE(AS141,{""charttype"",""bar"";""color1"",IF(AS141&gt;='Апрель'!green_percent,'Апрель'!green,IF(AS141&gt;='Апрель'!yellow_percent,'Апрель'!yellow,IF(AS141&gt;='Апрель'!orange_percent,'Апрель'!orange,'Апрель'!red)));""max"",1}))"),"")</f>
        <v/>
      </c>
      <c r="AU141" s="1188">
        <v>1635016.0</v>
      </c>
      <c r="AV141" s="463"/>
      <c r="AW141" s="837">
        <v>1635016.0</v>
      </c>
      <c r="AX141" s="463"/>
      <c r="AY141" s="837">
        <v>1635016.0</v>
      </c>
      <c r="AZ141" s="776"/>
      <c r="BA141" s="837">
        <v>1635016.0</v>
      </c>
      <c r="BB141" s="776"/>
      <c r="BC141" s="837">
        <v>1635016.0</v>
      </c>
      <c r="BD141" s="776"/>
      <c r="BE141" s="837">
        <v>1635016.0</v>
      </c>
      <c r="BF141" s="776"/>
      <c r="BG141" s="837">
        <v>1635016.0</v>
      </c>
      <c r="BH141" s="463"/>
      <c r="BI141" s="837">
        <v>1635016.0</v>
      </c>
      <c r="BJ141" s="464"/>
      <c r="BK141" s="220">
        <f t="shared" si="251"/>
        <v>0</v>
      </c>
      <c r="BL141" s="449" t="str">
        <f>IFERROR(__xludf.DUMMYFUNCTION("IFERROR(SPARKLINE(BK141,{""charttype"",""bar"";""color1"",IF(BK141&gt;='Апрель'!green_percent,'Апрель'!green,IF(BK141&gt;='Апрель'!yellow_percent,'Апрель'!yellow,IF(BK141&gt;='Апрель'!orange_percent,'Апрель'!orange,'Апрель'!red)));""max"",1}))"),"")</f>
        <v/>
      </c>
      <c r="BM141" s="837">
        <v>1635016.0</v>
      </c>
      <c r="BN141" s="466"/>
      <c r="BO141" s="837">
        <v>1635016.0</v>
      </c>
      <c r="BP141" s="465"/>
      <c r="BQ141" s="837">
        <v>1635016.0</v>
      </c>
      <c r="BR141" s="465"/>
      <c r="BS141" s="837">
        <v>1635016.0</v>
      </c>
      <c r="BT141" s="465"/>
      <c r="BU141" s="837">
        <v>1635016.0</v>
      </c>
      <c r="BV141" s="465"/>
      <c r="BW141" s="837">
        <v>1635016.0</v>
      </c>
      <c r="BX141" s="465"/>
      <c r="BY141" s="837">
        <v>1635016.0</v>
      </c>
      <c r="BZ141" s="465"/>
      <c r="CA141" s="277">
        <v>1635016.0</v>
      </c>
      <c r="CB141" s="464"/>
      <c r="CC141" s="1181">
        <f t="shared" si="252"/>
        <v>0</v>
      </c>
      <c r="CD141" s="334" t="str">
        <f>IFERROR(__xludf.DUMMYFUNCTION("IFERROR(SPARKLINE(CC141,{""charttype"",""bar"";""color1"",IF(CC141&gt;='Апрель'!green_percent,'Апрель'!green,IF(CC141&gt;='Апрель'!yellow_percent,'Апрель'!yellow,IF(CC141&gt;='Апрель'!orange_percent,'Апрель'!orange,'Апрель'!red)));""max"",1}))"),"")</f>
        <v/>
      </c>
      <c r="CE141" s="837">
        <v>1635016.0</v>
      </c>
      <c r="CF141" s="466"/>
      <c r="CG141" s="837">
        <v>1635016.0</v>
      </c>
      <c r="CH141" s="466"/>
      <c r="CI141" s="837">
        <v>1635016.0</v>
      </c>
      <c r="CJ141" s="466"/>
      <c r="CK141" s="837">
        <v>1635016.0</v>
      </c>
      <c r="CL141" s="466"/>
      <c r="CM141" s="256"/>
      <c r="CN141" s="466"/>
      <c r="CO141" s="924"/>
      <c r="CP141" s="448"/>
      <c r="CQ141" s="925"/>
      <c r="CR141" s="726"/>
      <c r="CS141" s="1189">
        <v>1635016.0</v>
      </c>
      <c r="CT141" s="733"/>
      <c r="CU141" s="840">
        <f t="shared" si="253"/>
        <v>0</v>
      </c>
      <c r="CV141" s="841" t="str">
        <f>IFERROR(__xludf.DUMMYFUNCTION("IFERROR(SPARKLINE(CU141,{""charttype"",""bar"";""color1"",IF(CU141&gt;='Апрель'!green_percent,'Апрель'!green,IF(CU141&gt;='Апрель'!yellow_percent,'Апрель'!yellow,IF(CU141&gt;='Апрель'!orange_percent,'Апрель'!orange,'Апрель'!red)));""max"",1}))"),"")</f>
        <v/>
      </c>
      <c r="CW141" s="842"/>
      <c r="CX141" s="843"/>
      <c r="CY141" s="842"/>
      <c r="CZ141" s="843"/>
      <c r="DA141" s="843"/>
      <c r="DB141" s="843"/>
      <c r="DC141" s="843"/>
      <c r="DD141" s="843"/>
      <c r="DE141" s="843"/>
      <c r="DF141" s="843"/>
      <c r="DG141" s="843"/>
      <c r="DH141" s="843"/>
      <c r="DI141" s="843"/>
      <c r="DJ141" s="843"/>
      <c r="DK141" s="289"/>
      <c r="DL141" s="844"/>
      <c r="DM141" s="310"/>
      <c r="DN141" s="339"/>
      <c r="DO141" s="843"/>
      <c r="DP141" s="843"/>
    </row>
    <row r="142">
      <c r="A142" s="912"/>
      <c r="B142" s="1202" t="s">
        <v>28</v>
      </c>
      <c r="C142" s="242"/>
      <c r="D142" s="242"/>
      <c r="E142" s="243"/>
      <c r="F142" s="244"/>
      <c r="G142" s="438">
        <f>SUMIFS(O142:DN142,$O$11:$DN$11,"Факт",$O$3:$DN$3,"&gt;"&amp;EOMONTH('Апрель'!date,-1),$O$3:$DN$3,"&lt;="&amp;EOMONTH('Апрель'!date,0))</f>
        <v>0</v>
      </c>
      <c r="H142" s="704"/>
      <c r="I142" s="413"/>
      <c r="J142" s="1119"/>
      <c r="K142" s="1203"/>
      <c r="L142" s="1204"/>
      <c r="M142" s="1205"/>
      <c r="N142" s="1206"/>
      <c r="O142" s="497"/>
      <c r="P142" s="1175"/>
      <c r="Q142" s="497"/>
      <c r="R142" s="786"/>
      <c r="S142" s="497"/>
      <c r="T142" s="786"/>
      <c r="U142" s="1018"/>
      <c r="V142" s="786"/>
      <c r="W142" s="1018"/>
      <c r="X142" s="822"/>
      <c r="Y142" s="591"/>
      <c r="Z142" s="592"/>
      <c r="AA142" s="412"/>
      <c r="AB142" s="413"/>
      <c r="AC142" s="425"/>
      <c r="AD142" s="824"/>
      <c r="AE142" s="425"/>
      <c r="AF142" s="824"/>
      <c r="AG142" s="425"/>
      <c r="AH142" s="459"/>
      <c r="AI142" s="425"/>
      <c r="AJ142" s="824"/>
      <c r="AK142" s="425"/>
      <c r="AL142" s="824"/>
      <c r="AM142" s="425"/>
      <c r="AN142" s="825"/>
      <c r="AO142" s="425"/>
      <c r="AP142" s="455"/>
      <c r="AQ142" s="255"/>
      <c r="AR142" s="486">
        <f t="shared" ref="AR142:AR143" si="291">AD142+AF142+AH142+AJ142+AL142+AN142+AP142</f>
        <v>0</v>
      </c>
      <c r="AS142" s="253"/>
      <c r="AT142" s="427"/>
      <c r="AU142" s="1174"/>
      <c r="AV142" s="822"/>
      <c r="AW142" s="425"/>
      <c r="AX142" s="822"/>
      <c r="AY142" s="425"/>
      <c r="AZ142" s="776"/>
      <c r="BA142" s="425"/>
      <c r="BB142" s="776"/>
      <c r="BC142" s="425"/>
      <c r="BD142" s="776"/>
      <c r="BE142" s="425"/>
      <c r="BF142" s="776"/>
      <c r="BG142" s="425"/>
      <c r="BH142" s="822"/>
      <c r="BI142" s="255"/>
      <c r="BJ142" s="486"/>
      <c r="BK142" s="253"/>
      <c r="BL142" s="427"/>
      <c r="BM142" s="425"/>
      <c r="BN142" s="710"/>
      <c r="BO142" s="425"/>
      <c r="BP142" s="465"/>
      <c r="BQ142" s="425"/>
      <c r="BR142" s="716"/>
      <c r="BS142" s="425"/>
      <c r="BT142" s="716"/>
      <c r="BU142" s="425"/>
      <c r="BV142" s="716"/>
      <c r="BW142" s="425"/>
      <c r="BX142" s="716"/>
      <c r="BY142" s="425"/>
      <c r="BZ142" s="716"/>
      <c r="CA142" s="255"/>
      <c r="CB142" s="486"/>
      <c r="CC142" s="1089"/>
      <c r="CD142" s="318"/>
      <c r="CE142" s="425"/>
      <c r="CF142" s="710"/>
      <c r="CG142" s="425"/>
      <c r="CH142" s="710"/>
      <c r="CI142" s="425"/>
      <c r="CJ142" s="710"/>
      <c r="CK142" s="425"/>
      <c r="CL142" s="710"/>
      <c r="CM142" s="256"/>
      <c r="CN142" s="710"/>
      <c r="CO142" s="924"/>
      <c r="CP142" s="244"/>
      <c r="CQ142" s="925"/>
      <c r="CR142" s="708"/>
      <c r="CS142" s="257"/>
      <c r="CT142" s="258"/>
      <c r="CU142" s="1087"/>
      <c r="CV142" s="1088"/>
      <c r="CW142" s="842"/>
      <c r="CX142" s="875"/>
      <c r="CY142" s="842"/>
      <c r="CZ142" s="875"/>
      <c r="DA142" s="875"/>
      <c r="DB142" s="875"/>
      <c r="DC142" s="875"/>
      <c r="DD142" s="875"/>
      <c r="DE142" s="875"/>
      <c r="DF142" s="875"/>
      <c r="DG142" s="875"/>
      <c r="DH142" s="875"/>
      <c r="DI142" s="875"/>
      <c r="DJ142" s="875"/>
      <c r="DK142" s="326"/>
      <c r="DL142" s="876"/>
      <c r="DM142" s="327"/>
      <c r="DN142" s="329"/>
      <c r="DO142" s="875"/>
      <c r="DP142" s="875"/>
    </row>
    <row r="143">
      <c r="A143" s="965"/>
      <c r="B143" s="1207" t="s">
        <v>41</v>
      </c>
      <c r="C143" s="608"/>
      <c r="D143" s="608"/>
      <c r="E143" s="609"/>
      <c r="F143" s="1208"/>
      <c r="G143" s="1209">
        <f>SUMIFS(O143:DN143,$O$11:$DN$11,"Факт",$O$3:$DN$3,"&gt;"&amp;EOMONTH('Апрель'!date,-1),$O$3:$DN$3,"&lt;="&amp;EOMONTH('Апрель'!date,0))</f>
        <v>0</v>
      </c>
      <c r="H143" s="1092"/>
      <c r="I143" s="613"/>
      <c r="J143" s="1119"/>
      <c r="K143" s="1210"/>
      <c r="L143" s="1204"/>
      <c r="M143" s="1211"/>
      <c r="N143" s="1206"/>
      <c r="O143" s="1199"/>
      <c r="P143" s="1200"/>
      <c r="Q143" s="1199"/>
      <c r="R143" s="1042"/>
      <c r="S143" s="1199"/>
      <c r="T143" s="1042"/>
      <c r="U143" s="1041"/>
      <c r="V143" s="1042"/>
      <c r="W143" s="1041"/>
      <c r="X143" s="1212"/>
      <c r="Y143" s="623"/>
      <c r="Z143" s="624"/>
      <c r="AA143" s="612"/>
      <c r="AB143" s="613"/>
      <c r="AC143" s="1043"/>
      <c r="AD143" s="858"/>
      <c r="AE143" s="1043"/>
      <c r="AF143" s="858"/>
      <c r="AG143" s="1043"/>
      <c r="AH143" s="1048"/>
      <c r="AI143" s="1043"/>
      <c r="AJ143" s="858"/>
      <c r="AK143" s="1043"/>
      <c r="AL143" s="858"/>
      <c r="AM143" s="1043"/>
      <c r="AN143" s="859"/>
      <c r="AO143" s="1043"/>
      <c r="AP143" s="1213"/>
      <c r="AQ143" s="1109"/>
      <c r="AR143" s="1214">
        <f t="shared" si="291"/>
        <v>0</v>
      </c>
      <c r="AS143" s="1105"/>
      <c r="AT143" s="1093"/>
      <c r="AU143" s="1215"/>
      <c r="AV143" s="1212"/>
      <c r="AW143" s="1043"/>
      <c r="AX143" s="1212"/>
      <c r="AY143" s="1043"/>
      <c r="AZ143" s="865"/>
      <c r="BA143" s="1043"/>
      <c r="BB143" s="865"/>
      <c r="BC143" s="1043"/>
      <c r="BD143" s="865"/>
      <c r="BE143" s="1043"/>
      <c r="BF143" s="865"/>
      <c r="BG143" s="1043"/>
      <c r="BH143" s="1212"/>
      <c r="BI143" s="1109"/>
      <c r="BJ143" s="1104"/>
      <c r="BK143" s="1105"/>
      <c r="BL143" s="1093"/>
      <c r="BM143" s="1043"/>
      <c r="BN143" s="1216"/>
      <c r="BO143" s="1043"/>
      <c r="BP143" s="867"/>
      <c r="BQ143" s="1043"/>
      <c r="BR143" s="867"/>
      <c r="BS143" s="1043"/>
      <c r="BT143" s="867"/>
      <c r="BU143" s="1043"/>
      <c r="BV143" s="867"/>
      <c r="BW143" s="1043"/>
      <c r="BX143" s="867"/>
      <c r="BY143" s="1043"/>
      <c r="BZ143" s="867"/>
      <c r="CA143" s="1109"/>
      <c r="CB143" s="1104"/>
      <c r="CC143" s="1110"/>
      <c r="CD143" s="1111"/>
      <c r="CE143" s="1043"/>
      <c r="CF143" s="1216"/>
      <c r="CG143" s="1043"/>
      <c r="CH143" s="1216"/>
      <c r="CI143" s="1043"/>
      <c r="CJ143" s="1216"/>
      <c r="CK143" s="1043"/>
      <c r="CL143" s="1216"/>
      <c r="CM143" s="367"/>
      <c r="CN143" s="1216"/>
      <c r="CO143" s="924"/>
      <c r="CP143" s="448"/>
      <c r="CQ143" s="925"/>
      <c r="CR143" s="726"/>
      <c r="CS143" s="1112"/>
      <c r="CT143" s="1113"/>
      <c r="CU143" s="1114"/>
      <c r="CV143" s="1115"/>
      <c r="CW143" s="842"/>
      <c r="CX143" s="843"/>
      <c r="CY143" s="842"/>
      <c r="CZ143" s="843"/>
      <c r="DA143" s="843"/>
      <c r="DB143" s="843"/>
      <c r="DC143" s="843"/>
      <c r="DD143" s="843"/>
      <c r="DE143" s="843"/>
      <c r="DF143" s="843"/>
      <c r="DG143" s="843"/>
      <c r="DH143" s="843"/>
      <c r="DI143" s="843"/>
      <c r="DJ143" s="843"/>
      <c r="DK143" s="289"/>
      <c r="DL143" s="844"/>
      <c r="DM143" s="310"/>
      <c r="DN143" s="339"/>
      <c r="DO143" s="843"/>
      <c r="DP143" s="843"/>
    </row>
    <row r="144" hidden="1">
      <c r="A144" s="1217" t="s">
        <v>73</v>
      </c>
      <c r="B144" s="1218" t="s">
        <v>74</v>
      </c>
      <c r="C144" s="646"/>
      <c r="D144" s="646"/>
      <c r="E144" s="1219"/>
      <c r="F144" s="1220" t="str">
        <f>SUMIFS(J144:DM144,$O$11:$DN$11,"Факт",$O$3:$DN$3,"&gt;"&amp;EOMONTH('Апрель'!date,-1),$O$3:$DN$3,"&lt;="&amp;EOMONTH('Апрель'!date,0))</f>
        <v>#VALUE!</v>
      </c>
      <c r="G144" s="1221">
        <f>SUMIFS(O144:CV144,$O$11:$CV$11,"Факт",$O$3:$CV$3,"&gt;"&amp;EOMONTH('Апрель'!date,-1),$O$3:$CV$3,"&lt;="&amp;EOMONTH('Апрель'!date,0))</f>
        <v>0</v>
      </c>
      <c r="H144" s="429" t="str">
        <f t="shared" ref="H144:H151" si="298">IFERROR(G144/F144,"")</f>
        <v/>
      </c>
      <c r="I144" s="430" t="str">
        <f>IFERROR(__xludf.DUMMYFUNCTION("IFERROR(SPARKLINE(H144,{""charttype"",""bar"";""color1"",IF(H144&gt;='Апрель'!green_percent,'Апрель'!green,IF(H144&gt;='Апрель'!yellow_percent,'Апрель'!yellow,IF(H144&gt;='Апрель'!orange_percent,'Апрель'!orange,'Апрель'!red)));""max"",1}))"),"")</f>
        <v/>
      </c>
      <c r="J144" s="1222"/>
      <c r="K144" s="1223"/>
      <c r="L144" s="1224"/>
      <c r="M144" s="1225"/>
      <c r="N144" s="392"/>
      <c r="O144" s="1223"/>
      <c r="P144" s="1224"/>
      <c r="Q144" s="1225"/>
      <c r="R144" s="392"/>
      <c r="S144" s="1225"/>
      <c r="T144" s="1226"/>
      <c r="U144" s="1227"/>
      <c r="V144" s="1228"/>
      <c r="W144" s="1227"/>
      <c r="X144" s="1229"/>
      <c r="Y144" s="491">
        <f t="shared" ref="Y144:Z144" si="292">K144+M144+O144+Q144+S144+U144+W144</f>
        <v>0</v>
      </c>
      <c r="Z144" s="1122">
        <f t="shared" si="292"/>
        <v>0</v>
      </c>
      <c r="AA144" s="429" t="str">
        <f t="shared" ref="AA144:AA151" si="300">IFERROR(Z144/Y144,"")</f>
        <v/>
      </c>
      <c r="AB144" s="430" t="str">
        <f>IFERROR(__xludf.DUMMYFUNCTION("IFERROR(SPARKLINE(AA144,{""charttype"",""bar"";""color1"",IF(AA144&gt;='Апрель'!green_percent,'Апрель'!green,IF(AA144&gt;='Апрель'!yellow_percent,'Апрель'!yellow,IF(AA144&gt;='Апрель'!orange_percent,'Апрель'!orange,'Апрель'!red)));""max"",1}))"),"")</f>
        <v/>
      </c>
      <c r="AC144" s="1230">
        <v>0.6666666666666666</v>
      </c>
      <c r="AD144" s="1226"/>
      <c r="AE144" s="1231">
        <v>0.6666666666666666</v>
      </c>
      <c r="AF144" s="1226"/>
      <c r="AG144" s="1231">
        <v>0.6666666666666666</v>
      </c>
      <c r="AH144" s="1226"/>
      <c r="AI144" s="1231">
        <v>0.6666666666666666</v>
      </c>
      <c r="AJ144" s="1226"/>
      <c r="AK144" s="1231">
        <v>0.6666666666666666</v>
      </c>
      <c r="AL144" s="1226"/>
      <c r="AM144" s="1230">
        <v>0.6666666666666666</v>
      </c>
      <c r="AN144" s="1228"/>
      <c r="AO144" s="1230">
        <v>0.6666666666666666</v>
      </c>
      <c r="AP144" s="1228"/>
      <c r="AQ144" s="491">
        <f t="shared" ref="AQ144:AR144" si="293">AC144+AE144+AG144+AI144+AK144+AM144+AO144</f>
        <v>4.666666667</v>
      </c>
      <c r="AR144" s="1122">
        <f t="shared" si="293"/>
        <v>0</v>
      </c>
      <c r="AS144" s="1232">
        <f t="shared" ref="AS144:AS151" si="302">IFERROR(AR144/AQ144,"")</f>
        <v>0</v>
      </c>
      <c r="AT144" s="494" t="str">
        <f>IFERROR(__xludf.DUMMYFUNCTION("IFERROR(SPARKLINE(AS144,{""charttype"",""bar"";""color1"",IF(AS144&gt;='Апрель'!green_percent,'Апрель'!green,IF(AS144&gt;='Апрель'!yellow_percent,'Апрель'!yellow,IF(AS144&gt;='Апрель'!orange_percent,'Апрель'!orange,'Апрель'!red)));""max"",1}))"),"")</f>
        <v/>
      </c>
      <c r="AU144" s="1233"/>
      <c r="AV144" s="1226"/>
      <c r="AW144" s="1233"/>
      <c r="AX144" s="1226"/>
      <c r="AY144" s="1233"/>
      <c r="AZ144" s="1226"/>
      <c r="BA144" s="1233"/>
      <c r="BB144" s="1226"/>
      <c r="BC144" s="1233"/>
      <c r="BD144" s="1226"/>
      <c r="BE144" s="1227"/>
      <c r="BF144" s="1228"/>
      <c r="BG144" s="1227"/>
      <c r="BH144" s="1228"/>
      <c r="BI144" s="491">
        <f t="shared" ref="BI144:BJ144" si="294">AU144+AW144+AY144+BA144+BC144+BE144+BG144</f>
        <v>0</v>
      </c>
      <c r="BJ144" s="1122">
        <f t="shared" si="294"/>
        <v>0</v>
      </c>
      <c r="BK144" s="1232" t="str">
        <f t="shared" ref="BK144:BK151" si="304">IFERROR(BJ144/BI144,"")</f>
        <v/>
      </c>
      <c r="BL144" s="494" t="str">
        <f>IFERROR(__xludf.DUMMYFUNCTION("IFERROR(SPARKLINE(BK144,{""charttype"",""bar"";""color1"",IF(BK144&gt;='Апрель'!green_percent,'Апрель'!green,IF(BK144&gt;='Апрель'!yellow_percent,'Апрель'!yellow,IF(BK144&gt;='Апрель'!orange_percent,'Апрель'!orange,'Апрель'!red)));""max"",1}))"),"")</f>
        <v/>
      </c>
      <c r="BM144" s="1234"/>
      <c r="BN144" s="1235"/>
      <c r="BO144" s="1234"/>
      <c r="BP144" s="1228"/>
      <c r="BQ144" s="1234"/>
      <c r="BR144" s="1228"/>
      <c r="BS144" s="1234"/>
      <c r="BT144" s="1228"/>
      <c r="BU144" s="1234"/>
      <c r="BV144" s="1228"/>
      <c r="BW144" s="1236"/>
      <c r="BX144" s="1228"/>
      <c r="BY144" s="1236"/>
      <c r="BZ144" s="1228"/>
      <c r="CA144" s="491">
        <f t="shared" ref="CA144:CB144" si="295">BM144+BO144+BQ144+BS144+BU144+BW144+BY144</f>
        <v>0</v>
      </c>
      <c r="CB144" s="1122">
        <f t="shared" si="295"/>
        <v>0</v>
      </c>
      <c r="CC144" s="1232" t="str">
        <f t="shared" ref="CC144:CC151" si="306">IFERROR(CB144/CA144,"")</f>
        <v/>
      </c>
      <c r="CD144" s="494" t="str">
        <f>IFERROR(__xludf.DUMMYFUNCTION("IFERROR(SPARKLINE(CC144,{""charttype"",""bar"";""color1"",IF(CC144&gt;='Апрель'!green_percent,'Апрель'!green,IF(CC144&gt;='Апрель'!yellow_percent,'Апрель'!yellow,IF(CC144&gt;='Апрель'!orange_percent,'Апрель'!orange,'Апрель'!red)));""max"",1}))"),"")</f>
        <v/>
      </c>
      <c r="CE144" s="1237"/>
      <c r="CF144" s="1238"/>
      <c r="CG144" s="1237"/>
      <c r="CH144" s="1238"/>
      <c r="CI144" s="1237"/>
      <c r="CJ144" s="1238"/>
      <c r="CK144" s="1237"/>
      <c r="CL144" s="1238"/>
      <c r="CM144" s="1237"/>
      <c r="CN144" s="1238"/>
      <c r="CO144" s="1237"/>
      <c r="CP144" s="1239"/>
      <c r="CQ144" s="1237"/>
      <c r="CR144" s="1239"/>
      <c r="CS144" s="299">
        <f t="shared" ref="CS144:CT144" si="296">CE144+CG144+CI144+CK144+CM144+CO144+CQ144</f>
        <v>0</v>
      </c>
      <c r="CT144" s="749">
        <f t="shared" si="296"/>
        <v>0</v>
      </c>
      <c r="CU144" s="300" t="str">
        <f t="shared" ref="CU144:CU151" si="308">IFERROR(CT144/CS144,"")</f>
        <v/>
      </c>
      <c r="CV144" s="445" t="str">
        <f>IFERROR(__xludf.DUMMYFUNCTION("IFERROR(SPARKLINE(CU144,{""charttype"",""bar"";""color1"",IF(CU144&gt;='Апрель'!green_percent,'Апрель'!green,IF(CU144&gt;='Апрель'!yellow_percent,'Апрель'!yellow,IF(CU144&gt;='Апрель'!orange_percent,'Апрель'!orange,'Апрель'!red)));""max"",1}))"),"")</f>
        <v/>
      </c>
      <c r="CW144" s="1240"/>
      <c r="CX144" s="1241"/>
      <c r="CY144" s="1240"/>
      <c r="CZ144" s="1242"/>
      <c r="DA144" s="1243"/>
      <c r="DB144" s="1242"/>
      <c r="DC144" s="1243"/>
      <c r="DD144" s="1242"/>
      <c r="DE144" s="1243"/>
      <c r="DF144" s="1242"/>
      <c r="DG144" s="1243"/>
      <c r="DH144" s="1242"/>
      <c r="DI144" s="1243"/>
      <c r="DJ144" s="1244"/>
      <c r="DK144" s="299">
        <f t="shared" ref="DK144:DL144" si="297">CW144+CY144+DA144+DC144+DE144+DG144+DI144</f>
        <v>0</v>
      </c>
      <c r="DL144" s="749">
        <f t="shared" si="297"/>
        <v>0</v>
      </c>
      <c r="DM144" s="300" t="str">
        <f t="shared" ref="DM144:DM151" si="310">IFERROR(DL144/DK144,"")</f>
        <v/>
      </c>
      <c r="DN144" s="445" t="str">
        <f>IFERROR(__xludf.DUMMYFUNCTION("IFERROR(SPARKLINE(DM144,{""charttype"",""bar"";""color1"",IF(DM144&gt;='Апрель'!green_percent,'Апрель'!green,IF(DM144&gt;='Апрель'!yellow_percent,'Апрель'!yellow,IF(DM144&gt;='Апрель'!orange_percent,'Апрель'!orange,'Апрель'!red)));""max"",1}))"),"")</f>
        <v/>
      </c>
      <c r="DO144" s="446"/>
      <c r="DP144" s="446"/>
    </row>
    <row r="145" hidden="1">
      <c r="A145" s="1245"/>
      <c r="B145" s="1246" t="s">
        <v>75</v>
      </c>
      <c r="C145" s="1247"/>
      <c r="D145" s="1247"/>
      <c r="E145" s="1248"/>
      <c r="F145" s="1249" t="str">
        <f>SUMIFS(J145:DM145,$O$11:$DN$11,"Факт",$O$3:$DN$3,"&gt;"&amp;EOMONTH('Апрель'!date,-1),$O$3:$DN$3,"&lt;="&amp;EOMONTH('Апрель'!date,0))</f>
        <v>#VALUE!</v>
      </c>
      <c r="G145" s="1250">
        <f>SUMIFS(O145:DN145,$O$11:$DN$11,"Факт",$O$3:$DN$3,"&gt;"&amp;EOMONTH('Апрель'!date,-1),$O$3:$DN$3,"&lt;="&amp;EOMONTH('Апрель'!date,0))</f>
        <v>0</v>
      </c>
      <c r="H145" s="1251" t="str">
        <f t="shared" si="298"/>
        <v/>
      </c>
      <c r="I145" s="1252" t="str">
        <f>IFERROR(__xludf.DUMMYFUNCTION("IFERROR(SPARKLINE(H145,{""charttype"",""bar"";""color1"",IF(H145&gt;='Апрель'!green_percent,'Апрель'!green,IF(H145&gt;='Апрель'!yellow_percent,'Апрель'!yellow,IF(H145&gt;='Апрель'!orange_percent,'Апрель'!orange,'Апрель'!red)));""max"",1}))"),"")</f>
        <v/>
      </c>
      <c r="J145" s="1253"/>
      <c r="K145" s="1254"/>
      <c r="L145" s="1255"/>
      <c r="M145" s="1256"/>
      <c r="N145" s="1257"/>
      <c r="O145" s="1254"/>
      <c r="P145" s="1255"/>
      <c r="Q145" s="1256"/>
      <c r="R145" s="1257"/>
      <c r="S145" s="1256"/>
      <c r="T145" s="1258"/>
      <c r="U145" s="1259"/>
      <c r="V145" s="1259"/>
      <c r="W145" s="1259"/>
      <c r="X145" s="1260"/>
      <c r="Y145" s="1261">
        <f t="shared" ref="Y145:Z145" si="299">K145+M145+O145+Q145+S145+U145+W145</f>
        <v>0</v>
      </c>
      <c r="Z145" s="1262">
        <f t="shared" si="299"/>
        <v>0</v>
      </c>
      <c r="AA145" s="1251" t="str">
        <f t="shared" si="300"/>
        <v/>
      </c>
      <c r="AB145" s="1252" t="str">
        <f>IFERROR(__xludf.DUMMYFUNCTION("IFERROR(SPARKLINE(AA145,{""charttype"",""bar"";""color1"",IF(AA145&gt;='Апрель'!green_percent,'Апрель'!green,IF(AA145&gt;='Апрель'!yellow_percent,'Апрель'!yellow,IF(AA145&gt;='Апрель'!orange_percent,'Апрель'!orange,'Апрель'!red)));""max"",1}))"),"")</f>
        <v/>
      </c>
      <c r="AC145" s="1263">
        <v>3250.0</v>
      </c>
      <c r="AD145" s="1264"/>
      <c r="AE145" s="1265">
        <v>3250.0</v>
      </c>
      <c r="AF145" s="1264"/>
      <c r="AG145" s="1265">
        <v>3250.0</v>
      </c>
      <c r="AH145" s="1264"/>
      <c r="AI145" s="1265">
        <v>3250.0</v>
      </c>
      <c r="AJ145" s="1258"/>
      <c r="AK145" s="1265">
        <v>3250.0</v>
      </c>
      <c r="AL145" s="1258"/>
      <c r="AM145" s="1266">
        <v>3250.0</v>
      </c>
      <c r="AN145" s="1259"/>
      <c r="AO145" s="1266">
        <v>3250.0</v>
      </c>
      <c r="AP145" s="1267"/>
      <c r="AQ145" s="1261">
        <f t="shared" ref="AQ145:AR145" si="301">AC145+AE145+AG145+AI145+AK145+AM145+AO145</f>
        <v>22750</v>
      </c>
      <c r="AR145" s="1262">
        <f t="shared" si="301"/>
        <v>0</v>
      </c>
      <c r="AS145" s="1268">
        <f t="shared" si="302"/>
        <v>0</v>
      </c>
      <c r="AT145" s="1269" t="str">
        <f>IFERROR(__xludf.DUMMYFUNCTION("IFERROR(SPARKLINE(AS145,{""charttype"",""bar"";""color1"",IF(AS145&gt;='Апрель'!green_percent,'Апрель'!green,IF(AS145&gt;='Апрель'!yellow_percent,'Апрель'!yellow,IF(AS145&gt;='Апрель'!orange_percent,'Апрель'!orange,'Апрель'!red)));""max"",1}))"),"")</f>
        <v/>
      </c>
      <c r="AU145" s="1270"/>
      <c r="AV145" s="1264"/>
      <c r="AW145" s="1270"/>
      <c r="AX145" s="1264"/>
      <c r="AY145" s="1270"/>
      <c r="AZ145" s="1264"/>
      <c r="BA145" s="1270"/>
      <c r="BB145" s="1258"/>
      <c r="BC145" s="1270"/>
      <c r="BD145" s="1258"/>
      <c r="BE145" s="1259"/>
      <c r="BF145" s="1259"/>
      <c r="BG145" s="1259"/>
      <c r="BH145" s="1267"/>
      <c r="BI145" s="1261">
        <f t="shared" ref="BI145:BJ145" si="303">AU145+AW145+AY145+BA145+BC145+BE145+BG145</f>
        <v>0</v>
      </c>
      <c r="BJ145" s="1262">
        <f t="shared" si="303"/>
        <v>0</v>
      </c>
      <c r="BK145" s="1268" t="str">
        <f t="shared" si="304"/>
        <v/>
      </c>
      <c r="BL145" s="1269" t="str">
        <f>IFERROR(__xludf.DUMMYFUNCTION("IFERROR(SPARKLINE(BK145,{""charttype"",""bar"";""color1"",IF(BK145&gt;='Апрель'!green_percent,'Апрель'!green,IF(BK145&gt;='Апрель'!yellow_percent,'Апрель'!yellow,IF(BK145&gt;='Апрель'!orange_percent,'Апрель'!orange,'Апрель'!red)));""max"",1}))"),"")</f>
        <v/>
      </c>
      <c r="BM145" s="1271"/>
      <c r="BN145" s="1272"/>
      <c r="BO145" s="1271"/>
      <c r="BP145" s="1273"/>
      <c r="BQ145" s="1271"/>
      <c r="BR145" s="1273"/>
      <c r="BS145" s="1271"/>
      <c r="BT145" s="1274"/>
      <c r="BU145" s="1271"/>
      <c r="BV145" s="1274"/>
      <c r="BW145" s="1275"/>
      <c r="BX145" s="1275"/>
      <c r="BY145" s="1275"/>
      <c r="BZ145" s="1276"/>
      <c r="CA145" s="1261">
        <f t="shared" ref="CA145:CB145" si="305">BM145+BO145+BQ145+BS145+BU145+BW145+BY145</f>
        <v>0</v>
      </c>
      <c r="CB145" s="1262">
        <f t="shared" si="305"/>
        <v>0</v>
      </c>
      <c r="CC145" s="1268" t="str">
        <f t="shared" si="306"/>
        <v/>
      </c>
      <c r="CD145" s="1269" t="str">
        <f>IFERROR(__xludf.DUMMYFUNCTION("IFERROR(SPARKLINE(CC145,{""charttype"",""bar"";""color1"",IF(CC145&gt;='Апрель'!green_percent,'Апрель'!green,IF(CC145&gt;='Апрель'!yellow_percent,'Апрель'!yellow,IF(CC145&gt;='Апрель'!orange_percent,'Апрель'!orange,'Апрель'!red)));""max"",1}))"),"")</f>
        <v/>
      </c>
      <c r="CE145" s="1277"/>
      <c r="CF145" s="1278"/>
      <c r="CG145" s="1277"/>
      <c r="CH145" s="1278"/>
      <c r="CI145" s="1277"/>
      <c r="CJ145" s="1278"/>
      <c r="CK145" s="1277"/>
      <c r="CL145" s="1278"/>
      <c r="CM145" s="1277"/>
      <c r="CN145" s="1278"/>
      <c r="CO145" s="1277"/>
      <c r="CP145" s="1279"/>
      <c r="CQ145" s="1277"/>
      <c r="CR145" s="1279"/>
      <c r="CS145" s="1280">
        <f t="shared" ref="CS145:CT145" si="307">CE145+CG145+CI145+CK145+CM145+CO145+CQ145</f>
        <v>0</v>
      </c>
      <c r="CT145" s="1281">
        <f t="shared" si="307"/>
        <v>0</v>
      </c>
      <c r="CU145" s="300" t="str">
        <f t="shared" si="308"/>
        <v/>
      </c>
      <c r="CV145" s="1282" t="str">
        <f>IFERROR(__xludf.DUMMYFUNCTION("IFERROR(SPARKLINE(CU145,{""charttype"",""bar"";""color1"",IF(CU145&gt;='Апрель'!green_percent,'Апрель'!green,IF(CU145&gt;='Апрель'!yellow_percent,'Апрель'!yellow,IF(CU145&gt;='Апрель'!orange_percent,'Апрель'!orange,'Апрель'!red)));""max"",1}))"),"")</f>
        <v/>
      </c>
      <c r="CW145" s="1283"/>
      <c r="CX145" s="1284"/>
      <c r="CY145" s="1283"/>
      <c r="CZ145" s="1285"/>
      <c r="DA145" s="1286"/>
      <c r="DB145" s="1287"/>
      <c r="DC145" s="1286"/>
      <c r="DD145" s="1287"/>
      <c r="DE145" s="1286"/>
      <c r="DF145" s="1287"/>
      <c r="DG145" s="1286"/>
      <c r="DH145" s="1287"/>
      <c r="DI145" s="1286"/>
      <c r="DJ145" s="1288"/>
      <c r="DK145" s="1280">
        <f t="shared" ref="DK145:DL145" si="309">CW145+CY145+DA145+DC145+DE145+DG145+DI145</f>
        <v>0</v>
      </c>
      <c r="DL145" s="1281">
        <f t="shared" si="309"/>
        <v>0</v>
      </c>
      <c r="DM145" s="300" t="str">
        <f t="shared" si="310"/>
        <v/>
      </c>
      <c r="DN145" s="1282" t="str">
        <f>IFERROR(__xludf.DUMMYFUNCTION("IFERROR(SPARKLINE(DM145,{""charttype"",""bar"";""color1"",IF(DM145&gt;='Апрель'!green_percent,'Апрель'!green,IF(DM145&gt;='Апрель'!yellow_percent,'Апрель'!yellow,IF(DM145&gt;='Апрель'!orange_percent,'Апрель'!orange,'Апрель'!red)));""max"",1}))"),"")</f>
        <v/>
      </c>
      <c r="DO145" s="1289"/>
      <c r="DP145" s="1289"/>
    </row>
    <row r="146" hidden="1">
      <c r="A146" s="1245"/>
      <c r="B146" s="1290" t="s">
        <v>76</v>
      </c>
      <c r="C146" s="1247"/>
      <c r="D146" s="1247"/>
      <c r="E146" s="83"/>
      <c r="F146" s="1291">
        <v>0.25</v>
      </c>
      <c r="G146" s="1292">
        <f>SUMIFS(O146:CV146,$O$11:$CV$11,"Факт",$O$3:$CV$3,"&gt;"&amp;EOMONTH('Апрель'!date,-1),$O$3:$CV$3,"&lt;="&amp;EOMONTH('Апрель'!date,0))</f>
        <v>0</v>
      </c>
      <c r="H146" s="1251">
        <f t="shared" si="298"/>
        <v>0</v>
      </c>
      <c r="I146" s="1252" t="str">
        <f>IFERROR(__xludf.DUMMYFUNCTION("IFERROR(SPARKLINE(H146,{""charttype"",""bar"";""color1"",IF(H146&gt;='Апрель'!green_percent,'Апрель'!green,IF(H146&gt;='Апрель'!yellow_percent,'Апрель'!yellow,IF(H146&gt;='Апрель'!orange_percent,'Апрель'!orange,'Апрель'!red)));""max"",1}))"),"")</f>
        <v/>
      </c>
      <c r="J146" s="1293"/>
      <c r="K146" s="1294"/>
      <c r="L146" s="1295"/>
      <c r="M146" s="1296"/>
      <c r="N146" s="1297"/>
      <c r="O146" s="1294"/>
      <c r="P146" s="1295"/>
      <c r="Q146" s="1296"/>
      <c r="R146" s="1297"/>
      <c r="S146" s="1296"/>
      <c r="T146" s="1298"/>
      <c r="U146" s="1227"/>
      <c r="V146" s="1226"/>
      <c r="W146" s="1227"/>
      <c r="X146" s="1299"/>
      <c r="Y146" s="1291">
        <v>0.5</v>
      </c>
      <c r="Z146" s="1300">
        <f>L146+N146+P146+R146+T146+V146+X146</f>
        <v>0</v>
      </c>
      <c r="AA146" s="1301">
        <f t="shared" si="300"/>
        <v>0</v>
      </c>
      <c r="AB146" s="1302" t="str">
        <f>IFERROR(__xludf.DUMMYFUNCTION("IFERROR(SPARKLINE(AA146,{""charttype"",""bar"";""color1"",IF(AA146&gt;='Апрель'!green_percent,'Апрель'!green,IF(AA146&gt;='Апрель'!yellow_percent,'Апрель'!yellow,IF(AA146&gt;='Апрель'!orange_percent,'Апрель'!orange,'Апрель'!red)));""max"",1}))"),"")</f>
        <v/>
      </c>
      <c r="AC146" s="1303">
        <v>0.06451612903225806</v>
      </c>
      <c r="AD146" s="1264"/>
      <c r="AE146" s="1304">
        <v>0.06451612903225806</v>
      </c>
      <c r="AF146" s="1264"/>
      <c r="AG146" s="1304">
        <v>0.06451612903225806</v>
      </c>
      <c r="AH146" s="1305"/>
      <c r="AI146" s="1304">
        <v>0.06451612903225806</v>
      </c>
      <c r="AJ146" s="1298"/>
      <c r="AK146" s="1304">
        <v>0.06451612903225806</v>
      </c>
      <c r="AL146" s="1298"/>
      <c r="AM146" s="1306">
        <v>0.06451612903225806</v>
      </c>
      <c r="AN146" s="1226"/>
      <c r="AO146" s="1306">
        <v>0.06451612903225806</v>
      </c>
      <c r="AP146" s="1307"/>
      <c r="AQ146" s="1308">
        <v>0.5</v>
      </c>
      <c r="AR146" s="1309">
        <f>AD146+AF146+AH146+AJ146+AL146+AN146+AP146</f>
        <v>0</v>
      </c>
      <c r="AS146" s="1268">
        <f t="shared" si="302"/>
        <v>0</v>
      </c>
      <c r="AT146" s="1269" t="str">
        <f>IFERROR(__xludf.DUMMYFUNCTION("IFERROR(SPARKLINE(AS146,{""charttype"",""bar"";""color1"",IF(AS146&gt;='Апрель'!green_percent,'Апрель'!green,IF(AS146&gt;='Апрель'!yellow_percent,'Апрель'!yellow,IF(AS146&gt;='Апрель'!orange_percent,'Апрель'!orange,'Апрель'!red)));""max"",1}))"),"")</f>
        <v/>
      </c>
      <c r="AU146" s="1310"/>
      <c r="AV146" s="1305"/>
      <c r="AW146" s="1310"/>
      <c r="AX146" s="1305"/>
      <c r="AY146" s="1310"/>
      <c r="AZ146" s="1311"/>
      <c r="BA146" s="1310"/>
      <c r="BB146" s="1298"/>
      <c r="BC146" s="1310"/>
      <c r="BD146" s="1298"/>
      <c r="BE146" s="1227"/>
      <c r="BF146" s="1312"/>
      <c r="BG146" s="1227"/>
      <c r="BH146" s="1307"/>
      <c r="BI146" s="1313">
        <f t="shared" ref="BI146:BJ146" si="311">AU146+AW146+AY146+BA146+BC146+BE146+BG146</f>
        <v>0</v>
      </c>
      <c r="BJ146" s="1309">
        <f t="shared" si="311"/>
        <v>0</v>
      </c>
      <c r="BK146" s="1268" t="str">
        <f t="shared" si="304"/>
        <v/>
      </c>
      <c r="BL146" s="1269" t="str">
        <f>IFERROR(__xludf.DUMMYFUNCTION("IFERROR(SPARKLINE(BK146,{""charttype"",""bar"";""color1"",IF(BK146&gt;='Апрель'!green_percent,'Апрель'!green,IF(BK146&gt;='Апрель'!yellow_percent,'Апрель'!yellow,IF(BK146&gt;='Апрель'!orange_percent,'Апрель'!orange,'Апрель'!red)));""max"",1}))"),"")</f>
        <v/>
      </c>
      <c r="BM146" s="1314"/>
      <c r="BN146" s="1315"/>
      <c r="BO146" s="1314"/>
      <c r="BP146" s="1316"/>
      <c r="BQ146" s="1314"/>
      <c r="BR146" s="1316"/>
      <c r="BS146" s="1314"/>
      <c r="BT146" s="1317"/>
      <c r="BU146" s="1314"/>
      <c r="BV146" s="1317"/>
      <c r="BW146" s="1236"/>
      <c r="BX146" s="1228"/>
      <c r="BY146" s="1236"/>
      <c r="BZ146" s="1318"/>
      <c r="CA146" s="1313">
        <f t="shared" ref="CA146:CB146" si="312">BM146+BO146+BQ146+BS146+BU146+BW146+BY146</f>
        <v>0</v>
      </c>
      <c r="CB146" s="1309">
        <f t="shared" si="312"/>
        <v>0</v>
      </c>
      <c r="CC146" s="1268" t="str">
        <f t="shared" si="306"/>
        <v/>
      </c>
      <c r="CD146" s="1269" t="str">
        <f>IFERROR(__xludf.DUMMYFUNCTION("IFERROR(SPARKLINE(CC146,{""charttype"",""bar"";""color1"",IF(CC146&gt;='Апрель'!green_percent,'Апрель'!green,IF(CC146&gt;='Апрель'!yellow_percent,'Апрель'!yellow,IF(CC146&gt;='Апрель'!orange_percent,'Апрель'!orange,'Апрель'!red)));""max"",1}))"),"")</f>
        <v/>
      </c>
      <c r="CE146" s="1291"/>
      <c r="CF146" s="1319"/>
      <c r="CG146" s="1291"/>
      <c r="CH146" s="1319"/>
      <c r="CI146" s="1291"/>
      <c r="CJ146" s="1319"/>
      <c r="CK146" s="1291"/>
      <c r="CL146" s="1319"/>
      <c r="CM146" s="1291"/>
      <c r="CN146" s="1319"/>
      <c r="CO146" s="1277"/>
      <c r="CP146" s="1279"/>
      <c r="CQ146" s="1277"/>
      <c r="CR146" s="1279"/>
      <c r="CS146" s="1320">
        <f t="shared" ref="CS146:CT146" si="313">CE146+CG146+CI146+CK146+CM146+CO146+CQ146</f>
        <v>0</v>
      </c>
      <c r="CT146" s="1321">
        <f t="shared" si="313"/>
        <v>0</v>
      </c>
      <c r="CU146" s="300" t="str">
        <f t="shared" si="308"/>
        <v/>
      </c>
      <c r="CV146" s="445" t="str">
        <f>IFERROR(__xludf.DUMMYFUNCTION("IFERROR(SPARKLINE(CU146,{""charttype"",""bar"";""color1"",IF(CU146&gt;='Апрель'!green_percent,'Апрель'!green,IF(CU146&gt;='Апрель'!yellow_percent,'Апрель'!yellow,IF(CU146&gt;='Апрель'!orange_percent,'Апрель'!orange,'Апрель'!red)));""max"",1}))"),"")</f>
        <v/>
      </c>
      <c r="CW146" s="1322"/>
      <c r="CX146" s="1323"/>
      <c r="CY146" s="1322"/>
      <c r="CZ146" s="1324"/>
      <c r="DA146" s="1325"/>
      <c r="DB146" s="1324"/>
      <c r="DC146" s="1325"/>
      <c r="DD146" s="1324"/>
      <c r="DE146" s="1325"/>
      <c r="DF146" s="1324"/>
      <c r="DG146" s="1325"/>
      <c r="DH146" s="1324"/>
      <c r="DI146" s="1325"/>
      <c r="DJ146" s="1326"/>
      <c r="DK146" s="1320">
        <f t="shared" ref="DK146:DL146" si="314">CW146+CY146+DA146+DC146+DE146+DG146+DI146</f>
        <v>0</v>
      </c>
      <c r="DL146" s="1321">
        <f t="shared" si="314"/>
        <v>0</v>
      </c>
      <c r="DM146" s="300" t="str">
        <f t="shared" si="310"/>
        <v/>
      </c>
      <c r="DN146" s="445" t="str">
        <f>IFERROR(__xludf.DUMMYFUNCTION("IFERROR(SPARKLINE(DM146,{""charttype"",""bar"";""color1"",IF(DM146&gt;='Апрель'!green_percent,'Апрель'!green,IF(DM146&gt;='Апрель'!yellow_percent,'Апрель'!yellow,IF(DM146&gt;='Апрель'!orange_percent,'Апрель'!orange,'Апрель'!red)));""max"",1}))"),"")</f>
        <v/>
      </c>
      <c r="DO146" s="1327"/>
      <c r="DP146" s="1327"/>
    </row>
    <row r="147" hidden="1">
      <c r="A147" s="1245"/>
      <c r="B147" s="1290" t="s">
        <v>77</v>
      </c>
      <c r="C147" s="1247"/>
      <c r="D147" s="1247"/>
      <c r="E147" s="1248"/>
      <c r="F147" s="1249" t="str">
        <f>SUMIFS(J147:DM147,$O$11:$DN$11,"Факт",$O$3:$DN$3,"&gt;"&amp;EOMONTH('Апрель'!date,-1),$O$3:$DN$3,"&lt;="&amp;EOMONTH('Апрель'!date,0))</f>
        <v>#VALUE!</v>
      </c>
      <c r="G147" s="1250">
        <f>SUMIFS(O147:DN147,$O$11:$DN$11,"Факт",$O$3:$DN$3,"&gt;"&amp;EOMONTH('Апрель'!date,-1),$O$3:$DN$3,"&lt;="&amp;EOMONTH('Апрель'!date,0))</f>
        <v>0</v>
      </c>
      <c r="H147" s="1301" t="str">
        <f t="shared" si="298"/>
        <v/>
      </c>
      <c r="I147" s="1302" t="str">
        <f>IFERROR(__xludf.DUMMYFUNCTION("IFERROR(SPARKLINE(H147,{""charttype"",""bar"";""color1"",IF(H147&gt;='Апрель'!green_percent,'Апрель'!green,IF(H147&gt;='Апрель'!yellow_percent,'Апрель'!yellow,IF(H147&gt;='Апрель'!orange_percent,'Апрель'!orange,'Апрель'!red)));""max"",1}))"),"")</f>
        <v/>
      </c>
      <c r="J147" s="1328"/>
      <c r="K147" s="1329"/>
      <c r="L147" s="1330"/>
      <c r="M147" s="1331"/>
      <c r="N147" s="1332"/>
      <c r="O147" s="1329"/>
      <c r="P147" s="1330"/>
      <c r="Q147" s="1331"/>
      <c r="R147" s="1332"/>
      <c r="S147" s="1331"/>
      <c r="T147" s="1333"/>
      <c r="U147" s="1334"/>
      <c r="V147" s="1335"/>
      <c r="W147" s="1334"/>
      <c r="X147" s="1336"/>
      <c r="Y147" s="1261">
        <f t="shared" ref="Y147:Z147" si="315">K147+M147+O147+Q147+S147+U147+W147</f>
        <v>0</v>
      </c>
      <c r="Z147" s="1262">
        <f t="shared" si="315"/>
        <v>0</v>
      </c>
      <c r="AA147" s="1251" t="str">
        <f t="shared" si="300"/>
        <v/>
      </c>
      <c r="AB147" s="1252" t="str">
        <f>IFERROR(__xludf.DUMMYFUNCTION("IFERROR(SPARKLINE(AA147,{""charttype"",""bar"";""color1"",IF(AA147&gt;='Апрель'!green_percent,'Апрель'!green,IF(AA147&gt;='Апрель'!yellow_percent,'Апрель'!yellow,IF(AA147&gt;='Апрель'!orange_percent,'Апрель'!orange,'Апрель'!red)));""max"",1}))"),"")</f>
        <v/>
      </c>
      <c r="AC147" s="1337">
        <v>0.967741935483871</v>
      </c>
      <c r="AD147" s="1333"/>
      <c r="AE147" s="1338">
        <v>0.967741935483871</v>
      </c>
      <c r="AF147" s="1333"/>
      <c r="AG147" s="1338">
        <v>0.967741935483871</v>
      </c>
      <c r="AH147" s="1333"/>
      <c r="AI147" s="1338">
        <v>0.967741935483871</v>
      </c>
      <c r="AJ147" s="1333"/>
      <c r="AK147" s="1338">
        <v>0.967741935483871</v>
      </c>
      <c r="AL147" s="1333"/>
      <c r="AM147" s="1338">
        <v>0.967741935483871</v>
      </c>
      <c r="AN147" s="1333"/>
      <c r="AO147" s="1338">
        <v>0.967741935483871</v>
      </c>
      <c r="AP147" s="1333"/>
      <c r="AQ147" s="1261">
        <f t="shared" ref="AQ147:AR147" si="316">AC147+AE147+AG147+AI147+AK147+AM147+AO147</f>
        <v>6.774193548</v>
      </c>
      <c r="AR147" s="1262">
        <f t="shared" si="316"/>
        <v>0</v>
      </c>
      <c r="AS147" s="1339">
        <f t="shared" si="302"/>
        <v>0</v>
      </c>
      <c r="AT147" s="510" t="str">
        <f>IFERROR(__xludf.DUMMYFUNCTION("IFERROR(SPARKLINE(AS147,{""charttype"",""bar"";""color1"",IF(AS147&gt;='Апрель'!green_percent,'Апрель'!green,IF(AS147&gt;='Апрель'!yellow_percent,'Апрель'!yellow,IF(AS147&gt;='Апрель'!orange_percent,'Апрель'!orange,'Апрель'!red)));""max"",1}))"),"")</f>
        <v/>
      </c>
      <c r="AU147" s="1340"/>
      <c r="AV147" s="1341"/>
      <c r="AW147" s="1340"/>
      <c r="AX147" s="1341"/>
      <c r="AY147" s="1340"/>
      <c r="AZ147" s="1341"/>
      <c r="BA147" s="1340"/>
      <c r="BB147" s="1341"/>
      <c r="BC147" s="1340"/>
      <c r="BD147" s="1341"/>
      <c r="BE147" s="1340"/>
      <c r="BF147" s="1341"/>
      <c r="BG147" s="1340"/>
      <c r="BH147" s="1341"/>
      <c r="BI147" s="1261">
        <f t="shared" ref="BI147:BJ147" si="317">AU147+AW147+AY147+BA147+BC147+BE147+BG147</f>
        <v>0</v>
      </c>
      <c r="BJ147" s="1262">
        <f t="shared" si="317"/>
        <v>0</v>
      </c>
      <c r="BK147" s="1339" t="str">
        <f t="shared" si="304"/>
        <v/>
      </c>
      <c r="BL147" s="510" t="str">
        <f>IFERROR(__xludf.DUMMYFUNCTION("IFERROR(SPARKLINE(BK147,{""charttype"",""bar"";""color1"",IF(BK147&gt;='Апрель'!green_percent,'Апрель'!green,IF(BK147&gt;='Апрель'!yellow_percent,'Апрель'!yellow,IF(BK147&gt;='Апрель'!orange_percent,'Апрель'!orange,'Апрель'!red)));""max"",1}))"),"")</f>
        <v/>
      </c>
      <c r="BM147" s="1342"/>
      <c r="BN147" s="1343"/>
      <c r="BO147" s="1342"/>
      <c r="BP147" s="1344"/>
      <c r="BQ147" s="1342"/>
      <c r="BR147" s="1344"/>
      <c r="BS147" s="1342"/>
      <c r="BT147" s="1344"/>
      <c r="BU147" s="1342"/>
      <c r="BV147" s="1344"/>
      <c r="BW147" s="1345"/>
      <c r="BX147" s="1344"/>
      <c r="BY147" s="1346"/>
      <c r="BZ147" s="1347"/>
      <c r="CA147" s="1261">
        <f t="shared" ref="CA147:CB147" si="318">BM147+BO147+BQ147+BS147+BU147+BW147+BY147</f>
        <v>0</v>
      </c>
      <c r="CB147" s="1262">
        <f t="shared" si="318"/>
        <v>0</v>
      </c>
      <c r="CC147" s="1339" t="str">
        <f t="shared" si="306"/>
        <v/>
      </c>
      <c r="CD147" s="510" t="str">
        <f>IFERROR(__xludf.DUMMYFUNCTION("IFERROR(SPARKLINE(CC147,{""charttype"",""bar"";""color1"",IF(CC147&gt;='Апрель'!green_percent,'Апрель'!green,IF(CC147&gt;='Апрель'!yellow_percent,'Апрель'!yellow,IF(CC147&gt;='Апрель'!orange_percent,'Апрель'!orange,'Апрель'!red)));""max"",1}))"),"")</f>
        <v/>
      </c>
      <c r="CE147" s="1348"/>
      <c r="CF147" s="505"/>
      <c r="CG147" s="1349"/>
      <c r="CH147" s="505"/>
      <c r="CI147" s="1349"/>
      <c r="CJ147" s="505"/>
      <c r="CK147" s="1349"/>
      <c r="CL147" s="505"/>
      <c r="CM147" s="1349"/>
      <c r="CN147" s="505"/>
      <c r="CO147" s="1350"/>
      <c r="CP147" s="527"/>
      <c r="CQ147" s="725"/>
      <c r="CR147" s="527"/>
      <c r="CS147" s="1280">
        <f t="shared" ref="CS147:CT147" si="319">CE147+CG147+CI147+CK147+CM147+CO147+CQ147</f>
        <v>0</v>
      </c>
      <c r="CT147" s="1281">
        <f t="shared" si="319"/>
        <v>0</v>
      </c>
      <c r="CU147" s="235" t="str">
        <f t="shared" si="308"/>
        <v/>
      </c>
      <c r="CV147" s="479" t="str">
        <f>IFERROR(__xludf.DUMMYFUNCTION("IFERROR(SPARKLINE(CU147,{""charttype"",""bar"";""color1"",IF(CU147&gt;='Апрель'!green_percent,'Апрель'!green,IF(CU147&gt;='Апрель'!yellow_percent,'Апрель'!yellow,IF(CU147&gt;='Апрель'!orange_percent,'Апрель'!orange,'Апрель'!red)));""max"",1}))"),"")</f>
        <v/>
      </c>
      <c r="CW147" s="1351"/>
      <c r="CX147" s="1352"/>
      <c r="CY147" s="1351"/>
      <c r="CZ147" s="1353"/>
      <c r="DA147" s="1354"/>
      <c r="DB147" s="1353"/>
      <c r="DC147" s="1354"/>
      <c r="DD147" s="1353"/>
      <c r="DE147" s="1354"/>
      <c r="DF147" s="1353"/>
      <c r="DG147" s="1354"/>
      <c r="DH147" s="1353"/>
      <c r="DI147" s="1354"/>
      <c r="DJ147" s="1355"/>
      <c r="DK147" s="1280">
        <f t="shared" ref="DK147:DL147" si="320">CW147+CY147+DA147+DC147+DE147+DG147+DI147</f>
        <v>0</v>
      </c>
      <c r="DL147" s="1281">
        <f t="shared" si="320"/>
        <v>0</v>
      </c>
      <c r="DM147" s="1356" t="str">
        <f t="shared" si="310"/>
        <v/>
      </c>
      <c r="DN147" s="1282" t="str">
        <f>IFERROR(__xludf.DUMMYFUNCTION("IFERROR(SPARKLINE(DM147,{""charttype"",""bar"";""color1"",IF(DM147&gt;='Апрель'!green_percent,'Апрель'!green,IF(DM147&gt;='Апрель'!yellow_percent,'Апрель'!yellow,IF(DM147&gt;='Апрель'!orange_percent,'Апрель'!orange,'Апрель'!red)));""max"",1}))"),"")</f>
        <v/>
      </c>
      <c r="DO147" s="108"/>
      <c r="DP147" s="108"/>
    </row>
    <row r="148" hidden="1">
      <c r="A148" s="1245"/>
      <c r="B148" s="1290" t="s">
        <v>78</v>
      </c>
      <c r="C148" s="1247"/>
      <c r="D148" s="217"/>
      <c r="E148" s="1134"/>
      <c r="F148" s="448" t="str">
        <f>SUMIFS(J148:DM148,$O$11:$DN$11,"Факт",$O$3:$DN$3,"&gt;"&amp;EOMONTH('Апрель'!date,-1),$O$3:$DN$3,"&lt;="&amp;EOMONTH('Апрель'!date,0))</f>
        <v>#VALUE!</v>
      </c>
      <c r="G148" s="400">
        <f>SUMIFS(O148:DN148,$O$11:$DN$11,"Факт",$O$3:$DN$3,"&gt;"&amp;EOMONTH('Апрель'!date,-1),$O$3:$DN$3,"&lt;="&amp;EOMONTH('Апрель'!date,0))</f>
        <v>0</v>
      </c>
      <c r="H148" s="1301" t="str">
        <f t="shared" si="298"/>
        <v/>
      </c>
      <c r="I148" s="1302" t="str">
        <f>IFERROR(__xludf.DUMMYFUNCTION("IFERROR(SPARKLINE(H148,{""charttype"",""bar"";""color1"",IF(H148&gt;='Апрель'!green_percent,'Апрель'!green,IF(H148&gt;='Апрель'!yellow_percent,'Апрель'!yellow,IF(H148&gt;='Апрель'!orange_percent,'Апрель'!orange,'Апрель'!red)));""max"",1}))"),"")</f>
        <v/>
      </c>
      <c r="J148" s="1357"/>
      <c r="K148" s="1331"/>
      <c r="L148" s="1358"/>
      <c r="M148" s="1331"/>
      <c r="N148" s="1332"/>
      <c r="O148" s="1331"/>
      <c r="P148" s="1358"/>
      <c r="Q148" s="1331"/>
      <c r="R148" s="1332"/>
      <c r="S148" s="1331"/>
      <c r="T148" s="1359"/>
      <c r="U148" s="1360"/>
      <c r="V148" s="1361"/>
      <c r="W148" s="1360"/>
      <c r="X148" s="1362"/>
      <c r="Y148" s="1261">
        <f t="shared" ref="Y148:Z148" si="321">K148+M148+O148+Q148+S148+U148+W148</f>
        <v>0</v>
      </c>
      <c r="Z148" s="1262">
        <f t="shared" si="321"/>
        <v>0</v>
      </c>
      <c r="AA148" s="704" t="str">
        <f t="shared" si="300"/>
        <v/>
      </c>
      <c r="AB148" s="427" t="str">
        <f>IFERROR(__xludf.DUMMYFUNCTION("IFERROR(SPARKLINE(AA148,{""charttype"",""bar"";""color1"",IF(AA148&gt;=#REF!,#REF!,IF(AA148&gt;=#REF!,#REF!,IF(AA148&gt;=#REF!,#REF!,#REF!)));""max"",1}))"),"")</f>
        <v/>
      </c>
      <c r="AC148" s="1363">
        <v>0.03333333333333333</v>
      </c>
      <c r="AD148" s="1359"/>
      <c r="AE148" s="1364">
        <v>0.03333333333333333</v>
      </c>
      <c r="AF148" s="1359"/>
      <c r="AG148" s="1364">
        <v>0.03333333333333333</v>
      </c>
      <c r="AH148" s="1359"/>
      <c r="AI148" s="1364">
        <v>0.03333333333333333</v>
      </c>
      <c r="AJ148" s="1359"/>
      <c r="AK148" s="1364">
        <v>0.03333333333333333</v>
      </c>
      <c r="AL148" s="1359"/>
      <c r="AM148" s="1364">
        <v>0.03333333333333333</v>
      </c>
      <c r="AN148" s="1359"/>
      <c r="AO148" s="1364">
        <v>0.03333333333333333</v>
      </c>
      <c r="AP148" s="1359"/>
      <c r="AQ148" s="1261">
        <f t="shared" ref="AQ148:AR148" si="322">AC148+AE148+AG148+AI148+AK148+AM148+AO148</f>
        <v>0.2333333333</v>
      </c>
      <c r="AR148" s="1262">
        <f t="shared" si="322"/>
        <v>0</v>
      </c>
      <c r="AS148" s="1232">
        <f t="shared" si="302"/>
        <v>0</v>
      </c>
      <c r="AT148" s="494" t="str">
        <f>IFERROR(__xludf.DUMMYFUNCTION("IFERROR(SPARKLINE(AS148,{""charttype"",""bar"";""color1"",IF(AS148&gt;=#REF!,#REF!,IF(AS148&gt;=#REF!,#REF!,IF(AS148&gt;=#REF!,#REF!,#REF!)));""max"",1}))"),"")</f>
        <v/>
      </c>
      <c r="AU148" s="1365"/>
      <c r="AV148" s="1366"/>
      <c r="AW148" s="1365"/>
      <c r="AX148" s="1366"/>
      <c r="AY148" s="1365"/>
      <c r="AZ148" s="1366"/>
      <c r="BA148" s="1365"/>
      <c r="BB148" s="1366"/>
      <c r="BC148" s="1365"/>
      <c r="BD148" s="1366"/>
      <c r="BE148" s="1365"/>
      <c r="BF148" s="1366"/>
      <c r="BG148" s="1365"/>
      <c r="BH148" s="1366"/>
      <c r="BI148" s="1261">
        <f t="shared" ref="BI148:BJ148" si="323">AU148+AW148+AY148+BA148+BC148+BE148+BG148</f>
        <v>0</v>
      </c>
      <c r="BJ148" s="1262">
        <f t="shared" si="323"/>
        <v>0</v>
      </c>
      <c r="BK148" s="1232" t="str">
        <f t="shared" si="304"/>
        <v/>
      </c>
      <c r="BL148" s="494" t="str">
        <f>IFERROR(__xludf.DUMMYFUNCTION("IFERROR(SPARKLINE(BK148,{""charttype"",""bar"";""color1"",IF(BK148&gt;=#REF!,#REF!,IF(BK148&gt;=#REF!,#REF!,IF(BK148&gt;=#REF!,#REF!,#REF!)));""max"",1}))"),"")</f>
        <v/>
      </c>
      <c r="BM148" s="1367"/>
      <c r="BN148" s="1368"/>
      <c r="BO148" s="1367"/>
      <c r="BP148" s="1369"/>
      <c r="BQ148" s="1367"/>
      <c r="BR148" s="1369"/>
      <c r="BS148" s="1367"/>
      <c r="BT148" s="1369"/>
      <c r="BU148" s="1367"/>
      <c r="BV148" s="1369"/>
      <c r="BW148" s="1370"/>
      <c r="BX148" s="1369"/>
      <c r="BY148" s="1371"/>
      <c r="BZ148" s="1372"/>
      <c r="CA148" s="1261">
        <f t="shared" ref="CA148:CB148" si="324">BM148+BO148+BQ148+BS148+BU148+BW148+BY148</f>
        <v>0</v>
      </c>
      <c r="CB148" s="1262">
        <f t="shared" si="324"/>
        <v>0</v>
      </c>
      <c r="CC148" s="1232" t="str">
        <f t="shared" si="306"/>
        <v/>
      </c>
      <c r="CD148" s="494" t="str">
        <f>IFERROR(__xludf.DUMMYFUNCTION("IFERROR(SPARKLINE(CC148,{""charttype"",""bar"";""color1"",IF(CC148&gt;=#REF!,#REF!,IF(CC148&gt;=#REF!,#REF!,IF(CC148&gt;=#REF!,#REF!,#REF!)));""max"",1}))"),"")</f>
        <v/>
      </c>
      <c r="CE148" s="1373"/>
      <c r="CF148" s="1374"/>
      <c r="CG148" s="1373"/>
      <c r="CH148" s="1375"/>
      <c r="CI148" s="1373"/>
      <c r="CJ148" s="1375"/>
      <c r="CK148" s="1373"/>
      <c r="CL148" s="1375"/>
      <c r="CM148" s="1373"/>
      <c r="CN148" s="1376"/>
      <c r="CO148" s="1377"/>
      <c r="CP148" s="1377"/>
      <c r="CQ148" s="1378"/>
      <c r="CR148" s="1377"/>
      <c r="CS148" s="1379">
        <f t="shared" ref="CS148:CT148" si="325">CE148+CG148+CI148+CK148+CM148+CO148+CQ148</f>
        <v>0</v>
      </c>
      <c r="CT148" s="1380">
        <f t="shared" si="325"/>
        <v>0</v>
      </c>
      <c r="CU148" s="300" t="str">
        <f t="shared" si="308"/>
        <v/>
      </c>
      <c r="CV148" s="445" t="str">
        <f>IFERROR(__xludf.DUMMYFUNCTION("IFERROR(SPARKLINE(CU148,{""charttype"",""bar"";""color1"",IF(CU148&gt;=#REF!,#REF!,IF(CU148&gt;=#REF!,#REF!,IF(CU148&gt;=#REF!,#REF!,#REF!)));""max"",1}))"),"")</f>
        <v/>
      </c>
      <c r="CW148" s="1381"/>
      <c r="CX148" s="1382"/>
      <c r="CY148" s="1381"/>
      <c r="CZ148" s="1383"/>
      <c r="DA148" s="1384"/>
      <c r="DB148" s="1385"/>
      <c r="DC148" s="1384"/>
      <c r="DD148" s="1385"/>
      <c r="DE148" s="1384"/>
      <c r="DF148" s="1385"/>
      <c r="DG148" s="1384"/>
      <c r="DH148" s="1385"/>
      <c r="DI148" s="1384"/>
      <c r="DJ148" s="1386"/>
      <c r="DK148" s="1379">
        <f t="shared" ref="DK148:DL148" si="326">CW148+CY148+DA148+DC148+DE148+DG148+DI148</f>
        <v>0</v>
      </c>
      <c r="DL148" s="1380">
        <f t="shared" si="326"/>
        <v>0</v>
      </c>
      <c r="DM148" s="1387" t="str">
        <f t="shared" si="310"/>
        <v/>
      </c>
      <c r="DN148" s="1388" t="str">
        <f>IFERROR(__xludf.DUMMYFUNCTION("IFERROR(SPARKLINE(DM148,{""charttype"",""bar"";""color1"",IF(DM148&gt;=#REF!,#REF!,IF(DM148&gt;=#REF!,#REF!,IF(DM148&gt;=#REF!,#REF!,#REF!)));""max"",1}))"),"")</f>
        <v/>
      </c>
      <c r="DO148" s="1389"/>
      <c r="DP148" s="1389"/>
    </row>
    <row r="149" hidden="1">
      <c r="A149" s="1245"/>
      <c r="B149" s="1246" t="s">
        <v>79</v>
      </c>
      <c r="C149" s="1247"/>
      <c r="D149" s="1247"/>
      <c r="E149" s="1248"/>
      <c r="F149" s="1390" t="str">
        <f>SUMIFS(J149:DM149,$O$11:$DN$11,"Факт",$O$3:$DN$3,"&gt;"&amp;EOMONTH('Апрель'!date,-1),$O$3:$DN$3,"&lt;="&amp;EOMONTH('Апрель'!date,0))</f>
        <v>#VALUE!</v>
      </c>
      <c r="G149" s="1390">
        <f>SUMIFS(O149:DN149,$O$11:$DN$11,"Факт",$O$3:$DN$3,"&gt;"&amp;EOMONTH('Апрель'!date,-1),$O$3:$DN$3,"&lt;="&amp;EOMONTH('Апрель'!date,0))</f>
        <v>0</v>
      </c>
      <c r="H149" s="1251" t="str">
        <f t="shared" si="298"/>
        <v/>
      </c>
      <c r="I149" s="1391" t="str">
        <f>IFERROR(__xludf.DUMMYFUNCTION("IFERROR(SPARKLINE(H149,{""charttype"",""bar"";""color1"",IF(H149&gt;='Апрель'!green_percent,'Апрель'!green,IF(H149&gt;='Апрель'!yellow_percent,'Апрель'!yellow,IF(H149&gt;='Апрель'!orange_percent,'Апрель'!orange,'Апрель'!red)));""max"",1}))"),"")</f>
        <v/>
      </c>
      <c r="J149" s="1392"/>
      <c r="K149" s="1393"/>
      <c r="L149" s="1394"/>
      <c r="M149" s="1395"/>
      <c r="N149" s="1396"/>
      <c r="O149" s="1393"/>
      <c r="P149" s="1394"/>
      <c r="Q149" s="1395"/>
      <c r="R149" s="1396"/>
      <c r="S149" s="1395"/>
      <c r="T149" s="1397"/>
      <c r="U149" s="1398"/>
      <c r="V149" s="1399"/>
      <c r="W149" s="1398"/>
      <c r="X149" s="1400"/>
      <c r="Y149" s="1401">
        <f t="shared" ref="Y149:Z149" si="327">K149+M149+O149+Q149+S149+U149+W149</f>
        <v>0</v>
      </c>
      <c r="Z149" s="1402">
        <f t="shared" si="327"/>
        <v>0</v>
      </c>
      <c r="AA149" s="1251" t="str">
        <f t="shared" si="300"/>
        <v/>
      </c>
      <c r="AB149" s="1391" t="str">
        <f>IFERROR(__xludf.DUMMYFUNCTION("IFERROR(SPARKLINE(AA149,{""charttype"",""bar"";""color1"",IF(AA149&gt;='Апрель'!green_percent,'Апрель'!green,IF(AA149&gt;='Апрель'!yellow_percent,'Апрель'!yellow,IF(AA149&gt;='Апрель'!orange_percent,'Апрель'!orange,'Апрель'!red)));""max"",1}))"),"")</f>
        <v/>
      </c>
      <c r="AC149" s="1403">
        <v>967.741935483871</v>
      </c>
      <c r="AD149" s="1397"/>
      <c r="AE149" s="1404">
        <v>967.741935483871</v>
      </c>
      <c r="AF149" s="1397"/>
      <c r="AG149" s="1404">
        <v>967.741935483871</v>
      </c>
      <c r="AH149" s="1397"/>
      <c r="AI149" s="1404">
        <v>967.741935483871</v>
      </c>
      <c r="AJ149" s="1399"/>
      <c r="AK149" s="1404">
        <v>967.741935483871</v>
      </c>
      <c r="AL149" s="1397"/>
      <c r="AM149" s="1405">
        <v>967.741935483871</v>
      </c>
      <c r="AN149" s="1399"/>
      <c r="AO149" s="1405">
        <v>967.741935483871</v>
      </c>
      <c r="AP149" s="1399"/>
      <c r="AQ149" s="1401">
        <f t="shared" ref="AQ149:AR149" si="328">AC149+AE149+AG149+AI149+AK149+AM149+AO149</f>
        <v>6774.193548</v>
      </c>
      <c r="AR149" s="1402">
        <f t="shared" si="328"/>
        <v>0</v>
      </c>
      <c r="AS149" s="1339">
        <f t="shared" si="302"/>
        <v>0</v>
      </c>
      <c r="AT149" s="1406" t="str">
        <f>IFERROR(__xludf.DUMMYFUNCTION("IFERROR(SPARKLINE(AS149,{""charttype"",""bar"";""color1"",IF(AS149&gt;='Апрель'!green_percent,'Апрель'!green,IF(AS149&gt;='Апрель'!yellow_percent,'Апрель'!yellow,IF(AS149&gt;='Апрель'!orange_percent,'Апрель'!orange,'Апрель'!red)));""max"",1}))"),"")</f>
        <v/>
      </c>
      <c r="AU149" s="1407"/>
      <c r="AV149" s="1408"/>
      <c r="AW149" s="1407"/>
      <c r="AX149" s="1408"/>
      <c r="AY149" s="1407"/>
      <c r="AZ149" s="1408"/>
      <c r="BA149" s="1407"/>
      <c r="BB149" s="1409"/>
      <c r="BC149" s="1407"/>
      <c r="BD149" s="1408"/>
      <c r="BE149" s="1410"/>
      <c r="BF149" s="1399"/>
      <c r="BG149" s="1410"/>
      <c r="BH149" s="1399"/>
      <c r="BI149" s="1401">
        <f t="shared" ref="BI149:BJ149" si="329">AU149+AW149+AY149+BA149+BC149+BE149+BG149</f>
        <v>0</v>
      </c>
      <c r="BJ149" s="1402">
        <f t="shared" si="329"/>
        <v>0</v>
      </c>
      <c r="BK149" s="1339" t="str">
        <f t="shared" si="304"/>
        <v/>
      </c>
      <c r="BL149" s="1406" t="str">
        <f>IFERROR(__xludf.DUMMYFUNCTION("IFERROR(SPARKLINE(BK149,{""charttype"",""bar"";""color1"",IF(BK149&gt;='Апрель'!green_percent,'Апрель'!green,IF(BK149&gt;='Апрель'!yellow_percent,'Апрель'!yellow,IF(BK149&gt;='Апрель'!orange_percent,'Апрель'!orange,'Апрель'!red)));""max"",1}))"),"")</f>
        <v/>
      </c>
      <c r="BM149" s="1407"/>
      <c r="BN149" s="1411"/>
      <c r="BO149" s="1412"/>
      <c r="BP149" s="1413"/>
      <c r="BQ149" s="1407"/>
      <c r="BR149" s="1413"/>
      <c r="BS149" s="1407"/>
      <c r="BT149" s="1413"/>
      <c r="BU149" s="1407"/>
      <c r="BV149" s="1413"/>
      <c r="BW149" s="1414"/>
      <c r="BX149" s="1413"/>
      <c r="BY149" s="1415"/>
      <c r="BZ149" s="1416"/>
      <c r="CA149" s="1401">
        <f t="shared" ref="CA149:CB149" si="330">BM149+BO149+BQ149+BS149+BU149+BW149+BY149</f>
        <v>0</v>
      </c>
      <c r="CB149" s="1402">
        <f t="shared" si="330"/>
        <v>0</v>
      </c>
      <c r="CC149" s="1339" t="str">
        <f t="shared" si="306"/>
        <v/>
      </c>
      <c r="CD149" s="1406" t="str">
        <f>IFERROR(__xludf.DUMMYFUNCTION("IFERROR(SPARKLINE(CC149,{""charttype"",""bar"";""color1"",IF(CC149&gt;='Апрель'!green_percent,'Апрель'!green,IF(CC149&gt;='Апрель'!yellow_percent,'Апрель'!yellow,IF(CC149&gt;='Апрель'!orange_percent,'Апрель'!orange,'Апрель'!red)));""max"",1}))"),"")</f>
        <v/>
      </c>
      <c r="CE149" s="1407"/>
      <c r="CF149" s="561"/>
      <c r="CG149" s="1407"/>
      <c r="CH149" s="561"/>
      <c r="CI149" s="1407"/>
      <c r="CJ149" s="561"/>
      <c r="CK149" s="1407"/>
      <c r="CL149" s="561"/>
      <c r="CM149" s="1407"/>
      <c r="CN149" s="561"/>
      <c r="CO149" s="560"/>
      <c r="CP149" s="1417"/>
      <c r="CQ149" s="560"/>
      <c r="CR149" s="1418"/>
      <c r="CS149" s="1419">
        <f t="shared" ref="CS149:CT149" si="331">CE149+CG149+CI149+CK149+CM149+CO149+CQ149</f>
        <v>0</v>
      </c>
      <c r="CT149" s="1420">
        <f t="shared" si="331"/>
        <v>0</v>
      </c>
      <c r="CU149" s="235" t="str">
        <f t="shared" si="308"/>
        <v/>
      </c>
      <c r="CV149" s="1421" t="str">
        <f>IFERROR(__xludf.DUMMYFUNCTION("IFERROR(SPARKLINE(CU149,{""charttype"",""bar"";""color1"",IF(CU149&gt;='Апрель'!green_percent,'Апрель'!green,IF(CU149&gt;='Апрель'!yellow_percent,'Апрель'!yellow,IF(CU149&gt;='Апрель'!orange_percent,'Апрель'!orange,'Апрель'!red)));""max"",1}))"),"")</f>
        <v/>
      </c>
      <c r="CW149" s="1393"/>
      <c r="CX149" s="1422"/>
      <c r="CY149" s="1393"/>
      <c r="CZ149" s="1423"/>
      <c r="DA149" s="1424"/>
      <c r="DB149" s="1423"/>
      <c r="DC149" s="1424"/>
      <c r="DD149" s="1423"/>
      <c r="DE149" s="1424"/>
      <c r="DF149" s="1423"/>
      <c r="DG149" s="1424"/>
      <c r="DH149" s="1423"/>
      <c r="DI149" s="1424"/>
      <c r="DJ149" s="1425"/>
      <c r="DK149" s="1419">
        <f t="shared" ref="DK149:DL149" si="332">CW149+CY149+DA149+DC149+DE149+DG149+DI149</f>
        <v>0</v>
      </c>
      <c r="DL149" s="1420">
        <f t="shared" si="332"/>
        <v>0</v>
      </c>
      <c r="DM149" s="1356" t="str">
        <f t="shared" si="310"/>
        <v/>
      </c>
      <c r="DN149" s="1426" t="str">
        <f>IFERROR(__xludf.DUMMYFUNCTION("IFERROR(SPARKLINE(DM149,{""charttype"",""bar"";""color1"",IF(DM149&gt;='Апрель'!green_percent,'Апрель'!green,IF(DM149&gt;='Апрель'!yellow_percent,'Апрель'!yellow,IF(DM149&gt;='Апрель'!orange_percent,'Апрель'!orange,'Апрель'!red)));""max"",1}))"),"")</f>
        <v/>
      </c>
      <c r="DO149" s="1427"/>
      <c r="DP149" s="1427"/>
    </row>
    <row r="150" hidden="1">
      <c r="A150" s="1245"/>
      <c r="B150" s="1428" t="s">
        <v>80</v>
      </c>
      <c r="C150" s="242"/>
      <c r="D150" s="242"/>
      <c r="E150" s="1130"/>
      <c r="F150" s="1390" t="str">
        <f>SUMIFS(J150:DM150,$O$11:$DN$11,"Факт",$O$3:$DN$3,"&gt;"&amp;EOMONTH('Апрель'!date,-1),$O$3:$DN$3,"&lt;="&amp;EOMONTH('Апрель'!date,0))</f>
        <v>#VALUE!</v>
      </c>
      <c r="G150" s="1390">
        <f>SUMIFS(O150:DN150,$O$11:$DN$11,"Факт",$O$3:$DN$3,"&gt;"&amp;EOMONTH('Апрель'!date,-1),$O$3:$DN$3,"&lt;="&amp;EOMONTH('Апрель'!date,0))</f>
        <v>0</v>
      </c>
      <c r="H150" s="220" t="str">
        <f t="shared" si="298"/>
        <v/>
      </c>
      <c r="I150" s="1429" t="str">
        <f>IFERROR(__xludf.DUMMYFUNCTION("IFERROR(SPARKLINE(H150,{""charttype"",""bar"";""color1"",IF(H150&gt;='Апрель'!green_percent,'Апрель'!green,IF(H150&gt;='Апрель'!yellow_percent,'Апрель'!yellow,IF(H150&gt;='Апрель'!orange_percent,'Апрель'!orange,'Апрель'!red)));""max"",1}))"),"")</f>
        <v/>
      </c>
      <c r="J150" s="1430"/>
      <c r="K150" s="1431"/>
      <c r="L150" s="1432"/>
      <c r="M150" s="1433"/>
      <c r="N150" s="1429"/>
      <c r="O150" s="1434"/>
      <c r="P150" s="1435"/>
      <c r="Q150" s="1433"/>
      <c r="R150" s="1436"/>
      <c r="S150" s="1433"/>
      <c r="T150" s="1437"/>
      <c r="U150" s="1438"/>
      <c r="V150" s="1439"/>
      <c r="W150" s="1438"/>
      <c r="X150" s="1440"/>
      <c r="Y150" s="1441">
        <f t="shared" ref="Y150:Z150" si="333">K150+M150+O150+Q150+S150+U150+W150</f>
        <v>0</v>
      </c>
      <c r="Z150" s="1442">
        <f t="shared" si="333"/>
        <v>0</v>
      </c>
      <c r="AA150" s="1390" t="str">
        <f t="shared" si="300"/>
        <v/>
      </c>
      <c r="AB150" s="1436" t="str">
        <f>IFERROR(__xludf.DUMMYFUNCTION("IFERROR(SPARKLINE(AA150,{""charttype"",""bar"";""color1"",IF(AA150&gt;='Апрель'!green_percent,'Апрель'!green,IF(AA150&gt;='Апрель'!yellow_percent,'Апрель'!yellow,IF(AA150&gt;='Апрель'!orange_percent,'Апрель'!orange,'Апрель'!red)));""max"",1}))"),"")</f>
        <v/>
      </c>
      <c r="AC150" s="538">
        <v>0.5166666666666667</v>
      </c>
      <c r="AD150" s="1437"/>
      <c r="AE150" s="1443">
        <v>0.5166666666666667</v>
      </c>
      <c r="AF150" s="1437"/>
      <c r="AG150" s="1443">
        <v>0.5166666666666667</v>
      </c>
      <c r="AH150" s="1437"/>
      <c r="AI150" s="1443">
        <v>0.5166666666666667</v>
      </c>
      <c r="AJ150" s="1409"/>
      <c r="AK150" s="1443">
        <v>0.5166666666666667</v>
      </c>
      <c r="AL150" s="1437"/>
      <c r="AM150" s="1444">
        <v>0.5166666666666667</v>
      </c>
      <c r="AN150" s="1437"/>
      <c r="AO150" s="1444">
        <v>0.5166666666666667</v>
      </c>
      <c r="AP150" s="1445"/>
      <c r="AQ150" s="1446">
        <f t="shared" ref="AQ150:AR150" si="334">AC150+AE150+AG150+AI150+AK150+AM150+AO150</f>
        <v>3.616666667</v>
      </c>
      <c r="AR150" s="1447">
        <f t="shared" si="334"/>
        <v>0</v>
      </c>
      <c r="AS150" s="1448">
        <f t="shared" si="302"/>
        <v>0</v>
      </c>
      <c r="AT150" s="1449" t="str">
        <f>IFERROR(__xludf.DUMMYFUNCTION("IFERROR(SPARKLINE(AS150,{""charttype"",""bar"";""color1"",IF(AS150&gt;='Апрель'!green_percent,'Апрель'!green,IF(AS150&gt;='Апрель'!yellow_percent,'Апрель'!yellow,IF(AS150&gt;='Апрель'!orange_percent,'Апрель'!orange,'Апрель'!red)));""max"",1}))"),"")</f>
        <v/>
      </c>
      <c r="AU150" s="1433"/>
      <c r="AV150" s="1450"/>
      <c r="AW150" s="1433"/>
      <c r="AX150" s="1450"/>
      <c r="AY150" s="1433"/>
      <c r="AZ150" s="1450"/>
      <c r="BA150" s="1433"/>
      <c r="BB150" s="1399"/>
      <c r="BC150" s="1433"/>
      <c r="BD150" s="1450"/>
      <c r="BE150" s="1451"/>
      <c r="BF150" s="1450"/>
      <c r="BG150" s="1451"/>
      <c r="BH150" s="1452"/>
      <c r="BI150" s="1446">
        <f t="shared" ref="BI150:BJ150" si="335">AU150+AW150+AY150+BA150+BC150+BE150+BG150</f>
        <v>0</v>
      </c>
      <c r="BJ150" s="1447">
        <f t="shared" si="335"/>
        <v>0</v>
      </c>
      <c r="BK150" s="1232" t="str">
        <f t="shared" si="304"/>
        <v/>
      </c>
      <c r="BL150" s="1449" t="str">
        <f>IFERROR(__xludf.DUMMYFUNCTION("IFERROR(SPARKLINE(BK150,{""charttype"",""bar"";""color1"",IF(BK150&gt;='Апрель'!green_percent,'Апрель'!green,IF(BK150&gt;='Апрель'!yellow_percent,'Апрель'!yellow,IF(BK150&gt;='Апрель'!orange_percent,'Апрель'!orange,'Апрель'!red)));""max"",1}))"),"")</f>
        <v/>
      </c>
      <c r="BM150" s="1433"/>
      <c r="BN150" s="1453"/>
      <c r="BO150" s="1433"/>
      <c r="BP150" s="1452"/>
      <c r="BQ150" s="1433"/>
      <c r="BR150" s="1452"/>
      <c r="BS150" s="1433"/>
      <c r="BT150" s="1452"/>
      <c r="BU150" s="1433"/>
      <c r="BV150" s="1452"/>
      <c r="BW150" s="1454"/>
      <c r="BX150" s="1452"/>
      <c r="BY150" s="1455"/>
      <c r="BZ150" s="1456"/>
      <c r="CA150" s="1446">
        <f t="shared" ref="CA150:CB150" si="336">BM150+BO150+BQ150+BS150+BU150+BW150+BY150</f>
        <v>0</v>
      </c>
      <c r="CB150" s="1447">
        <f t="shared" si="336"/>
        <v>0</v>
      </c>
      <c r="CC150" s="1232" t="str">
        <f t="shared" si="306"/>
        <v/>
      </c>
      <c r="CD150" s="1449" t="str">
        <f>IFERROR(__xludf.DUMMYFUNCTION("IFERROR(SPARKLINE(CC150,{""charttype"",""bar"";""color1"",IF(CC150&gt;='Апрель'!green_percent,'Апрель'!green,IF(CC150&gt;='Апрель'!yellow_percent,'Апрель'!yellow,IF(CC150&gt;='Апрель'!orange_percent,'Апрель'!orange,'Апрель'!red)));""max"",1}))"),"")</f>
        <v/>
      </c>
      <c r="CE150" s="1433"/>
      <c r="CF150" s="1457"/>
      <c r="CG150" s="1433"/>
      <c r="CH150" s="1457"/>
      <c r="CI150" s="1433"/>
      <c r="CJ150" s="1457"/>
      <c r="CK150" s="1433"/>
      <c r="CL150" s="1457"/>
      <c r="CM150" s="1433"/>
      <c r="CN150" s="1457"/>
      <c r="CO150" s="1021"/>
      <c r="CP150" s="1458"/>
      <c r="CQ150" s="1021"/>
      <c r="CR150" s="1458"/>
      <c r="CS150" s="1459">
        <f t="shared" ref="CS150:CT150" si="337">CE150+CG150+CI150+CK150+CM150+CO150+CQ150</f>
        <v>0</v>
      </c>
      <c r="CT150" s="1460">
        <f t="shared" si="337"/>
        <v>0</v>
      </c>
      <c r="CU150" s="300" t="str">
        <f t="shared" si="308"/>
        <v/>
      </c>
      <c r="CV150" s="1461" t="str">
        <f>IFERROR(__xludf.DUMMYFUNCTION("IFERROR(SPARKLINE(CU150,{""charttype"",""bar"";""color1"",IF(CU150&gt;='Апрель'!green_percent,'Апрель'!green,IF(CU150&gt;='Апрель'!yellow_percent,'Апрель'!yellow,IF(CU150&gt;='Апрель'!orange_percent,'Апрель'!orange,'Апрель'!red)));""max"",1}))"),"")</f>
        <v/>
      </c>
      <c r="CW150" s="1433"/>
      <c r="CX150" s="1462"/>
      <c r="CY150" s="1433"/>
      <c r="CZ150" s="1463"/>
      <c r="DA150" s="1464"/>
      <c r="DB150" s="1463"/>
      <c r="DC150" s="1465"/>
      <c r="DD150" s="1463"/>
      <c r="DE150" s="1465"/>
      <c r="DF150" s="1463"/>
      <c r="DG150" s="1465"/>
      <c r="DH150" s="1463"/>
      <c r="DI150" s="1465"/>
      <c r="DJ150" s="1466"/>
      <c r="DK150" s="1459">
        <f t="shared" ref="DK150:DL150" si="338">CW150+CY150+DA150+DC150+DE150+DG150+DI150</f>
        <v>0</v>
      </c>
      <c r="DL150" s="1460">
        <f t="shared" si="338"/>
        <v>0</v>
      </c>
      <c r="DM150" s="1467" t="str">
        <f t="shared" si="310"/>
        <v/>
      </c>
      <c r="DN150" s="1468" t="str">
        <f>IFERROR(__xludf.DUMMYFUNCTION("IFERROR(SPARKLINE(DM150,{""charttype"",""bar"";""color1"",IF(DM150&gt;='Апрель'!green_percent,'Апрель'!green,IF(DM150&gt;='Апрель'!yellow_percent,'Апрель'!yellow,IF(DM150&gt;='Апрель'!orange_percent,'Апрель'!orange,'Апрель'!red)));""max"",1}))"),"")</f>
        <v/>
      </c>
      <c r="DO150" s="1469"/>
      <c r="DP150" s="1469"/>
    </row>
    <row r="151" hidden="1">
      <c r="A151" s="1245"/>
      <c r="B151" s="1470" t="s">
        <v>81</v>
      </c>
      <c r="C151" s="217"/>
      <c r="D151" s="217"/>
      <c r="E151" s="1134"/>
      <c r="F151" s="1471" t="str">
        <f>SUMIFS(J151:DM151,$O$11:$DN$11,"Факт",$O$3:$DN$3,"&gt;"&amp;EOMONTH('Апрель'!date,-1),$O$3:$DN$3,"&lt;="&amp;EOMONTH('Апрель'!date,0))</f>
        <v>#VALUE!</v>
      </c>
      <c r="G151" s="1471">
        <f>SUMIFS(O151:DN151,$O$11:$DN$11,"Факт",$O$3:$DN$3,"&gt;"&amp;EOMONTH('Апрель'!date,-1),$O$3:$DN$3,"&lt;="&amp;EOMONTH('Апрель'!date,0))</f>
        <v>0</v>
      </c>
      <c r="H151" s="1472" t="str">
        <f t="shared" si="298"/>
        <v/>
      </c>
      <c r="I151" s="1473" t="str">
        <f>IFERROR(__xludf.DUMMYFUNCTION("IFERROR(SPARKLINE(H151,{""charttype"",""bar"";""color1"",IF(H151&gt;='Апрель'!green_percent,'Апрель'!green,IF(H151&gt;='Апрель'!yellow_percent,'Апрель'!yellow,IF(H151&gt;='Апрель'!orange_percent,'Апрель'!orange,'Апрель'!red)));""max"",1}))"),"")</f>
        <v/>
      </c>
      <c r="J151" s="1474"/>
      <c r="K151" s="1475"/>
      <c r="L151" s="1476"/>
      <c r="M151" s="1477"/>
      <c r="N151" s="586"/>
      <c r="O151" s="1478"/>
      <c r="P151" s="1479"/>
      <c r="Q151" s="1477"/>
      <c r="R151" s="1391"/>
      <c r="S151" s="1477"/>
      <c r="T151" s="1391"/>
      <c r="U151" s="1480"/>
      <c r="V151" s="1481"/>
      <c r="W151" s="1480"/>
      <c r="X151" s="1482"/>
      <c r="Y151" s="1483">
        <f t="shared" ref="Y151:Z151" si="339">K151+M151+O151+Q151+S151+U151+W151</f>
        <v>0</v>
      </c>
      <c r="Z151" s="1484">
        <f t="shared" si="339"/>
        <v>0</v>
      </c>
      <c r="AA151" s="1485" t="str">
        <f t="shared" si="300"/>
        <v/>
      </c>
      <c r="AB151" s="1486" t="str">
        <f>IFERROR(__xludf.DUMMYFUNCTION("IFERROR(SPARKLINE(AA151,{""charttype"",""bar"";""color1"",IF(AA151&gt;='Апрель'!green_percent,'Апрель'!green,IF(AA151&gt;='Апрель'!yellow_percent,'Апрель'!yellow,IF(AA151&gt;='Апрель'!orange_percent,'Апрель'!orange,'Апрель'!red)));""max"",1}))"),"")</f>
        <v/>
      </c>
      <c r="AC151" s="1487">
        <v>6500.0</v>
      </c>
      <c r="AD151" s="1488"/>
      <c r="AE151" s="1489">
        <v>6500.0</v>
      </c>
      <c r="AF151" s="1488"/>
      <c r="AG151" s="1489">
        <v>6500.0</v>
      </c>
      <c r="AH151" s="1488"/>
      <c r="AI151" s="1489">
        <v>6500.0</v>
      </c>
      <c r="AJ151" s="1490"/>
      <c r="AK151" s="1489">
        <v>6500.0</v>
      </c>
      <c r="AL151" s="1488"/>
      <c r="AM151" s="1491">
        <v>6500.0</v>
      </c>
      <c r="AN151" s="1492"/>
      <c r="AO151" s="1491">
        <v>6500.0</v>
      </c>
      <c r="AP151" s="1493"/>
      <c r="AQ151" s="1494">
        <f t="shared" ref="AQ151:AR151" si="340">AC151+AE151+AG151+AI151+AK151+AM151+AO151</f>
        <v>45500</v>
      </c>
      <c r="AR151" s="1495">
        <f t="shared" si="340"/>
        <v>0</v>
      </c>
      <c r="AS151" s="1496">
        <f t="shared" si="302"/>
        <v>0</v>
      </c>
      <c r="AT151" s="510" t="str">
        <f>IFERROR(__xludf.DUMMYFUNCTION("IFERROR(SPARKLINE(AS151,{""charttype"",""bar"";""color1"",IF(AS151&gt;='Апрель'!green_percent,'Апрель'!green,IF(AS151&gt;='Апрель'!yellow_percent,'Апрель'!yellow,IF(AS151&gt;='Апрель'!orange_percent,'Апрель'!orange,'Апрель'!red)));""max"",1}))"),"")</f>
        <v/>
      </c>
      <c r="AU151" s="1477"/>
      <c r="AV151" s="561"/>
      <c r="AW151" s="1477"/>
      <c r="AX151" s="1497"/>
      <c r="AY151" s="1477"/>
      <c r="AZ151" s="1409"/>
      <c r="BA151" s="1477"/>
      <c r="BB151" s="1490"/>
      <c r="BC151" s="1477"/>
      <c r="BD151" s="1497"/>
      <c r="BE151" s="1498"/>
      <c r="BF151" s="1497"/>
      <c r="BG151" s="1498"/>
      <c r="BH151" s="1499"/>
      <c r="BI151" s="1494">
        <f t="shared" ref="BI151:BJ151" si="341">AU151+AW151+AY151+BA151+BC151+BE151+BG151</f>
        <v>0</v>
      </c>
      <c r="BJ151" s="1495">
        <f t="shared" si="341"/>
        <v>0</v>
      </c>
      <c r="BK151" s="1496" t="str">
        <f t="shared" si="304"/>
        <v/>
      </c>
      <c r="BL151" s="510" t="str">
        <f>IFERROR(__xludf.DUMMYFUNCTION("IFERROR(SPARKLINE(BK151,{""charttype"",""bar"";""color1"",IF(BK151&gt;='Апрель'!green_percent,'Апрель'!green,IF(BK151&gt;='Апрель'!yellow_percent,'Апрель'!yellow,IF(BK151&gt;='Апрель'!orange_percent,'Апрель'!orange,'Апрель'!red)));""max"",1}))"),"")</f>
        <v/>
      </c>
      <c r="BM151" s="1433"/>
      <c r="BN151" s="1500"/>
      <c r="BO151" s="1433"/>
      <c r="BP151" s="1501"/>
      <c r="BQ151" s="1433"/>
      <c r="BR151" s="1502"/>
      <c r="BS151" s="1433"/>
      <c r="BT151" s="1502"/>
      <c r="BU151" s="1433"/>
      <c r="BV151" s="1502"/>
      <c r="BW151" s="1503"/>
      <c r="BX151" s="1504"/>
      <c r="BY151" s="1505"/>
      <c r="BZ151" s="1456"/>
      <c r="CA151" s="1494">
        <f t="shared" ref="CA151:CB151" si="342">BM151+BO151+BQ151+BS151+BU151+BW151+BY151</f>
        <v>0</v>
      </c>
      <c r="CB151" s="1495">
        <f t="shared" si="342"/>
        <v>0</v>
      </c>
      <c r="CC151" s="1496" t="str">
        <f t="shared" si="306"/>
        <v/>
      </c>
      <c r="CD151" s="510" t="str">
        <f>IFERROR(__xludf.DUMMYFUNCTION("IFERROR(SPARKLINE(CC151,{""charttype"",""bar"";""color1"",IF(CC151&gt;='Апрель'!green_percent,'Апрель'!green,IF(CC151&gt;='Апрель'!yellow_percent,'Апрель'!yellow,IF(CC151&gt;='Апрель'!orange_percent,'Апрель'!orange,'Апрель'!red)));""max"",1}))"),"")</f>
        <v/>
      </c>
      <c r="CE151" s="1433"/>
      <c r="CF151" s="1506"/>
      <c r="CG151" s="1433"/>
      <c r="CH151" s="1506"/>
      <c r="CI151" s="1433"/>
      <c r="CJ151" s="1506"/>
      <c r="CK151" s="1433"/>
      <c r="CL151" s="1507"/>
      <c r="CM151" s="1433"/>
      <c r="CN151" s="1506"/>
      <c r="CO151" s="1508"/>
      <c r="CP151" s="1509"/>
      <c r="CQ151" s="1508"/>
      <c r="CR151" s="1509"/>
      <c r="CS151" s="1510">
        <f t="shared" ref="CS151:CT151" si="343">CE151+CG151+CI151+CK151+CM151+CO151+CQ151</f>
        <v>0</v>
      </c>
      <c r="CT151" s="1511">
        <f t="shared" si="343"/>
        <v>0</v>
      </c>
      <c r="CU151" s="1512" t="str">
        <f t="shared" si="308"/>
        <v/>
      </c>
      <c r="CV151" s="479" t="str">
        <f>IFERROR(__xludf.DUMMYFUNCTION("IFERROR(SPARKLINE(CU151,{""charttype"",""bar"";""color1"",IF(CU151&gt;='Апрель'!green_percent,'Апрель'!green,IF(CU151&gt;='Апрель'!yellow_percent,'Апрель'!yellow,IF(CU151&gt;='Апрель'!orange_percent,'Апрель'!orange,'Апрель'!red)));""max"",1}))"),"")</f>
        <v/>
      </c>
      <c r="CW151" s="1513"/>
      <c r="CX151" s="1513"/>
      <c r="CY151" s="1513"/>
      <c r="CZ151" s="1514"/>
      <c r="DA151" s="1515"/>
      <c r="DB151" s="1516"/>
      <c r="DC151" s="1517"/>
      <c r="DD151" s="1516"/>
      <c r="DE151" s="1517"/>
      <c r="DF151" s="1516"/>
      <c r="DG151" s="1517"/>
      <c r="DH151" s="1516"/>
      <c r="DI151" s="1517"/>
      <c r="DJ151" s="1518"/>
      <c r="DK151" s="1510">
        <f t="shared" ref="DK151:DL151" si="344">CW151+CY151+DA151+DC151+DE151+DG151+DI151</f>
        <v>0</v>
      </c>
      <c r="DL151" s="1511">
        <f t="shared" si="344"/>
        <v>0</v>
      </c>
      <c r="DM151" s="1519" t="str">
        <f t="shared" si="310"/>
        <v/>
      </c>
      <c r="DN151" s="1282" t="str">
        <f>IFERROR(__xludf.DUMMYFUNCTION("IFERROR(SPARKLINE(DM151,{""charttype"",""bar"";""color1"",IF(DM151&gt;='Апрель'!green_percent,'Апрель'!green,IF(DM151&gt;='Апрель'!yellow_percent,'Апрель'!yellow,IF(DM151&gt;='Апрель'!orange_percent,'Апрель'!orange,'Апрель'!red)));""max"",1}))"),"")</f>
        <v/>
      </c>
      <c r="DO151" s="1520"/>
      <c r="DP151" s="1520"/>
    </row>
    <row r="152" hidden="1">
      <c r="A152" s="1245"/>
      <c r="B152" s="1521" t="s">
        <v>82</v>
      </c>
      <c r="C152" s="814"/>
      <c r="D152" s="814"/>
      <c r="E152" s="1522"/>
      <c r="F152" s="1523" t="str">
        <f>$J$152</f>
        <v/>
      </c>
      <c r="G152" s="1524">
        <f>IFERROR(G148/G16,"")</f>
        <v>0</v>
      </c>
      <c r="H152" s="1525" t="str">
        <f t="shared" ref="H152:H154" si="345">IF(F152&lt;&gt;0,IF(G152&lt;F152,"Не в плане","В плане"),)</f>
        <v/>
      </c>
      <c r="I152" s="222"/>
      <c r="J152" s="1526"/>
      <c r="K152" s="379"/>
      <c r="L152" s="1527"/>
      <c r="M152" s="379"/>
      <c r="N152" s="1527"/>
      <c r="O152" s="379"/>
      <c r="P152" s="1527"/>
      <c r="Q152" s="379"/>
      <c r="R152" s="1527"/>
      <c r="S152" s="379"/>
      <c r="T152" s="1527"/>
      <c r="U152" s="1528"/>
      <c r="V152" s="1529"/>
      <c r="W152" s="1528"/>
      <c r="X152" s="1530"/>
      <c r="Y152" s="1531" t="str">
        <f>IFERROR(AVERAGE(K152,M152,O152,Q152,S152,U152,W152),"")</f>
        <v/>
      </c>
      <c r="Z152" s="230">
        <f>IFERROR(Z148/Z16,"")</f>
        <v>0</v>
      </c>
      <c r="AA152" s="1532" t="str">
        <f t="shared" ref="AA152:AA153" si="346">IF(Y152&lt;&gt;0,IF(Z152&lt;Y152,"Не в плане","В плане"),)</f>
        <v/>
      </c>
      <c r="AB152" s="1533"/>
      <c r="AC152" s="1534"/>
      <c r="AD152" s="1529"/>
      <c r="AE152" s="1535"/>
      <c r="AF152" s="1529"/>
      <c r="AG152" s="1535"/>
      <c r="AH152" s="1529"/>
      <c r="AI152" s="1535"/>
      <c r="AJ152" s="1529"/>
      <c r="AK152" s="1535"/>
      <c r="AL152" s="1529"/>
      <c r="AM152" s="1535"/>
      <c r="AN152" s="1529"/>
      <c r="AO152" s="1535"/>
      <c r="AP152" s="1529"/>
      <c r="AQ152" s="1536" t="str">
        <f>IFERROR(AVERAGE(AC152,AE152,AG152,AI152,AK152,AM152,AO152),"")</f>
        <v/>
      </c>
      <c r="AR152" s="1529">
        <f>IFERROR(AR148/AR16,"")</f>
        <v>0</v>
      </c>
      <c r="AS152" s="1537" t="str">
        <f t="shared" ref="AS152:AS153" si="347">IF(AQ152&lt;&gt;0,IF(AR152&lt;AQ152,"Не в плане","В плане"),)</f>
        <v/>
      </c>
      <c r="AT152" s="1130"/>
      <c r="AU152" s="319"/>
      <c r="AV152" s="1529"/>
      <c r="AW152" s="319"/>
      <c r="AX152" s="1529"/>
      <c r="AY152" s="319"/>
      <c r="AZ152" s="1529"/>
      <c r="BA152" s="319"/>
      <c r="BB152" s="1529"/>
      <c r="BC152" s="319"/>
      <c r="BD152" s="1529"/>
      <c r="BE152" s="319"/>
      <c r="BF152" s="1529"/>
      <c r="BG152" s="319"/>
      <c r="BH152" s="1529"/>
      <c r="BI152" s="1536" t="str">
        <f>IFERROR(AVERAGE(AU152,AW152,AY152,BA152,BC152,BE152,BG152),"")</f>
        <v/>
      </c>
      <c r="BJ152" s="1529">
        <f>IFERROR(BJ148/BJ16,"")</f>
        <v>0</v>
      </c>
      <c r="BK152" s="1537" t="str">
        <f t="shared" ref="BK152:BK153" si="348">IF(BI152&lt;&gt;0,IF(BJ152&lt;BI152,"Не в плане","В плане"),)</f>
        <v/>
      </c>
      <c r="BL152" s="1130"/>
      <c r="BM152" s="319"/>
      <c r="BN152" s="1529"/>
      <c r="BO152" s="319"/>
      <c r="BP152" s="1529"/>
      <c r="BQ152" s="319"/>
      <c r="BR152" s="1529"/>
      <c r="BS152" s="319"/>
      <c r="BT152" s="1529"/>
      <c r="BU152" s="319"/>
      <c r="BV152" s="1529"/>
      <c r="BW152" s="319"/>
      <c r="BX152" s="1529"/>
      <c r="BY152" s="1528"/>
      <c r="BZ152" s="1529"/>
      <c r="CA152" s="1536" t="str">
        <f>IFERROR(AVERAGE(BM152,BO152,BQ152,BS152,BU152,BW152,BY152),"")</f>
        <v/>
      </c>
      <c r="CB152" s="1529">
        <f>IFERROR(CB148/CB16,"")</f>
        <v>0</v>
      </c>
      <c r="CC152" s="1537" t="str">
        <f t="shared" ref="CC152:CC153" si="349">IF(CA152&lt;&gt;0,IF(CB152&lt;CA152,"Не в плане","В плане"),)</f>
        <v/>
      </c>
      <c r="CD152" s="1130"/>
      <c r="CE152" s="1538"/>
      <c r="CF152" s="1529"/>
      <c r="CG152" s="319"/>
      <c r="CH152" s="1529"/>
      <c r="CI152" s="319"/>
      <c r="CJ152" s="1529"/>
      <c r="CK152" s="319"/>
      <c r="CL152" s="1529"/>
      <c r="CM152" s="319"/>
      <c r="CN152" s="1529"/>
      <c r="CO152" s="319"/>
      <c r="CP152" s="1529"/>
      <c r="CQ152" s="319"/>
      <c r="CR152" s="1529"/>
      <c r="CS152" s="1539" t="str">
        <f>IFERROR(AVERAGE(CE152,CG152,CI152,CK152,CM152,CO152,CQ152),"")</f>
        <v/>
      </c>
      <c r="CT152" s="1540">
        <f>IFERROR(CT148/CT16,"")</f>
        <v>0</v>
      </c>
      <c r="CU152" s="1541" t="str">
        <f t="shared" ref="CU152:CU153" si="350">IF(CS152&lt;&gt;0,IF(CT152&lt;CS152,"Не в плане","В плане"),)</f>
        <v/>
      </c>
      <c r="CV152" s="1138"/>
      <c r="CW152" s="1542"/>
      <c r="CX152" s="1529"/>
      <c r="CY152" s="1528"/>
      <c r="CZ152" s="1543"/>
      <c r="DA152" s="1528" t="str">
        <f>$J$152</f>
        <v/>
      </c>
      <c r="DB152" s="1543" t="str">
        <f>IFERROR(DB148/DB16,"")</f>
        <v/>
      </c>
      <c r="DC152" s="1528" t="str">
        <f>$J$152</f>
        <v/>
      </c>
      <c r="DD152" s="1543" t="str">
        <f>IFERROR(DD148/DD16,"")</f>
        <v/>
      </c>
      <c r="DE152" s="1528" t="str">
        <f>$J$152</f>
        <v/>
      </c>
      <c r="DF152" s="1543" t="str">
        <f>IFERROR(DF148/DF16,"")</f>
        <v/>
      </c>
      <c r="DG152" s="1528" t="str">
        <f>$J$152</f>
        <v/>
      </c>
      <c r="DH152" s="1543" t="str">
        <f>IFERROR(DH148/DH16,"")</f>
        <v/>
      </c>
      <c r="DI152" s="1528" t="str">
        <f>$J$152</f>
        <v/>
      </c>
      <c r="DJ152" s="1543" t="str">
        <f>IFERROR(DJ148/DJ16,"")</f>
        <v/>
      </c>
      <c r="DK152" s="1539" t="str">
        <f>IFERROR(AVERAGE(CW152,CY152,DA152,DC152,DE152,DG152,DI152),"")</f>
        <v/>
      </c>
      <c r="DL152" s="1540" t="str">
        <f>IFERROR(DL148/DL16,"")</f>
        <v/>
      </c>
      <c r="DM152" s="1544" t="str">
        <f t="shared" ref="DM152:DM153" si="351">IF(DL152&lt;&gt;0,IF(DM152&lt;DL152,"Не в плане","В плане"),)</f>
        <v/>
      </c>
      <c r="DN152" s="72"/>
      <c r="DO152" s="1545"/>
      <c r="DP152" s="1545"/>
    </row>
    <row r="153" hidden="1">
      <c r="A153" s="1245"/>
      <c r="B153" s="1546" t="s">
        <v>83</v>
      </c>
      <c r="C153" s="967"/>
      <c r="D153" s="967"/>
      <c r="E153" s="1547"/>
      <c r="F153" s="1523" t="str">
        <f>$J$153</f>
        <v/>
      </c>
      <c r="G153" s="1548" t="str">
        <f>IFERROR(G148/G147,"")</f>
        <v/>
      </c>
      <c r="H153" s="1537" t="str">
        <f t="shared" si="345"/>
        <v/>
      </c>
      <c r="I153" s="546"/>
      <c r="J153" s="1549"/>
      <c r="K153" s="1550"/>
      <c r="L153" s="1551"/>
      <c r="M153" s="1552"/>
      <c r="N153" s="514"/>
      <c r="O153" s="1550"/>
      <c r="P153" s="1551"/>
      <c r="Q153" s="1523"/>
      <c r="R153" s="1553"/>
      <c r="S153" s="1523"/>
      <c r="T153" s="1554"/>
      <c r="U153" s="1523"/>
      <c r="V153" s="1554"/>
      <c r="W153" s="1523"/>
      <c r="X153" s="1555"/>
      <c r="Y153" s="1556" t="str">
        <f>$J$153</f>
        <v/>
      </c>
      <c r="Z153" s="1557" t="str">
        <f>IFERROR(Z148/Z147,"")</f>
        <v/>
      </c>
      <c r="AA153" s="1532" t="str">
        <f t="shared" si="346"/>
        <v/>
      </c>
      <c r="AB153" s="1533"/>
      <c r="AC153" s="1558"/>
      <c r="AD153" s="1553"/>
      <c r="AE153" s="1559"/>
      <c r="AF153" s="1553"/>
      <c r="AG153" s="1559"/>
      <c r="AH153" s="1553"/>
      <c r="AI153" s="1559"/>
      <c r="AJ153" s="1554"/>
      <c r="AK153" s="1559"/>
      <c r="AL153" s="1553"/>
      <c r="AM153" s="1559"/>
      <c r="AN153" s="1553"/>
      <c r="AO153" s="1559"/>
      <c r="AP153" s="1553"/>
      <c r="AQ153" s="1523" t="str">
        <f>$J$153</f>
        <v/>
      </c>
      <c r="AR153" s="1553" t="str">
        <f>IFERROR(AR148/AR147,"")</f>
        <v/>
      </c>
      <c r="AS153" s="1525" t="str">
        <f t="shared" si="347"/>
        <v/>
      </c>
      <c r="AT153" s="1134"/>
      <c r="AU153" s="1560"/>
      <c r="AV153" s="1561"/>
      <c r="AW153" s="1560"/>
      <c r="AX153" s="1561"/>
      <c r="AY153" s="1560"/>
      <c r="AZ153" s="1561"/>
      <c r="BA153" s="1560"/>
      <c r="BB153" s="1527"/>
      <c r="BC153" s="1560"/>
      <c r="BD153" s="1561"/>
      <c r="BE153" s="1560"/>
      <c r="BF153" s="1561"/>
      <c r="BG153" s="1560"/>
      <c r="BH153" s="1561"/>
      <c r="BI153" s="1523" t="str">
        <f>$J$153</f>
        <v/>
      </c>
      <c r="BJ153" s="1553" t="str">
        <f>IFERROR(BJ148/BJ147,"")</f>
        <v/>
      </c>
      <c r="BK153" s="1525" t="str">
        <f t="shared" si="348"/>
        <v/>
      </c>
      <c r="BL153" s="1134"/>
      <c r="BM153" s="1560"/>
      <c r="BN153" s="1561"/>
      <c r="BO153" s="1562"/>
      <c r="BP153" s="1561"/>
      <c r="BQ153" s="1560"/>
      <c r="BR153" s="1561"/>
      <c r="BS153" s="1563"/>
      <c r="BT153" s="1527"/>
      <c r="BU153" s="1560"/>
      <c r="BV153" s="1561"/>
      <c r="BW153" s="1560"/>
      <c r="BX153" s="1561"/>
      <c r="BY153" s="1523"/>
      <c r="BZ153" s="1553"/>
      <c r="CA153" s="1523" t="str">
        <f>$J$153</f>
        <v/>
      </c>
      <c r="CB153" s="1553" t="str">
        <f>IFERROR(CB148/CB147,"")</f>
        <v/>
      </c>
      <c r="CC153" s="1525" t="str">
        <f t="shared" si="349"/>
        <v/>
      </c>
      <c r="CD153" s="1134"/>
      <c r="CE153" s="1560"/>
      <c r="CF153" s="1561"/>
      <c r="CG153" s="1560"/>
      <c r="CH153" s="1561"/>
      <c r="CI153" s="1560"/>
      <c r="CJ153" s="1561"/>
      <c r="CK153" s="1560"/>
      <c r="CL153" s="1527"/>
      <c r="CM153" s="1560"/>
      <c r="CN153" s="1561"/>
      <c r="CO153" s="1560"/>
      <c r="CP153" s="1561"/>
      <c r="CQ153" s="1560"/>
      <c r="CR153" s="1561"/>
      <c r="CS153" s="1564" t="str">
        <f>$J$153</f>
        <v/>
      </c>
      <c r="CT153" s="1565" t="str">
        <f>IFERROR(CT148/CT147,"")</f>
        <v/>
      </c>
      <c r="CU153" s="1566" t="str">
        <f t="shared" si="350"/>
        <v/>
      </c>
      <c r="CV153" s="1567"/>
      <c r="CW153" s="1523"/>
      <c r="CX153" s="1553"/>
      <c r="CY153" s="1568"/>
      <c r="CZ153" s="1553"/>
      <c r="DA153" s="1568" t="str">
        <f>$J$153</f>
        <v/>
      </c>
      <c r="DB153" s="1553" t="str">
        <f>IFERROR(DB148/DB147,"")</f>
        <v/>
      </c>
      <c r="DC153" s="1568" t="str">
        <f>$J$153</f>
        <v/>
      </c>
      <c r="DD153" s="1553" t="str">
        <f>IFERROR(DD148/DD147,"")</f>
        <v/>
      </c>
      <c r="DE153" s="1568" t="str">
        <f>$J$153</f>
        <v/>
      </c>
      <c r="DF153" s="1553" t="str">
        <f>IFERROR(DF148/DF147,"")</f>
        <v/>
      </c>
      <c r="DG153" s="1568" t="str">
        <f>$J$153</f>
        <v/>
      </c>
      <c r="DH153" s="1553" t="str">
        <f>IFERROR(DH148/DH147,"")</f>
        <v/>
      </c>
      <c r="DI153" s="1569" t="str">
        <f>$J$153</f>
        <v/>
      </c>
      <c r="DJ153" s="1553" t="str">
        <f>IFERROR(DJ148/DJ147,"")</f>
        <v/>
      </c>
      <c r="DK153" s="1564" t="str">
        <f>$J$153</f>
        <v/>
      </c>
      <c r="DL153" s="1565" t="str">
        <f>IFERROR(DL148/DL147,"")</f>
        <v/>
      </c>
      <c r="DM153" s="1570" t="str">
        <f t="shared" si="351"/>
        <v/>
      </c>
      <c r="DN153" s="1571"/>
      <c r="DO153" s="1545"/>
      <c r="DP153" s="1545"/>
    </row>
    <row r="154" hidden="1">
      <c r="A154" s="1572"/>
      <c r="B154" s="1573" t="s">
        <v>84</v>
      </c>
      <c r="C154" s="1574"/>
      <c r="D154" s="1574"/>
      <c r="E154" s="1575"/>
      <c r="F154" s="1576" t="str">
        <f>J154</f>
        <v/>
      </c>
      <c r="G154" s="1577" t="str">
        <f>IFERROR(G150/G148,"")</f>
        <v/>
      </c>
      <c r="H154" s="1578" t="str">
        <f t="shared" si="345"/>
        <v/>
      </c>
      <c r="I154" s="1579"/>
      <c r="J154" s="1580"/>
      <c r="K154" s="1581"/>
      <c r="L154" s="1582"/>
      <c r="M154" s="1583"/>
      <c r="N154" s="1584"/>
      <c r="O154" s="1585"/>
      <c r="P154" s="1586"/>
      <c r="Q154" s="1587"/>
      <c r="R154" s="1584"/>
      <c r="S154" s="1587"/>
      <c r="T154" s="1584"/>
      <c r="U154" s="1587"/>
      <c r="V154" s="1584"/>
      <c r="W154" s="1587"/>
      <c r="X154" s="1588"/>
      <c r="Y154" s="1587" t="str">
        <f>$J$154</f>
        <v/>
      </c>
      <c r="Z154" s="1589" t="str">
        <f>IFERROR(Z150/Z148,"")</f>
        <v/>
      </c>
      <c r="AA154" s="1590" t="str">
        <f>IFERROR(Z154/Y154,"")</f>
        <v/>
      </c>
      <c r="AB154" s="1591" t="str">
        <f>IFERROR(__xludf.DUMMYFUNCTION("IFERROR(SPARKLINE(AA154,{""charttype"",""bar"";""color1"",IF(AA154&gt;='Апрель'!green_percent,'Апрель'!green,IF(AA154&gt;='Апрель'!yellow_percent,'Апрель'!yellow,IF(AA154&gt;='Апрель'!orange_percent,'Апрель'!orange,'Апрель'!red)));""max"",1}))"),"")</f>
        <v/>
      </c>
      <c r="AC154" s="1592"/>
      <c r="AD154" s="1593"/>
      <c r="AE154" s="1594"/>
      <c r="AF154" s="1593"/>
      <c r="AG154" s="1594"/>
      <c r="AH154" s="1593"/>
      <c r="AI154" s="1594"/>
      <c r="AJ154" s="1593"/>
      <c r="AK154" s="1594"/>
      <c r="AL154" s="1593"/>
      <c r="AM154" s="1594"/>
      <c r="AN154" s="1593" t="str">
        <f>IFERROR(AN150/AN148,"")</f>
        <v/>
      </c>
      <c r="AO154" s="1594"/>
      <c r="AP154" s="1593" t="str">
        <f>IFERROR(AP150/AP148,"")</f>
        <v/>
      </c>
      <c r="AQ154" s="1587" t="str">
        <f>$J$154</f>
        <v/>
      </c>
      <c r="AR154" s="1584" t="str">
        <f>IFERROR(AR150/AR148,"")</f>
        <v/>
      </c>
      <c r="AS154" s="1595" t="str">
        <f>IFERROR(AR154/AQ154,"")</f>
        <v/>
      </c>
      <c r="AT154" s="1596" t="str">
        <f>IFERROR(__xludf.DUMMYFUNCTION("IFERROR(SPARKLINE(AS154,{""charttype"",""bar"";""color1"",IF(AS154&gt;='Апрель'!green_percent,'Апрель'!green,IF(AS154&gt;='Апрель'!yellow_percent,'Апрель'!yellow,IF(AS154&gt;='Апрель'!orange_percent,'Апрель'!orange,'Апрель'!red)));""max"",1}))"),"")</f>
        <v/>
      </c>
      <c r="AU154" s="1597"/>
      <c r="AV154" s="1593"/>
      <c r="AW154" s="1597"/>
      <c r="AX154" s="1593"/>
      <c r="AY154" s="1597"/>
      <c r="AZ154" s="1593"/>
      <c r="BA154" s="1597"/>
      <c r="BB154" s="1593"/>
      <c r="BC154" s="1597"/>
      <c r="BD154" s="1593"/>
      <c r="BE154" s="1597"/>
      <c r="BF154" s="1593"/>
      <c r="BG154" s="1597"/>
      <c r="BH154" s="1593"/>
      <c r="BI154" s="1587" t="str">
        <f>$J$154</f>
        <v/>
      </c>
      <c r="BJ154" s="1584" t="str">
        <f>IFERROR(BJ150/BJ148,"")</f>
        <v/>
      </c>
      <c r="BK154" s="1595" t="str">
        <f>IFERROR(BJ154/BI154,"")</f>
        <v/>
      </c>
      <c r="BL154" s="1596" t="str">
        <f>IFERROR(__xludf.DUMMYFUNCTION("IFERROR(SPARKLINE(BK154,{""charttype"",""bar"";""color1"",IF(BK154&gt;='Апрель'!green_percent,'Апрель'!green,IF(BK154&gt;='Апрель'!yellow_percent,'Апрель'!yellow,IF(BK154&gt;='Апрель'!orange_percent,'Апрель'!orange,'Апрель'!red)));""max"",1}))"),"")</f>
        <v/>
      </c>
      <c r="BM154" s="1597"/>
      <c r="BN154" s="1593"/>
      <c r="BO154" s="1597"/>
      <c r="BP154" s="1593"/>
      <c r="BQ154" s="1597"/>
      <c r="BR154" s="1593"/>
      <c r="BS154" s="1597"/>
      <c r="BT154" s="1593"/>
      <c r="BU154" s="1597"/>
      <c r="BV154" s="1593"/>
      <c r="BW154" s="1597"/>
      <c r="BX154" s="1593"/>
      <c r="BY154" s="1597"/>
      <c r="BZ154" s="1593"/>
      <c r="CA154" s="1587" t="str">
        <f>$J$154</f>
        <v/>
      </c>
      <c r="CB154" s="1584" t="str">
        <f>IFERROR(CB150/CB148,"")</f>
        <v/>
      </c>
      <c r="CC154" s="1595" t="str">
        <f>IFERROR(CB154/CA154,"")</f>
        <v/>
      </c>
      <c r="CD154" s="1596" t="str">
        <f>IFERROR(__xludf.DUMMYFUNCTION("IFERROR(SPARKLINE(CC154,{""charttype"",""bar"";""color1"",IF(CC154&gt;='Апрель'!green_percent,'Апрель'!green,IF(CC154&gt;='Апрель'!yellow_percent,'Апрель'!yellow,IF(CC154&gt;='Апрель'!orange_percent,'Апрель'!orange,'Апрель'!red)));""max"",1}))"),"")</f>
        <v/>
      </c>
      <c r="CE154" s="1597"/>
      <c r="CF154" s="1593"/>
      <c r="CG154" s="1597"/>
      <c r="CH154" s="1593"/>
      <c r="CI154" s="1597"/>
      <c r="CJ154" s="1593"/>
      <c r="CK154" s="1597"/>
      <c r="CL154" s="1593"/>
      <c r="CM154" s="1597"/>
      <c r="CN154" s="1593"/>
      <c r="CO154" s="1597"/>
      <c r="CP154" s="1593"/>
      <c r="CQ154" s="1597"/>
      <c r="CR154" s="1593"/>
      <c r="CS154" s="1598" t="str">
        <f>$J$154</f>
        <v/>
      </c>
      <c r="CT154" s="1599" t="str">
        <f>IFERROR(CT150/CT148,"")</f>
        <v/>
      </c>
      <c r="CU154" s="1600" t="str">
        <f>IFERROR(CT154/CS154,"")</f>
        <v/>
      </c>
      <c r="CV154" s="1601" t="str">
        <f>IFERROR(__xludf.DUMMYFUNCTION("IFERROR(SPARKLINE(CU154,{""charttype"",""bar"";""color1"",IF(CU154&gt;='Апрель'!green_percent,'Апрель'!green,IF(CU154&gt;='Апрель'!yellow_percent,'Апрель'!yellow,IF(CU154&gt;='Апрель'!orange_percent,'Апрель'!orange,'Апрель'!red)));""max"",1}))"),"")</f>
        <v/>
      </c>
      <c r="CW154" s="1597"/>
      <c r="CX154" s="1593"/>
      <c r="CY154" s="1597"/>
      <c r="CZ154" s="1602"/>
      <c r="DA154" s="1597" t="str">
        <f>$J$154</f>
        <v/>
      </c>
      <c r="DB154" s="1602" t="str">
        <f>IFERROR(DB150/DB148,"")</f>
        <v/>
      </c>
      <c r="DC154" s="1597" t="str">
        <f>$J$154</f>
        <v/>
      </c>
      <c r="DD154" s="1602" t="str">
        <f>IFERROR(DD150/DD148,"")</f>
        <v/>
      </c>
      <c r="DE154" s="1597" t="str">
        <f>$J$154</f>
        <v/>
      </c>
      <c r="DF154" s="1602" t="str">
        <f>IFERROR(DF150/DF148,"")</f>
        <v/>
      </c>
      <c r="DG154" s="1597" t="str">
        <f>$J$154</f>
        <v/>
      </c>
      <c r="DH154" s="1602" t="str">
        <f>IFERROR(DH150/DH148,"")</f>
        <v/>
      </c>
      <c r="DI154" s="1597" t="str">
        <f>$J$154</f>
        <v/>
      </c>
      <c r="DJ154" s="1593" t="str">
        <f>IFERROR(DJ150/DJ148,"")</f>
        <v/>
      </c>
      <c r="DK154" s="1598" t="str">
        <f>$J$154</f>
        <v/>
      </c>
      <c r="DL154" s="1599" t="str">
        <f>IFERROR(DL150/DL148,"")</f>
        <v/>
      </c>
      <c r="DM154" s="1600" t="str">
        <f>IFERROR(DL154/DK154,"")</f>
        <v/>
      </c>
      <c r="DN154" s="1601" t="str">
        <f>IFERROR(__xludf.DUMMYFUNCTION("IFERROR(SPARKLINE(DM154,{""charttype"",""bar"";""color1"",IF(DM154&gt;='Апрель'!green_percent,'Апрель'!green,IF(DM154&gt;='Апрель'!yellow_percent,'Апрель'!yellow,IF(DM154&gt;='Апрель'!orange_percent,'Апрель'!orange,'Апрель'!red)));""max"",1}))"),"")</f>
        <v/>
      </c>
      <c r="DO154" s="1603"/>
      <c r="DP154" s="1603"/>
    </row>
    <row r="155" ht="26.25" customHeight="1">
      <c r="A155" s="1604"/>
      <c r="B155" s="1604"/>
      <c r="C155" s="1604"/>
      <c r="D155" s="1604"/>
      <c r="E155" s="1604"/>
      <c r="F155" s="1605"/>
      <c r="G155" s="1606"/>
      <c r="H155" s="1607"/>
      <c r="I155" s="1608"/>
      <c r="J155" s="1609"/>
      <c r="K155" s="1606"/>
      <c r="L155" s="1606"/>
      <c r="M155" s="1606"/>
      <c r="N155" s="1606"/>
      <c r="O155" s="1606"/>
      <c r="P155" s="1606"/>
      <c r="Q155" s="1606"/>
      <c r="R155" s="1606"/>
      <c r="S155" s="1606"/>
      <c r="T155" s="1606"/>
      <c r="U155" s="1606"/>
      <c r="V155" s="1606"/>
      <c r="W155" s="1606"/>
      <c r="X155" s="1606"/>
      <c r="Y155" s="1606"/>
      <c r="Z155" s="1606"/>
      <c r="AA155" s="1607"/>
      <c r="AB155" s="1608"/>
      <c r="AC155" s="1610"/>
      <c r="AD155" s="1606"/>
      <c r="AE155" s="1611"/>
      <c r="AF155" s="1606"/>
      <c r="AG155" s="1611"/>
      <c r="AH155" s="1606"/>
      <c r="AI155" s="1611"/>
      <c r="AJ155" s="1606"/>
      <c r="AK155" s="1611"/>
      <c r="AL155" s="1606"/>
      <c r="AM155" s="1611"/>
      <c r="AN155" s="1606"/>
      <c r="AO155" s="1611"/>
      <c r="AP155" s="1606"/>
      <c r="AQ155" s="1612"/>
      <c r="AR155" s="1612"/>
      <c r="AS155" s="1613"/>
      <c r="AT155" s="1612"/>
      <c r="AU155" s="1606"/>
      <c r="AV155" s="1606"/>
      <c r="AW155" s="1606"/>
      <c r="AX155" s="1606"/>
      <c r="AY155" s="1606"/>
      <c r="AZ155" s="1606"/>
      <c r="BA155" s="1606"/>
      <c r="BB155" s="1606"/>
      <c r="BC155" s="1606"/>
      <c r="BD155" s="1606"/>
      <c r="BE155" s="1606"/>
      <c r="BF155" s="1606"/>
      <c r="BG155" s="1606"/>
      <c r="BH155" s="1606"/>
      <c r="BI155" s="1612"/>
      <c r="BJ155" s="1612"/>
      <c r="BK155" s="1613"/>
      <c r="BL155" s="1612"/>
      <c r="BM155" s="1612"/>
      <c r="BN155" s="1612"/>
      <c r="BO155" s="1614"/>
      <c r="BP155" s="1614"/>
      <c r="BQ155" s="1614"/>
      <c r="BR155" s="1614"/>
      <c r="BS155" s="1614"/>
      <c r="BT155" s="1614"/>
      <c r="BU155" s="1614"/>
      <c r="BV155" s="1614"/>
      <c r="BW155" s="1614"/>
      <c r="BX155" s="1614"/>
      <c r="BY155" s="1614"/>
      <c r="BZ155" s="1614"/>
      <c r="CA155" s="1612"/>
      <c r="CB155" s="1612"/>
      <c r="CC155" s="1613"/>
      <c r="CD155" s="1612"/>
      <c r="CE155" s="1606"/>
      <c r="CF155" s="1606"/>
      <c r="CG155" s="1606"/>
      <c r="CH155" s="1606"/>
      <c r="CI155" s="1606"/>
      <c r="CJ155" s="1606"/>
      <c r="CK155" s="1606"/>
      <c r="CL155" s="1606"/>
      <c r="CM155" s="1606"/>
      <c r="CN155" s="1606"/>
      <c r="CO155" s="1606"/>
      <c r="CP155" s="1606"/>
      <c r="CQ155" s="1606"/>
      <c r="CR155" s="1606"/>
      <c r="CS155" s="1615"/>
      <c r="CT155" s="1615"/>
      <c r="CU155" s="1616"/>
      <c r="CV155" s="1615"/>
      <c r="CW155" s="1606"/>
      <c r="CX155" s="1606"/>
      <c r="CY155" s="1606"/>
      <c r="CZ155" s="1606"/>
      <c r="DA155" s="1606"/>
      <c r="DB155" s="1606"/>
      <c r="DC155" s="1606"/>
      <c r="DD155" s="1606"/>
      <c r="DE155" s="1606"/>
      <c r="DF155" s="1606"/>
      <c r="DG155" s="1606"/>
      <c r="DH155" s="1606"/>
      <c r="DI155" s="1606"/>
      <c r="DJ155" s="1606"/>
      <c r="DK155" s="1615"/>
      <c r="DL155" s="1615"/>
      <c r="DM155" s="1616"/>
      <c r="DN155" s="1615"/>
      <c r="DO155" s="1617"/>
      <c r="DP155" s="1617"/>
    </row>
    <row r="156" ht="26.25" customHeight="1">
      <c r="A156" s="1604"/>
      <c r="B156" s="1604"/>
      <c r="C156" s="1604"/>
      <c r="D156" s="1604"/>
      <c r="E156" s="1604"/>
      <c r="F156" s="1605"/>
      <c r="G156" s="1606"/>
      <c r="H156" s="1607"/>
      <c r="I156" s="1608"/>
      <c r="J156" s="1609"/>
      <c r="K156" s="1606"/>
      <c r="L156" s="1606"/>
      <c r="M156" s="1606"/>
      <c r="N156" s="1606"/>
      <c r="O156" s="1606"/>
      <c r="P156" s="1606"/>
      <c r="Q156" s="1606"/>
      <c r="R156" s="1606"/>
      <c r="S156" s="1606"/>
      <c r="T156" s="1606"/>
      <c r="U156" s="1606"/>
      <c r="V156" s="1606"/>
      <c r="W156" s="1606"/>
      <c r="X156" s="1606"/>
      <c r="Y156" s="1606"/>
      <c r="Z156" s="1606"/>
      <c r="AA156" s="1607"/>
      <c r="AB156" s="1608"/>
      <c r="AC156" s="1610"/>
      <c r="AD156" s="1606"/>
      <c r="AE156" s="1611"/>
      <c r="AF156" s="1606"/>
      <c r="AG156" s="1611"/>
      <c r="AH156" s="1606"/>
      <c r="AI156" s="1611"/>
      <c r="AJ156" s="1606"/>
      <c r="AK156" s="1611"/>
      <c r="AL156" s="1606"/>
      <c r="AM156" s="1611"/>
      <c r="AN156" s="1606"/>
      <c r="AO156" s="1611"/>
      <c r="AP156" s="1606"/>
      <c r="AQ156" s="1612"/>
      <c r="AR156" s="1612"/>
      <c r="AS156" s="1613"/>
      <c r="AT156" s="1612"/>
      <c r="AU156" s="1606"/>
      <c r="AV156" s="1606"/>
      <c r="AW156" s="1606"/>
      <c r="AX156" s="1606"/>
      <c r="AY156" s="1606"/>
      <c r="AZ156" s="1606"/>
      <c r="BA156" s="1606"/>
      <c r="BB156" s="1606"/>
      <c r="BC156" s="1606"/>
      <c r="BD156" s="1606"/>
      <c r="BE156" s="1606"/>
      <c r="BF156" s="1606"/>
      <c r="BG156" s="1606"/>
      <c r="BH156" s="1606"/>
      <c r="BI156" s="1612"/>
      <c r="BJ156" s="1612"/>
      <c r="BK156" s="1613"/>
      <c r="BL156" s="1612"/>
      <c r="BM156" s="1612"/>
      <c r="BN156" s="1612"/>
      <c r="BO156" s="1614"/>
      <c r="BP156" s="1614"/>
      <c r="BQ156" s="1614"/>
      <c r="BR156" s="1614"/>
      <c r="BS156" s="1614"/>
      <c r="BT156" s="1614"/>
      <c r="BU156" s="1614"/>
      <c r="BV156" s="1614"/>
      <c r="BW156" s="1614"/>
      <c r="BX156" s="1614"/>
      <c r="BY156" s="1614"/>
      <c r="BZ156" s="1614"/>
      <c r="CA156" s="1612"/>
      <c r="CB156" s="1612"/>
      <c r="CC156" s="1613"/>
      <c r="CD156" s="1612"/>
      <c r="CE156" s="1606"/>
      <c r="CF156" s="1606"/>
      <c r="CG156" s="1606"/>
      <c r="CH156" s="1606"/>
      <c r="CI156" s="1606"/>
      <c r="CJ156" s="1606"/>
      <c r="CK156" s="1606"/>
      <c r="CL156" s="1606"/>
      <c r="CM156" s="1606"/>
      <c r="CN156" s="1606"/>
      <c r="CO156" s="1606"/>
      <c r="CP156" s="1606"/>
      <c r="CQ156" s="1606"/>
      <c r="CR156" s="1606"/>
      <c r="CS156" s="1615"/>
      <c r="CT156" s="1615"/>
      <c r="CU156" s="1616"/>
      <c r="CV156" s="1615"/>
      <c r="CW156" s="1606"/>
      <c r="CX156" s="1606"/>
      <c r="CY156" s="1606"/>
      <c r="CZ156" s="1606"/>
      <c r="DA156" s="1606"/>
      <c r="DB156" s="1606"/>
      <c r="DC156" s="1606"/>
      <c r="DD156" s="1606"/>
      <c r="DE156" s="1606"/>
      <c r="DF156" s="1606"/>
      <c r="DG156" s="1606"/>
      <c r="DH156" s="1606"/>
      <c r="DI156" s="1606"/>
      <c r="DJ156" s="1606"/>
      <c r="DK156" s="1615"/>
      <c r="DL156" s="1615"/>
      <c r="DM156" s="1616"/>
      <c r="DN156" s="1615"/>
      <c r="DO156" s="1617"/>
      <c r="DP156" s="1617"/>
    </row>
    <row r="157" ht="26.25" customHeight="1">
      <c r="A157" s="1604"/>
      <c r="B157" s="1604"/>
      <c r="C157" s="1604"/>
      <c r="D157" s="1604"/>
      <c r="E157" s="1604"/>
      <c r="F157" s="1605"/>
      <c r="G157" s="1606"/>
      <c r="H157" s="1607"/>
      <c r="I157" s="1608"/>
      <c r="J157" s="1609"/>
      <c r="K157" s="1606"/>
      <c r="L157" s="1606"/>
      <c r="M157" s="1606"/>
      <c r="N157" s="1606"/>
      <c r="O157" s="1606"/>
      <c r="P157" s="1606"/>
      <c r="Q157" s="1606"/>
      <c r="R157" s="1606"/>
      <c r="S157" s="1606"/>
      <c r="T157" s="1606"/>
      <c r="U157" s="1606"/>
      <c r="V157" s="1606"/>
      <c r="W157" s="1606"/>
      <c r="X157" s="1606"/>
      <c r="Y157" s="1606"/>
      <c r="Z157" s="1606"/>
      <c r="AA157" s="1607"/>
      <c r="AB157" s="1608"/>
      <c r="AC157" s="1610"/>
      <c r="AD157" s="1606"/>
      <c r="AE157" s="1611"/>
      <c r="AF157" s="1606"/>
      <c r="AG157" s="1611"/>
      <c r="AH157" s="1606"/>
      <c r="AI157" s="1611"/>
      <c r="AJ157" s="1606"/>
      <c r="AK157" s="1611"/>
      <c r="AL157" s="1606"/>
      <c r="AM157" s="1611"/>
      <c r="AN157" s="1606"/>
      <c r="AO157" s="1611"/>
      <c r="AP157" s="1606"/>
      <c r="AQ157" s="1612"/>
      <c r="AR157" s="1612"/>
      <c r="AS157" s="1613"/>
      <c r="AT157" s="1612"/>
      <c r="AU157" s="1606"/>
      <c r="AV157" s="1606"/>
      <c r="AW157" s="1606"/>
      <c r="AX157" s="1606"/>
      <c r="AY157" s="1606"/>
      <c r="AZ157" s="1606"/>
      <c r="BA157" s="1606"/>
      <c r="BB157" s="1606"/>
      <c r="BC157" s="1606"/>
      <c r="BD157" s="1606"/>
      <c r="BE157" s="1606"/>
      <c r="BF157" s="1606"/>
      <c r="BG157" s="1606"/>
      <c r="BH157" s="1606"/>
      <c r="BI157" s="1612"/>
      <c r="BJ157" s="1612"/>
      <c r="BK157" s="1613"/>
      <c r="BL157" s="1612"/>
      <c r="BM157" s="1612"/>
      <c r="BN157" s="1612"/>
      <c r="BO157" s="1614"/>
      <c r="BP157" s="1614"/>
      <c r="BQ157" s="1614"/>
      <c r="BR157" s="1614"/>
      <c r="BS157" s="1614"/>
      <c r="BT157" s="1614"/>
      <c r="BU157" s="1614"/>
      <c r="BV157" s="1614"/>
      <c r="BW157" s="1614"/>
      <c r="BX157" s="1614"/>
      <c r="BY157" s="1614"/>
      <c r="BZ157" s="1614"/>
      <c r="CA157" s="1612"/>
      <c r="CB157" s="1612"/>
      <c r="CC157" s="1613"/>
      <c r="CD157" s="1612"/>
      <c r="CE157" s="1606"/>
      <c r="CF157" s="1606"/>
      <c r="CG157" s="1606"/>
      <c r="CH157" s="1606"/>
      <c r="CI157" s="1606"/>
      <c r="CJ157" s="1606"/>
      <c r="CK157" s="1606"/>
      <c r="CL157" s="1606"/>
      <c r="CM157" s="1606"/>
      <c r="CN157" s="1606"/>
      <c r="CO157" s="1606"/>
      <c r="CP157" s="1606"/>
      <c r="CQ157" s="1606"/>
      <c r="CR157" s="1606"/>
      <c r="CS157" s="1615"/>
      <c r="CT157" s="1615"/>
      <c r="CU157" s="1616"/>
      <c r="CV157" s="1615"/>
      <c r="CW157" s="1606"/>
      <c r="CX157" s="1606"/>
      <c r="CY157" s="1606"/>
      <c r="CZ157" s="1606"/>
      <c r="DA157" s="1606"/>
      <c r="DB157" s="1606"/>
      <c r="DC157" s="1606"/>
      <c r="DD157" s="1606"/>
      <c r="DE157" s="1606"/>
      <c r="DF157" s="1606"/>
      <c r="DG157" s="1606"/>
      <c r="DH157" s="1606"/>
      <c r="DI157" s="1606"/>
      <c r="DJ157" s="1606"/>
      <c r="DK157" s="1615"/>
      <c r="DL157" s="1615"/>
      <c r="DM157" s="1616"/>
      <c r="DN157" s="1615"/>
      <c r="DO157" s="1617"/>
      <c r="DP157" s="1617"/>
    </row>
    <row r="158" ht="26.25" customHeight="1">
      <c r="A158" s="1604"/>
      <c r="B158" s="1604"/>
      <c r="C158" s="1604"/>
      <c r="D158" s="1604"/>
      <c r="E158" s="1604"/>
      <c r="F158" s="1605"/>
      <c r="G158" s="1606"/>
      <c r="H158" s="1607"/>
      <c r="I158" s="1608"/>
      <c r="J158" s="1609"/>
      <c r="K158" s="1606"/>
      <c r="L158" s="1606"/>
      <c r="M158" s="1606"/>
      <c r="N158" s="1606"/>
      <c r="O158" s="1606"/>
      <c r="P158" s="1606"/>
      <c r="Q158" s="1606"/>
      <c r="R158" s="1606"/>
      <c r="S158" s="1606"/>
      <c r="T158" s="1606"/>
      <c r="U158" s="1606"/>
      <c r="V158" s="1606"/>
      <c r="W158" s="1606"/>
      <c r="X158" s="1606"/>
      <c r="Y158" s="1606"/>
      <c r="Z158" s="1606"/>
      <c r="AA158" s="1607"/>
      <c r="AB158" s="1608"/>
      <c r="AC158" s="1610"/>
      <c r="AD158" s="1606"/>
      <c r="AE158" s="1611"/>
      <c r="AF158" s="1606"/>
      <c r="AG158" s="1611"/>
      <c r="AH158" s="1606"/>
      <c r="AI158" s="1611"/>
      <c r="AJ158" s="1606"/>
      <c r="AK158" s="1611"/>
      <c r="AL158" s="1606"/>
      <c r="AM158" s="1611"/>
      <c r="AN158" s="1606"/>
      <c r="AO158" s="1611"/>
      <c r="AP158" s="1606"/>
      <c r="AQ158" s="1612"/>
      <c r="AR158" s="1612"/>
      <c r="AS158" s="1613"/>
      <c r="AT158" s="1612"/>
      <c r="AU158" s="1606"/>
      <c r="AV158" s="1606"/>
      <c r="AW158" s="1606"/>
      <c r="AX158" s="1606"/>
      <c r="AY158" s="1606"/>
      <c r="AZ158" s="1606"/>
      <c r="BA158" s="1606"/>
      <c r="BB158" s="1606"/>
      <c r="BC158" s="1606"/>
      <c r="BD158" s="1606"/>
      <c r="BE158" s="1606"/>
      <c r="BF158" s="1606"/>
      <c r="BG158" s="1606"/>
      <c r="BH158" s="1606"/>
      <c r="BI158" s="1612"/>
      <c r="BJ158" s="1612"/>
      <c r="BK158" s="1613"/>
      <c r="BL158" s="1612"/>
      <c r="BM158" s="1612"/>
      <c r="BN158" s="1612"/>
      <c r="BO158" s="1614"/>
      <c r="BP158" s="1614"/>
      <c r="BQ158" s="1614"/>
      <c r="BR158" s="1614"/>
      <c r="BS158" s="1614"/>
      <c r="BT158" s="1614"/>
      <c r="BU158" s="1614"/>
      <c r="BV158" s="1614"/>
      <c r="BW158" s="1614"/>
      <c r="BX158" s="1614"/>
      <c r="BY158" s="1614"/>
      <c r="BZ158" s="1614"/>
      <c r="CA158" s="1612"/>
      <c r="CB158" s="1612"/>
      <c r="CC158" s="1613"/>
      <c r="CD158" s="1612"/>
      <c r="CE158" s="1606"/>
      <c r="CF158" s="1606"/>
      <c r="CG158" s="1606"/>
      <c r="CH158" s="1606"/>
      <c r="CI158" s="1606"/>
      <c r="CJ158" s="1606"/>
      <c r="CK158" s="1606"/>
      <c r="CL158" s="1606"/>
      <c r="CM158" s="1606"/>
      <c r="CN158" s="1606"/>
      <c r="CO158" s="1606"/>
      <c r="CP158" s="1606"/>
      <c r="CQ158" s="1606"/>
      <c r="CR158" s="1606"/>
      <c r="CS158" s="1615"/>
      <c r="CT158" s="1615"/>
      <c r="CU158" s="1616"/>
      <c r="CV158" s="1615"/>
      <c r="CW158" s="1606"/>
      <c r="CX158" s="1606"/>
      <c r="CY158" s="1606"/>
      <c r="CZ158" s="1606"/>
      <c r="DA158" s="1606"/>
      <c r="DB158" s="1606"/>
      <c r="DC158" s="1606"/>
      <c r="DD158" s="1606"/>
      <c r="DE158" s="1606"/>
      <c r="DF158" s="1606"/>
      <c r="DG158" s="1606"/>
      <c r="DH158" s="1606"/>
      <c r="DI158" s="1606"/>
      <c r="DJ158" s="1606"/>
      <c r="DK158" s="1615"/>
      <c r="DL158" s="1615"/>
      <c r="DM158" s="1616"/>
      <c r="DN158" s="1615"/>
      <c r="DO158" s="1617"/>
      <c r="DP158" s="1617"/>
    </row>
    <row r="159" ht="26.25" customHeight="1">
      <c r="A159" s="1604"/>
      <c r="B159" s="1604"/>
      <c r="C159" s="1604"/>
      <c r="D159" s="1604"/>
      <c r="E159" s="1604"/>
      <c r="F159" s="1605"/>
      <c r="G159" s="1606"/>
      <c r="H159" s="1607"/>
      <c r="I159" s="1608"/>
      <c r="J159" s="1609"/>
      <c r="K159" s="1606"/>
      <c r="L159" s="1606"/>
      <c r="M159" s="1606"/>
      <c r="N159" s="1606"/>
      <c r="O159" s="1606"/>
      <c r="P159" s="1606"/>
      <c r="Q159" s="1606"/>
      <c r="R159" s="1606"/>
      <c r="S159" s="1606"/>
      <c r="T159" s="1606"/>
      <c r="U159" s="1606"/>
      <c r="V159" s="1606"/>
      <c r="W159" s="1606"/>
      <c r="X159" s="1606"/>
      <c r="Y159" s="1606"/>
      <c r="Z159" s="1606"/>
      <c r="AA159" s="1607"/>
      <c r="AB159" s="1608"/>
      <c r="AC159" s="1610"/>
      <c r="AD159" s="1606"/>
      <c r="AE159" s="1611"/>
      <c r="AF159" s="1606"/>
      <c r="AG159" s="1611"/>
      <c r="AH159" s="1606"/>
      <c r="AI159" s="1611"/>
      <c r="AJ159" s="1606"/>
      <c r="AK159" s="1611"/>
      <c r="AL159" s="1606"/>
      <c r="AM159" s="1611"/>
      <c r="AN159" s="1606"/>
      <c r="AO159" s="1611"/>
      <c r="AP159" s="1606"/>
      <c r="AQ159" s="1612"/>
      <c r="AR159" s="1612"/>
      <c r="AS159" s="1613"/>
      <c r="AT159" s="1612"/>
      <c r="AU159" s="1606"/>
      <c r="AV159" s="1606"/>
      <c r="AW159" s="1606"/>
      <c r="AX159" s="1606"/>
      <c r="AY159" s="1606"/>
      <c r="AZ159" s="1606"/>
      <c r="BA159" s="1606"/>
      <c r="BB159" s="1606"/>
      <c r="BC159" s="1606"/>
      <c r="BD159" s="1606"/>
      <c r="BE159" s="1606"/>
      <c r="BF159" s="1606"/>
      <c r="BG159" s="1606"/>
      <c r="BH159" s="1606"/>
      <c r="BI159" s="1612"/>
      <c r="BJ159" s="1612"/>
      <c r="BK159" s="1613"/>
      <c r="BL159" s="1612"/>
      <c r="BM159" s="1612"/>
      <c r="BN159" s="1612"/>
      <c r="BO159" s="1614"/>
      <c r="BP159" s="1614"/>
      <c r="BQ159" s="1614"/>
      <c r="BR159" s="1614"/>
      <c r="BS159" s="1614"/>
      <c r="BT159" s="1614"/>
      <c r="BU159" s="1614"/>
      <c r="BV159" s="1614"/>
      <c r="BW159" s="1614"/>
      <c r="BX159" s="1614"/>
      <c r="BY159" s="1614"/>
      <c r="BZ159" s="1614"/>
      <c r="CA159" s="1612"/>
      <c r="CB159" s="1612"/>
      <c r="CC159" s="1613"/>
      <c r="CD159" s="1612"/>
      <c r="CE159" s="1606"/>
      <c r="CF159" s="1606"/>
      <c r="CG159" s="1606"/>
      <c r="CH159" s="1606"/>
      <c r="CI159" s="1606"/>
      <c r="CJ159" s="1606"/>
      <c r="CK159" s="1606"/>
      <c r="CL159" s="1606"/>
      <c r="CM159" s="1606"/>
      <c r="CN159" s="1606"/>
      <c r="CO159" s="1606"/>
      <c r="CP159" s="1606"/>
      <c r="CQ159" s="1606"/>
      <c r="CR159" s="1606"/>
      <c r="CS159" s="1615"/>
      <c r="CT159" s="1615"/>
      <c r="CU159" s="1616"/>
      <c r="CV159" s="1615"/>
      <c r="CW159" s="1606"/>
      <c r="CX159" s="1606"/>
      <c r="CY159" s="1606"/>
      <c r="CZ159" s="1606"/>
      <c r="DA159" s="1606"/>
      <c r="DB159" s="1606"/>
      <c r="DC159" s="1606"/>
      <c r="DD159" s="1606"/>
      <c r="DE159" s="1606"/>
      <c r="DF159" s="1606"/>
      <c r="DG159" s="1606"/>
      <c r="DH159" s="1606"/>
      <c r="DI159" s="1606"/>
      <c r="DJ159" s="1606"/>
      <c r="DK159" s="1615"/>
      <c r="DL159" s="1615"/>
      <c r="DM159" s="1616"/>
      <c r="DN159" s="1615"/>
      <c r="DO159" s="1617"/>
      <c r="DP159" s="1617"/>
    </row>
    <row r="160" ht="26.25" customHeight="1">
      <c r="A160" s="1604"/>
      <c r="B160" s="1604"/>
      <c r="C160" s="1604"/>
      <c r="D160" s="1604"/>
      <c r="E160" s="1604"/>
      <c r="F160" s="1605"/>
      <c r="G160" s="1606"/>
      <c r="H160" s="1607"/>
      <c r="I160" s="1608"/>
      <c r="J160" s="1609"/>
      <c r="K160" s="1606"/>
      <c r="L160" s="1606"/>
      <c r="M160" s="1606"/>
      <c r="N160" s="1606"/>
      <c r="O160" s="1606"/>
      <c r="P160" s="1606"/>
      <c r="Q160" s="1606"/>
      <c r="R160" s="1606"/>
      <c r="S160" s="1606"/>
      <c r="T160" s="1606"/>
      <c r="U160" s="1606"/>
      <c r="V160" s="1606"/>
      <c r="W160" s="1606"/>
      <c r="X160" s="1606"/>
      <c r="Y160" s="1606"/>
      <c r="Z160" s="1606"/>
      <c r="AA160" s="1607"/>
      <c r="AB160" s="1608"/>
      <c r="AC160" s="1610"/>
      <c r="AD160" s="1606"/>
      <c r="AE160" s="1611"/>
      <c r="AF160" s="1606"/>
      <c r="AG160" s="1611"/>
      <c r="AH160" s="1606"/>
      <c r="AI160" s="1611"/>
      <c r="AJ160" s="1606"/>
      <c r="AK160" s="1611"/>
      <c r="AL160" s="1606"/>
      <c r="AM160" s="1611"/>
      <c r="AN160" s="1606"/>
      <c r="AO160" s="1611"/>
      <c r="AP160" s="1606"/>
      <c r="AQ160" s="1612"/>
      <c r="AR160" s="1612"/>
      <c r="AS160" s="1613"/>
      <c r="AT160" s="1612"/>
      <c r="AU160" s="1606"/>
      <c r="AV160" s="1606"/>
      <c r="AW160" s="1606"/>
      <c r="AX160" s="1606"/>
      <c r="AY160" s="1606"/>
      <c r="AZ160" s="1606"/>
      <c r="BA160" s="1606"/>
      <c r="BB160" s="1606"/>
      <c r="BC160" s="1606"/>
      <c r="BD160" s="1606"/>
      <c r="BE160" s="1606"/>
      <c r="BF160" s="1606"/>
      <c r="BG160" s="1606"/>
      <c r="BH160" s="1606"/>
      <c r="BI160" s="1612"/>
      <c r="BJ160" s="1612"/>
      <c r="BK160" s="1613"/>
      <c r="BL160" s="1612"/>
      <c r="BM160" s="1612"/>
      <c r="BN160" s="1612"/>
      <c r="BO160" s="1614"/>
      <c r="BP160" s="1614"/>
      <c r="BQ160" s="1614"/>
      <c r="BR160" s="1614"/>
      <c r="BS160" s="1614"/>
      <c r="BT160" s="1614"/>
      <c r="BU160" s="1614"/>
      <c r="BV160" s="1614"/>
      <c r="BW160" s="1614"/>
      <c r="BX160" s="1614"/>
      <c r="BY160" s="1614"/>
      <c r="BZ160" s="1614"/>
      <c r="CA160" s="1612"/>
      <c r="CB160" s="1612"/>
      <c r="CC160" s="1613"/>
      <c r="CD160" s="1612"/>
      <c r="CE160" s="1606"/>
      <c r="CF160" s="1606"/>
      <c r="CG160" s="1606"/>
      <c r="CH160" s="1606"/>
      <c r="CI160" s="1606"/>
      <c r="CJ160" s="1606"/>
      <c r="CK160" s="1606"/>
      <c r="CL160" s="1606"/>
      <c r="CM160" s="1606"/>
      <c r="CN160" s="1606"/>
      <c r="CO160" s="1606"/>
      <c r="CP160" s="1606"/>
      <c r="CQ160" s="1606"/>
      <c r="CR160" s="1606"/>
      <c r="CS160" s="1615"/>
      <c r="CT160" s="1615"/>
      <c r="CU160" s="1616"/>
      <c r="CV160" s="1615"/>
      <c r="CW160" s="1606"/>
      <c r="CX160" s="1606"/>
      <c r="CY160" s="1606"/>
      <c r="CZ160" s="1606"/>
      <c r="DA160" s="1606"/>
      <c r="DB160" s="1606"/>
      <c r="DC160" s="1606"/>
      <c r="DD160" s="1606"/>
      <c r="DE160" s="1606"/>
      <c r="DF160" s="1606"/>
      <c r="DG160" s="1606"/>
      <c r="DH160" s="1606"/>
      <c r="DI160" s="1606"/>
      <c r="DJ160" s="1606"/>
      <c r="DK160" s="1615"/>
      <c r="DL160" s="1615"/>
      <c r="DM160" s="1616"/>
      <c r="DN160" s="1615"/>
      <c r="DO160" s="1617"/>
      <c r="DP160" s="1617"/>
    </row>
    <row r="161" ht="26.25" customHeight="1">
      <c r="A161" s="1604"/>
      <c r="B161" s="1604"/>
      <c r="C161" s="1604"/>
      <c r="D161" s="1604"/>
      <c r="E161" s="1604"/>
      <c r="F161" s="1605"/>
      <c r="G161" s="1606"/>
      <c r="H161" s="1607"/>
      <c r="I161" s="1608"/>
      <c r="J161" s="1609"/>
      <c r="K161" s="1606"/>
      <c r="L161" s="1606"/>
      <c r="M161" s="1606"/>
      <c r="N161" s="1606"/>
      <c r="O161" s="1606"/>
      <c r="P161" s="1606"/>
      <c r="Q161" s="1606"/>
      <c r="R161" s="1606"/>
      <c r="S161" s="1606"/>
      <c r="T161" s="1606"/>
      <c r="U161" s="1606"/>
      <c r="V161" s="1606"/>
      <c r="W161" s="1606"/>
      <c r="X161" s="1606"/>
      <c r="Y161" s="1606"/>
      <c r="Z161" s="1606"/>
      <c r="AA161" s="1607"/>
      <c r="AB161" s="1608"/>
      <c r="AC161" s="1610"/>
      <c r="AD161" s="1606"/>
      <c r="AE161" s="1611"/>
      <c r="AF161" s="1606"/>
      <c r="AG161" s="1611"/>
      <c r="AH161" s="1606"/>
      <c r="AI161" s="1611"/>
      <c r="AJ161" s="1606"/>
      <c r="AK161" s="1611"/>
      <c r="AL161" s="1606"/>
      <c r="AM161" s="1611"/>
      <c r="AN161" s="1606"/>
      <c r="AO161" s="1611"/>
      <c r="AP161" s="1606"/>
      <c r="AQ161" s="1612"/>
      <c r="AR161" s="1612"/>
      <c r="AS161" s="1613"/>
      <c r="AT161" s="1612"/>
      <c r="AU161" s="1606"/>
      <c r="AV161" s="1606"/>
      <c r="AW161" s="1606"/>
      <c r="AX161" s="1606"/>
      <c r="AY161" s="1606"/>
      <c r="AZ161" s="1606"/>
      <c r="BA161" s="1606"/>
      <c r="BB161" s="1606"/>
      <c r="BC161" s="1606"/>
      <c r="BD161" s="1606"/>
      <c r="BE161" s="1606"/>
      <c r="BF161" s="1606"/>
      <c r="BG161" s="1606"/>
      <c r="BH161" s="1606"/>
      <c r="BI161" s="1612"/>
      <c r="BJ161" s="1612"/>
      <c r="BK161" s="1613"/>
      <c r="BL161" s="1612"/>
      <c r="BM161" s="1612"/>
      <c r="BN161" s="1612"/>
      <c r="BO161" s="1614"/>
      <c r="BP161" s="1614"/>
      <c r="BQ161" s="1614"/>
      <c r="BR161" s="1614"/>
      <c r="BS161" s="1614"/>
      <c r="BT161" s="1614"/>
      <c r="BU161" s="1614"/>
      <c r="BV161" s="1614"/>
      <c r="BW161" s="1614"/>
      <c r="BX161" s="1614"/>
      <c r="BY161" s="1614"/>
      <c r="BZ161" s="1614"/>
      <c r="CA161" s="1612"/>
      <c r="CB161" s="1612"/>
      <c r="CC161" s="1613"/>
      <c r="CD161" s="1612"/>
      <c r="CE161" s="1606"/>
      <c r="CF161" s="1606"/>
      <c r="CG161" s="1606"/>
      <c r="CH161" s="1606"/>
      <c r="CI161" s="1606"/>
      <c r="CJ161" s="1606"/>
      <c r="CK161" s="1606"/>
      <c r="CL161" s="1606"/>
      <c r="CM161" s="1606"/>
      <c r="CN161" s="1606"/>
      <c r="CO161" s="1606"/>
      <c r="CP161" s="1606"/>
      <c r="CQ161" s="1606"/>
      <c r="CR161" s="1606"/>
      <c r="CS161" s="1615"/>
      <c r="CT161" s="1615"/>
      <c r="CU161" s="1616"/>
      <c r="CV161" s="1615"/>
      <c r="CW161" s="1606"/>
      <c r="CX161" s="1606"/>
      <c r="CY161" s="1606"/>
      <c r="CZ161" s="1606"/>
      <c r="DA161" s="1606"/>
      <c r="DB161" s="1606"/>
      <c r="DC161" s="1606"/>
      <c r="DD161" s="1606"/>
      <c r="DE161" s="1606"/>
      <c r="DF161" s="1606"/>
      <c r="DG161" s="1606"/>
      <c r="DH161" s="1606"/>
      <c r="DI161" s="1606"/>
      <c r="DJ161" s="1606"/>
      <c r="DK161" s="1615"/>
      <c r="DL161" s="1615"/>
      <c r="DM161" s="1616"/>
      <c r="DN161" s="1615"/>
      <c r="DO161" s="1617"/>
      <c r="DP161" s="1617"/>
    </row>
    <row r="162" ht="26.25" customHeight="1">
      <c r="A162" s="1604"/>
      <c r="B162" s="1604"/>
      <c r="C162" s="1604"/>
      <c r="D162" s="1604"/>
      <c r="E162" s="1604"/>
      <c r="F162" s="1605"/>
      <c r="G162" s="1606"/>
      <c r="H162" s="1607"/>
      <c r="I162" s="1608"/>
      <c r="J162" s="1609"/>
      <c r="K162" s="1606"/>
      <c r="L162" s="1606"/>
      <c r="M162" s="1606"/>
      <c r="N162" s="1606"/>
      <c r="O162" s="1606"/>
      <c r="P162" s="1606"/>
      <c r="Q162" s="1606"/>
      <c r="R162" s="1606"/>
      <c r="S162" s="1606"/>
      <c r="T162" s="1606"/>
      <c r="U162" s="1606"/>
      <c r="V162" s="1606"/>
      <c r="W162" s="1606"/>
      <c r="X162" s="1606"/>
      <c r="Y162" s="1606"/>
      <c r="Z162" s="1606"/>
      <c r="AA162" s="1607"/>
      <c r="AB162" s="1608"/>
      <c r="AC162" s="1610"/>
      <c r="AD162" s="1606"/>
      <c r="AE162" s="1611"/>
      <c r="AF162" s="1606"/>
      <c r="AG162" s="1611"/>
      <c r="AH162" s="1606"/>
      <c r="AI162" s="1611"/>
      <c r="AJ162" s="1606"/>
      <c r="AK162" s="1611"/>
      <c r="AL162" s="1606"/>
      <c r="AM162" s="1611"/>
      <c r="AN162" s="1606"/>
      <c r="AO162" s="1611"/>
      <c r="AP162" s="1606"/>
      <c r="AQ162" s="1612"/>
      <c r="AR162" s="1612"/>
      <c r="AS162" s="1613"/>
      <c r="AT162" s="1612"/>
      <c r="AU162" s="1606"/>
      <c r="AV162" s="1606"/>
      <c r="AW162" s="1606"/>
      <c r="AX162" s="1606"/>
      <c r="AY162" s="1606"/>
      <c r="AZ162" s="1606"/>
      <c r="BA162" s="1606"/>
      <c r="BB162" s="1606"/>
      <c r="BC162" s="1606"/>
      <c r="BD162" s="1606"/>
      <c r="BE162" s="1606"/>
      <c r="BF162" s="1606"/>
      <c r="BG162" s="1606"/>
      <c r="BH162" s="1606"/>
      <c r="BI162" s="1612"/>
      <c r="BJ162" s="1612"/>
      <c r="BK162" s="1613"/>
      <c r="BL162" s="1612"/>
      <c r="BM162" s="1612"/>
      <c r="BN162" s="1612"/>
      <c r="BO162" s="1614"/>
      <c r="BP162" s="1614"/>
      <c r="BQ162" s="1614"/>
      <c r="BR162" s="1614"/>
      <c r="BS162" s="1614"/>
      <c r="BT162" s="1614"/>
      <c r="BU162" s="1614"/>
      <c r="BV162" s="1614"/>
      <c r="BW162" s="1614"/>
      <c r="BX162" s="1614"/>
      <c r="BY162" s="1614"/>
      <c r="BZ162" s="1614"/>
      <c r="CA162" s="1612"/>
      <c r="CB162" s="1612"/>
      <c r="CC162" s="1613"/>
      <c r="CD162" s="1612"/>
      <c r="CE162" s="1606"/>
      <c r="CF162" s="1606"/>
      <c r="CG162" s="1606"/>
      <c r="CH162" s="1606"/>
      <c r="CI162" s="1606"/>
      <c r="CJ162" s="1606"/>
      <c r="CK162" s="1606"/>
      <c r="CL162" s="1606"/>
      <c r="CM162" s="1606"/>
      <c r="CN162" s="1606"/>
      <c r="CO162" s="1606"/>
      <c r="CP162" s="1606"/>
      <c r="CQ162" s="1606"/>
      <c r="CR162" s="1606"/>
      <c r="CS162" s="1615"/>
      <c r="CT162" s="1615"/>
      <c r="CU162" s="1616"/>
      <c r="CV162" s="1615"/>
      <c r="CW162" s="1606"/>
      <c r="CX162" s="1606"/>
      <c r="CY162" s="1606"/>
      <c r="CZ162" s="1606"/>
      <c r="DA162" s="1606"/>
      <c r="DB162" s="1606"/>
      <c r="DC162" s="1606"/>
      <c r="DD162" s="1606"/>
      <c r="DE162" s="1606"/>
      <c r="DF162" s="1606"/>
      <c r="DG162" s="1606"/>
      <c r="DH162" s="1606"/>
      <c r="DI162" s="1606"/>
      <c r="DJ162" s="1606"/>
      <c r="DK162" s="1615"/>
      <c r="DL162" s="1615"/>
      <c r="DM162" s="1616"/>
      <c r="DN162" s="1615"/>
      <c r="DO162" s="1617"/>
      <c r="DP162" s="1617"/>
    </row>
    <row r="163" ht="26.25" customHeight="1">
      <c r="A163" s="1604"/>
      <c r="B163" s="1604"/>
      <c r="C163" s="1604"/>
      <c r="D163" s="1604"/>
      <c r="E163" s="1604"/>
      <c r="F163" s="1605"/>
      <c r="G163" s="1606"/>
      <c r="H163" s="1607"/>
      <c r="I163" s="1608"/>
      <c r="J163" s="1609"/>
      <c r="K163" s="1606"/>
      <c r="L163" s="1606"/>
      <c r="M163" s="1606"/>
      <c r="N163" s="1606"/>
      <c r="O163" s="1606"/>
      <c r="P163" s="1606"/>
      <c r="Q163" s="1606"/>
      <c r="R163" s="1606"/>
      <c r="S163" s="1606"/>
      <c r="T163" s="1606"/>
      <c r="U163" s="1606"/>
      <c r="V163" s="1606"/>
      <c r="W163" s="1606"/>
      <c r="X163" s="1606"/>
      <c r="Y163" s="1606"/>
      <c r="Z163" s="1606"/>
      <c r="AA163" s="1607"/>
      <c r="AB163" s="1608"/>
      <c r="AC163" s="1610"/>
      <c r="AD163" s="1606"/>
      <c r="AE163" s="1611"/>
      <c r="AF163" s="1606"/>
      <c r="AG163" s="1611"/>
      <c r="AH163" s="1606"/>
      <c r="AI163" s="1611"/>
      <c r="AJ163" s="1606"/>
      <c r="AK163" s="1611"/>
      <c r="AL163" s="1606"/>
      <c r="AM163" s="1611"/>
      <c r="AN163" s="1606"/>
      <c r="AO163" s="1611"/>
      <c r="AP163" s="1606"/>
      <c r="AQ163" s="1612"/>
      <c r="AR163" s="1612"/>
      <c r="AS163" s="1613"/>
      <c r="AT163" s="1612"/>
      <c r="AU163" s="1606"/>
      <c r="AV163" s="1606"/>
      <c r="AW163" s="1606"/>
      <c r="AX163" s="1606"/>
      <c r="AY163" s="1606"/>
      <c r="AZ163" s="1606"/>
      <c r="BA163" s="1606"/>
      <c r="BB163" s="1606"/>
      <c r="BC163" s="1606"/>
      <c r="BD163" s="1606"/>
      <c r="BE163" s="1606"/>
      <c r="BF163" s="1606"/>
      <c r="BG163" s="1606"/>
      <c r="BH163" s="1606"/>
      <c r="BI163" s="1612"/>
      <c r="BJ163" s="1612"/>
      <c r="BK163" s="1613"/>
      <c r="BL163" s="1612"/>
      <c r="BM163" s="1612"/>
      <c r="BN163" s="1612"/>
      <c r="BO163" s="1614"/>
      <c r="BP163" s="1614"/>
      <c r="BQ163" s="1614"/>
      <c r="BR163" s="1614"/>
      <c r="BS163" s="1614"/>
      <c r="BT163" s="1614"/>
      <c r="BU163" s="1614"/>
      <c r="BV163" s="1614"/>
      <c r="BW163" s="1614"/>
      <c r="BX163" s="1614"/>
      <c r="BY163" s="1614"/>
      <c r="BZ163" s="1614"/>
      <c r="CA163" s="1612"/>
      <c r="CB163" s="1612"/>
      <c r="CC163" s="1613"/>
      <c r="CD163" s="1612"/>
      <c r="CE163" s="1606"/>
      <c r="CF163" s="1606"/>
      <c r="CG163" s="1606"/>
      <c r="CH163" s="1606"/>
      <c r="CI163" s="1606"/>
      <c r="CJ163" s="1606"/>
      <c r="CK163" s="1606"/>
      <c r="CL163" s="1606"/>
      <c r="CM163" s="1606"/>
      <c r="CN163" s="1606"/>
      <c r="CO163" s="1606"/>
      <c r="CP163" s="1606"/>
      <c r="CQ163" s="1606"/>
      <c r="CR163" s="1606"/>
      <c r="CS163" s="1615"/>
      <c r="CT163" s="1615"/>
      <c r="CU163" s="1616"/>
      <c r="CV163" s="1615"/>
      <c r="CW163" s="1606"/>
      <c r="CX163" s="1606"/>
      <c r="CY163" s="1606"/>
      <c r="CZ163" s="1606"/>
      <c r="DA163" s="1606"/>
      <c r="DB163" s="1606"/>
      <c r="DC163" s="1606"/>
      <c r="DD163" s="1606"/>
      <c r="DE163" s="1606"/>
      <c r="DF163" s="1606"/>
      <c r="DG163" s="1606"/>
      <c r="DH163" s="1606"/>
      <c r="DI163" s="1606"/>
      <c r="DJ163" s="1606"/>
      <c r="DK163" s="1615"/>
      <c r="DL163" s="1615"/>
      <c r="DM163" s="1616"/>
      <c r="DN163" s="1615"/>
      <c r="DO163" s="1617"/>
      <c r="DP163" s="1617"/>
    </row>
    <row r="164" ht="26.25" customHeight="1">
      <c r="A164" s="1604"/>
      <c r="B164" s="1604"/>
      <c r="C164" s="1604"/>
      <c r="D164" s="1604"/>
      <c r="E164" s="1604"/>
      <c r="F164" s="1605"/>
      <c r="G164" s="1606"/>
      <c r="H164" s="1607"/>
      <c r="I164" s="1608"/>
      <c r="J164" s="1609"/>
      <c r="K164" s="1606"/>
      <c r="L164" s="1606"/>
      <c r="M164" s="1606"/>
      <c r="N164" s="1606"/>
      <c r="O164" s="1606"/>
      <c r="P164" s="1606"/>
      <c r="Q164" s="1606"/>
      <c r="R164" s="1606"/>
      <c r="S164" s="1606"/>
      <c r="T164" s="1606"/>
      <c r="U164" s="1606"/>
      <c r="V164" s="1606"/>
      <c r="W164" s="1606"/>
      <c r="X164" s="1606"/>
      <c r="Y164" s="1606"/>
      <c r="Z164" s="1606"/>
      <c r="AA164" s="1607"/>
      <c r="AB164" s="1608"/>
      <c r="AC164" s="1610"/>
      <c r="AD164" s="1606"/>
      <c r="AE164" s="1611"/>
      <c r="AF164" s="1606"/>
      <c r="AG164" s="1611"/>
      <c r="AH164" s="1606"/>
      <c r="AI164" s="1611"/>
      <c r="AJ164" s="1606"/>
      <c r="AK164" s="1611"/>
      <c r="AL164" s="1606"/>
      <c r="AM164" s="1611"/>
      <c r="AN164" s="1606"/>
      <c r="AO164" s="1611"/>
      <c r="AP164" s="1606"/>
      <c r="AQ164" s="1612"/>
      <c r="AR164" s="1612"/>
      <c r="AS164" s="1613"/>
      <c r="AT164" s="1612"/>
      <c r="AU164" s="1606"/>
      <c r="AV164" s="1606"/>
      <c r="AW164" s="1606"/>
      <c r="AX164" s="1606"/>
      <c r="AY164" s="1606"/>
      <c r="AZ164" s="1606"/>
      <c r="BA164" s="1606"/>
      <c r="BB164" s="1606"/>
      <c r="BC164" s="1606"/>
      <c r="BD164" s="1606"/>
      <c r="BE164" s="1606"/>
      <c r="BF164" s="1606"/>
      <c r="BG164" s="1606"/>
      <c r="BH164" s="1606"/>
      <c r="BI164" s="1612"/>
      <c r="BJ164" s="1612"/>
      <c r="BK164" s="1613"/>
      <c r="BL164" s="1612"/>
      <c r="BM164" s="1612"/>
      <c r="BN164" s="1612"/>
      <c r="BO164" s="1614"/>
      <c r="BP164" s="1614"/>
      <c r="BQ164" s="1614"/>
      <c r="BR164" s="1614"/>
      <c r="BS164" s="1614"/>
      <c r="BT164" s="1614"/>
      <c r="BU164" s="1614"/>
      <c r="BV164" s="1614"/>
      <c r="BW164" s="1614"/>
      <c r="BX164" s="1614"/>
      <c r="BY164" s="1614"/>
      <c r="BZ164" s="1614"/>
      <c r="CA164" s="1612"/>
      <c r="CB164" s="1612"/>
      <c r="CC164" s="1613"/>
      <c r="CD164" s="1612"/>
      <c r="CE164" s="1606"/>
      <c r="CF164" s="1606"/>
      <c r="CG164" s="1606"/>
      <c r="CH164" s="1606"/>
      <c r="CI164" s="1606"/>
      <c r="CJ164" s="1606"/>
      <c r="CK164" s="1606"/>
      <c r="CL164" s="1606"/>
      <c r="CM164" s="1606"/>
      <c r="CN164" s="1606"/>
      <c r="CO164" s="1606"/>
      <c r="CP164" s="1606"/>
      <c r="CQ164" s="1606"/>
      <c r="CR164" s="1606"/>
      <c r="CS164" s="1615"/>
      <c r="CT164" s="1615"/>
      <c r="CU164" s="1616"/>
      <c r="CV164" s="1615"/>
      <c r="CW164" s="1606"/>
      <c r="CX164" s="1606"/>
      <c r="CY164" s="1606"/>
      <c r="CZ164" s="1606"/>
      <c r="DA164" s="1606"/>
      <c r="DB164" s="1606"/>
      <c r="DC164" s="1606"/>
      <c r="DD164" s="1606"/>
      <c r="DE164" s="1606"/>
      <c r="DF164" s="1606"/>
      <c r="DG164" s="1606"/>
      <c r="DH164" s="1606"/>
      <c r="DI164" s="1606"/>
      <c r="DJ164" s="1606"/>
      <c r="DK164" s="1615"/>
      <c r="DL164" s="1615"/>
      <c r="DM164" s="1616"/>
      <c r="DN164" s="1615"/>
      <c r="DO164" s="1617"/>
      <c r="DP164" s="1617"/>
    </row>
    <row r="165" ht="26.25" customHeight="1">
      <c r="A165" s="1604"/>
      <c r="B165" s="1604"/>
      <c r="C165" s="1604"/>
      <c r="D165" s="1604"/>
      <c r="E165" s="1604"/>
      <c r="F165" s="1605"/>
      <c r="G165" s="1606"/>
      <c r="H165" s="1607"/>
      <c r="I165" s="1608"/>
      <c r="J165" s="1609"/>
      <c r="K165" s="1606"/>
      <c r="L165" s="1606"/>
      <c r="M165" s="1606"/>
      <c r="N165" s="1606"/>
      <c r="O165" s="1606"/>
      <c r="P165" s="1606"/>
      <c r="Q165" s="1606"/>
      <c r="R165" s="1606"/>
      <c r="S165" s="1606"/>
      <c r="T165" s="1606"/>
      <c r="U165" s="1606"/>
      <c r="V165" s="1606"/>
      <c r="W165" s="1606"/>
      <c r="X165" s="1606"/>
      <c r="Y165" s="1606"/>
      <c r="Z165" s="1606"/>
      <c r="AA165" s="1607"/>
      <c r="AB165" s="1608"/>
      <c r="AC165" s="1610"/>
      <c r="AD165" s="1606"/>
      <c r="AE165" s="1611"/>
      <c r="AF165" s="1606"/>
      <c r="AG165" s="1611"/>
      <c r="AH165" s="1606"/>
      <c r="AI165" s="1611"/>
      <c r="AJ165" s="1606"/>
      <c r="AK165" s="1611"/>
      <c r="AL165" s="1606"/>
      <c r="AM165" s="1611"/>
      <c r="AN165" s="1606"/>
      <c r="AO165" s="1611"/>
      <c r="AP165" s="1606"/>
      <c r="AQ165" s="1612"/>
      <c r="AR165" s="1612"/>
      <c r="AS165" s="1613"/>
      <c r="AT165" s="1612"/>
      <c r="AU165" s="1606"/>
      <c r="AV165" s="1606"/>
      <c r="AW165" s="1606"/>
      <c r="AX165" s="1606"/>
      <c r="AY165" s="1606"/>
      <c r="AZ165" s="1606"/>
      <c r="BA165" s="1606"/>
      <c r="BB165" s="1606"/>
      <c r="BC165" s="1606"/>
      <c r="BD165" s="1606"/>
      <c r="BE165" s="1606"/>
      <c r="BF165" s="1606"/>
      <c r="BG165" s="1606"/>
      <c r="BH165" s="1606"/>
      <c r="BI165" s="1612"/>
      <c r="BJ165" s="1612"/>
      <c r="BK165" s="1613"/>
      <c r="BL165" s="1612"/>
      <c r="BM165" s="1612"/>
      <c r="BN165" s="1612"/>
      <c r="BO165" s="1614"/>
      <c r="BP165" s="1614"/>
      <c r="BQ165" s="1614"/>
      <c r="BR165" s="1614"/>
      <c r="BS165" s="1614"/>
      <c r="BT165" s="1614"/>
      <c r="BU165" s="1614"/>
      <c r="BV165" s="1614"/>
      <c r="BW165" s="1614"/>
      <c r="BX165" s="1614"/>
      <c r="BY165" s="1614"/>
      <c r="BZ165" s="1614"/>
      <c r="CA165" s="1612"/>
      <c r="CB165" s="1612"/>
      <c r="CC165" s="1613"/>
      <c r="CD165" s="1612"/>
      <c r="CE165" s="1606"/>
      <c r="CF165" s="1606"/>
      <c r="CG165" s="1606"/>
      <c r="CH165" s="1606"/>
      <c r="CI165" s="1606"/>
      <c r="CJ165" s="1606"/>
      <c r="CK165" s="1606"/>
      <c r="CL165" s="1606"/>
      <c r="CM165" s="1606"/>
      <c r="CN165" s="1606"/>
      <c r="CO165" s="1606"/>
      <c r="CP165" s="1606"/>
      <c r="CQ165" s="1606"/>
      <c r="CR165" s="1606"/>
      <c r="CS165" s="1615"/>
      <c r="CT165" s="1615"/>
      <c r="CU165" s="1615"/>
      <c r="CV165" s="1615"/>
      <c r="CW165" s="1606"/>
      <c r="CX165" s="1606"/>
      <c r="CY165" s="1606"/>
      <c r="CZ165" s="1606"/>
      <c r="DA165" s="1606"/>
      <c r="DB165" s="1606"/>
      <c r="DC165" s="1606"/>
      <c r="DD165" s="1606"/>
      <c r="DE165" s="1606"/>
      <c r="DF165" s="1606"/>
      <c r="DG165" s="1606"/>
      <c r="DH165" s="1606"/>
      <c r="DI165" s="1606"/>
      <c r="DJ165" s="1606"/>
      <c r="DK165" s="1615"/>
      <c r="DL165" s="1615"/>
      <c r="DM165" s="1615"/>
      <c r="DN165" s="1615"/>
      <c r="DO165" s="1617"/>
      <c r="DP165" s="1617"/>
    </row>
    <row r="166" ht="26.25" customHeight="1">
      <c r="A166" s="1604"/>
      <c r="B166" s="1604"/>
      <c r="C166" s="1604"/>
      <c r="D166" s="1604"/>
      <c r="E166" s="1604"/>
      <c r="F166" s="1605"/>
      <c r="G166" s="1606"/>
      <c r="H166" s="1607"/>
      <c r="I166" s="1608"/>
      <c r="J166" s="1609"/>
      <c r="K166" s="1606"/>
      <c r="L166" s="1606"/>
      <c r="M166" s="1606"/>
      <c r="N166" s="1606"/>
      <c r="O166" s="1606"/>
      <c r="P166" s="1606"/>
      <c r="Q166" s="1606"/>
      <c r="R166" s="1606"/>
      <c r="S166" s="1606"/>
      <c r="T166" s="1606"/>
      <c r="U166" s="1606"/>
      <c r="V166" s="1606"/>
      <c r="W166" s="1606"/>
      <c r="X166" s="1606"/>
      <c r="Y166" s="1606"/>
      <c r="Z166" s="1606"/>
      <c r="AA166" s="1607"/>
      <c r="AB166" s="1608"/>
      <c r="AC166" s="1610"/>
      <c r="AD166" s="1606"/>
      <c r="AE166" s="1611"/>
      <c r="AF166" s="1606"/>
      <c r="AG166" s="1611"/>
      <c r="AH166" s="1606"/>
      <c r="AI166" s="1611"/>
      <c r="AJ166" s="1606"/>
      <c r="AK166" s="1611"/>
      <c r="AL166" s="1606"/>
      <c r="AM166" s="1611"/>
      <c r="AN166" s="1606"/>
      <c r="AO166" s="1611"/>
      <c r="AP166" s="1606"/>
      <c r="AQ166" s="1612"/>
      <c r="AR166" s="1612"/>
      <c r="AS166" s="1613"/>
      <c r="AT166" s="1612"/>
      <c r="AU166" s="1606"/>
      <c r="AV166" s="1606"/>
      <c r="AW166" s="1606"/>
      <c r="AX166" s="1606"/>
      <c r="AY166" s="1606"/>
      <c r="AZ166" s="1606"/>
      <c r="BA166" s="1606"/>
      <c r="BB166" s="1606"/>
      <c r="BC166" s="1606"/>
      <c r="BD166" s="1606"/>
      <c r="BE166" s="1606"/>
      <c r="BF166" s="1606"/>
      <c r="BG166" s="1606"/>
      <c r="BH166" s="1606"/>
      <c r="BI166" s="1612"/>
      <c r="BJ166" s="1612"/>
      <c r="BK166" s="1613"/>
      <c r="BL166" s="1612"/>
      <c r="BM166" s="1612"/>
      <c r="BN166" s="1612"/>
      <c r="BO166" s="1614"/>
      <c r="BP166" s="1614"/>
      <c r="BQ166" s="1614"/>
      <c r="BR166" s="1614"/>
      <c r="BS166" s="1614"/>
      <c r="BT166" s="1614"/>
      <c r="BU166" s="1614"/>
      <c r="BV166" s="1614"/>
      <c r="BW166" s="1614"/>
      <c r="BX166" s="1614"/>
      <c r="BY166" s="1614"/>
      <c r="BZ166" s="1614"/>
      <c r="CA166" s="1612"/>
      <c r="CB166" s="1612"/>
      <c r="CC166" s="1613"/>
      <c r="CD166" s="1612"/>
      <c r="CE166" s="1606"/>
      <c r="CF166" s="1606"/>
      <c r="CG166" s="1606"/>
      <c r="CH166" s="1606"/>
      <c r="CI166" s="1606"/>
      <c r="CJ166" s="1606"/>
      <c r="CK166" s="1606"/>
      <c r="CL166" s="1606"/>
      <c r="CM166" s="1606"/>
      <c r="CN166" s="1606"/>
      <c r="CO166" s="1606"/>
      <c r="CP166" s="1606"/>
      <c r="CQ166" s="1606"/>
      <c r="CR166" s="1606"/>
      <c r="CS166" s="1615"/>
      <c r="CT166" s="1615"/>
      <c r="CU166" s="1615"/>
      <c r="CV166" s="1615"/>
      <c r="CW166" s="1606"/>
      <c r="CX166" s="1606"/>
      <c r="CY166" s="1606"/>
      <c r="CZ166" s="1606"/>
      <c r="DA166" s="1606"/>
      <c r="DB166" s="1606"/>
      <c r="DC166" s="1606"/>
      <c r="DD166" s="1606"/>
      <c r="DE166" s="1606"/>
      <c r="DF166" s="1606"/>
      <c r="DG166" s="1606"/>
      <c r="DH166" s="1606"/>
      <c r="DI166" s="1606"/>
      <c r="DJ166" s="1606"/>
      <c r="DK166" s="1615"/>
      <c r="DL166" s="1615"/>
      <c r="DM166" s="1615"/>
      <c r="DN166" s="1615"/>
      <c r="DO166" s="1617"/>
      <c r="DP166" s="1617"/>
    </row>
    <row r="167" ht="26.25" customHeight="1">
      <c r="A167" s="1604"/>
      <c r="B167" s="1604"/>
      <c r="C167" s="1604"/>
      <c r="D167" s="1604"/>
      <c r="E167" s="1604"/>
      <c r="F167" s="1605"/>
      <c r="G167" s="1606"/>
      <c r="H167" s="1607"/>
      <c r="I167" s="1608"/>
      <c r="J167" s="1609"/>
      <c r="K167" s="1606"/>
      <c r="L167" s="1606"/>
      <c r="M167" s="1606"/>
      <c r="N167" s="1606"/>
      <c r="O167" s="1606"/>
      <c r="P167" s="1606"/>
      <c r="Q167" s="1606"/>
      <c r="R167" s="1606"/>
      <c r="S167" s="1606"/>
      <c r="T167" s="1606"/>
      <c r="U167" s="1606"/>
      <c r="V167" s="1606"/>
      <c r="W167" s="1606"/>
      <c r="X167" s="1606"/>
      <c r="Y167" s="1606"/>
      <c r="Z167" s="1606"/>
      <c r="AA167" s="1607"/>
      <c r="AB167" s="1608"/>
      <c r="AC167" s="1610"/>
      <c r="AD167" s="1606"/>
      <c r="AE167" s="1611"/>
      <c r="AF167" s="1606"/>
      <c r="AG167" s="1611"/>
      <c r="AH167" s="1606"/>
      <c r="AI167" s="1611"/>
      <c r="AJ167" s="1606"/>
      <c r="AK167" s="1611"/>
      <c r="AL167" s="1606"/>
      <c r="AM167" s="1611"/>
      <c r="AN167" s="1606"/>
      <c r="AO167" s="1611"/>
      <c r="AP167" s="1606"/>
      <c r="AQ167" s="1612"/>
      <c r="AR167" s="1612"/>
      <c r="AS167" s="1613"/>
      <c r="AT167" s="1612"/>
      <c r="AU167" s="1606"/>
      <c r="AV167" s="1606"/>
      <c r="AW167" s="1606"/>
      <c r="AX167" s="1606"/>
      <c r="AY167" s="1606"/>
      <c r="AZ167" s="1606"/>
      <c r="BA167" s="1606"/>
      <c r="BB167" s="1606"/>
      <c r="BC167" s="1606"/>
      <c r="BD167" s="1606"/>
      <c r="BE167" s="1606"/>
      <c r="BF167" s="1606"/>
      <c r="BG167" s="1606"/>
      <c r="BH167" s="1606"/>
      <c r="BI167" s="1612"/>
      <c r="BJ167" s="1612"/>
      <c r="BK167" s="1613"/>
      <c r="BL167" s="1612"/>
      <c r="BM167" s="1612"/>
      <c r="BN167" s="1612"/>
      <c r="BO167" s="1614"/>
      <c r="BP167" s="1614"/>
      <c r="BQ167" s="1614"/>
      <c r="BR167" s="1614"/>
      <c r="BS167" s="1614"/>
      <c r="BT167" s="1614"/>
      <c r="BU167" s="1614"/>
      <c r="BV167" s="1614"/>
      <c r="BW167" s="1614"/>
      <c r="BX167" s="1614"/>
      <c r="BY167" s="1614"/>
      <c r="BZ167" s="1614"/>
      <c r="CA167" s="1612"/>
      <c r="CB167" s="1612"/>
      <c r="CC167" s="1613"/>
      <c r="CD167" s="1612"/>
      <c r="CE167" s="1606"/>
      <c r="CF167" s="1606"/>
      <c r="CG167" s="1606"/>
      <c r="CH167" s="1606"/>
      <c r="CI167" s="1606"/>
      <c r="CJ167" s="1606"/>
      <c r="CK167" s="1606"/>
      <c r="CL167" s="1606"/>
      <c r="CM167" s="1606"/>
      <c r="CN167" s="1606"/>
      <c r="CO167" s="1606"/>
      <c r="CP167" s="1606"/>
      <c r="CQ167" s="1606"/>
      <c r="CR167" s="1606"/>
      <c r="CS167" s="1615"/>
      <c r="CT167" s="1615"/>
      <c r="CU167" s="1615"/>
      <c r="CV167" s="1615"/>
      <c r="CW167" s="1606"/>
      <c r="CX167" s="1606"/>
      <c r="CY167" s="1606"/>
      <c r="CZ167" s="1606"/>
      <c r="DA167" s="1606"/>
      <c r="DB167" s="1606"/>
      <c r="DC167" s="1606"/>
      <c r="DD167" s="1606"/>
      <c r="DE167" s="1606"/>
      <c r="DF167" s="1606"/>
      <c r="DG167" s="1606"/>
      <c r="DH167" s="1606"/>
      <c r="DI167" s="1606"/>
      <c r="DJ167" s="1606"/>
      <c r="DK167" s="1615"/>
      <c r="DL167" s="1615"/>
      <c r="DM167" s="1615"/>
      <c r="DN167" s="1615"/>
      <c r="DO167" s="1617"/>
      <c r="DP167" s="1617"/>
    </row>
    <row r="168" ht="26.25" customHeight="1">
      <c r="A168" s="1604"/>
      <c r="B168" s="1604"/>
      <c r="C168" s="1604"/>
      <c r="D168" s="1604"/>
      <c r="E168" s="1604"/>
      <c r="F168" s="1605"/>
      <c r="G168" s="1606"/>
      <c r="H168" s="1607"/>
      <c r="I168" s="1608"/>
      <c r="J168" s="1609"/>
      <c r="K168" s="1606"/>
      <c r="L168" s="1606"/>
      <c r="M168" s="1606"/>
      <c r="N168" s="1606"/>
      <c r="O168" s="1606"/>
      <c r="P168" s="1606"/>
      <c r="Q168" s="1606"/>
      <c r="R168" s="1606"/>
      <c r="S168" s="1606"/>
      <c r="T168" s="1606"/>
      <c r="U168" s="1606"/>
      <c r="V168" s="1606"/>
      <c r="W168" s="1606"/>
      <c r="X168" s="1606"/>
      <c r="Y168" s="1606"/>
      <c r="Z168" s="1606"/>
      <c r="AA168" s="1607"/>
      <c r="AB168" s="1608"/>
      <c r="AC168" s="1610"/>
      <c r="AD168" s="1606"/>
      <c r="AE168" s="1611"/>
      <c r="AF168" s="1606"/>
      <c r="AG168" s="1611"/>
      <c r="AH168" s="1606"/>
      <c r="AI168" s="1611"/>
      <c r="AJ168" s="1606"/>
      <c r="AK168" s="1611"/>
      <c r="AL168" s="1606"/>
      <c r="AM168" s="1611"/>
      <c r="AN168" s="1606"/>
      <c r="AO168" s="1611"/>
      <c r="AP168" s="1606"/>
      <c r="AQ168" s="1612"/>
      <c r="AR168" s="1612"/>
      <c r="AS168" s="1613"/>
      <c r="AT168" s="1612"/>
      <c r="AU168" s="1606"/>
      <c r="AV168" s="1606"/>
      <c r="AW168" s="1606"/>
      <c r="AX168" s="1606"/>
      <c r="AY168" s="1606"/>
      <c r="AZ168" s="1606"/>
      <c r="BA168" s="1606"/>
      <c r="BB168" s="1606"/>
      <c r="BC168" s="1606"/>
      <c r="BD168" s="1606"/>
      <c r="BE168" s="1606"/>
      <c r="BF168" s="1606"/>
      <c r="BG168" s="1606"/>
      <c r="BH168" s="1606"/>
      <c r="BI168" s="1612"/>
      <c r="BJ168" s="1612"/>
      <c r="BK168" s="1613"/>
      <c r="BL168" s="1612"/>
      <c r="BM168" s="1612"/>
      <c r="BN168" s="1612"/>
      <c r="BO168" s="1614"/>
      <c r="BP168" s="1614"/>
      <c r="BQ168" s="1614"/>
      <c r="BR168" s="1614"/>
      <c r="BS168" s="1614"/>
      <c r="BT168" s="1614"/>
      <c r="BU168" s="1614"/>
      <c r="BV168" s="1614"/>
      <c r="BW168" s="1614"/>
      <c r="BX168" s="1614"/>
      <c r="BY168" s="1614"/>
      <c r="BZ168" s="1614"/>
      <c r="CA168" s="1612"/>
      <c r="CB168" s="1612"/>
      <c r="CC168" s="1613"/>
      <c r="CD168" s="1612"/>
      <c r="CE168" s="1606"/>
      <c r="CF168" s="1606"/>
      <c r="CG168" s="1606"/>
      <c r="CH168" s="1606"/>
      <c r="CI168" s="1606"/>
      <c r="CJ168" s="1606"/>
      <c r="CK168" s="1606"/>
      <c r="CL168" s="1606"/>
      <c r="CM168" s="1606"/>
      <c r="CN168" s="1606"/>
      <c r="CO168" s="1606"/>
      <c r="CP168" s="1606"/>
      <c r="CQ168" s="1606"/>
      <c r="CR168" s="1606"/>
      <c r="CS168" s="1615"/>
      <c r="CT168" s="1615"/>
      <c r="CU168" s="1615"/>
      <c r="CV168" s="1615"/>
      <c r="CW168" s="1606"/>
      <c r="CX168" s="1606"/>
      <c r="CY168" s="1606"/>
      <c r="CZ168" s="1606"/>
      <c r="DA168" s="1606"/>
      <c r="DB168" s="1606"/>
      <c r="DC168" s="1606"/>
      <c r="DD168" s="1606"/>
      <c r="DE168" s="1606"/>
      <c r="DF168" s="1606"/>
      <c r="DG168" s="1606"/>
      <c r="DH168" s="1606"/>
      <c r="DI168" s="1606"/>
      <c r="DJ168" s="1606"/>
      <c r="DK168" s="1615"/>
      <c r="DL168" s="1615"/>
      <c r="DM168" s="1615"/>
      <c r="DN168" s="1615"/>
      <c r="DO168" s="1617"/>
      <c r="DP168" s="1617"/>
    </row>
    <row r="169" ht="26.25" customHeight="1">
      <c r="A169" s="1604"/>
      <c r="B169" s="1604"/>
      <c r="C169" s="1604"/>
      <c r="D169" s="1604"/>
      <c r="E169" s="1604"/>
      <c r="F169" s="1605"/>
      <c r="G169" s="1606"/>
      <c r="H169" s="1607"/>
      <c r="I169" s="1608"/>
      <c r="J169" s="1609"/>
      <c r="K169" s="1606"/>
      <c r="L169" s="1606"/>
      <c r="M169" s="1606"/>
      <c r="N169" s="1606"/>
      <c r="O169" s="1606"/>
      <c r="P169" s="1606"/>
      <c r="Q169" s="1606"/>
      <c r="R169" s="1606"/>
      <c r="S169" s="1606"/>
      <c r="T169" s="1606"/>
      <c r="U169" s="1606"/>
      <c r="V169" s="1606"/>
      <c r="W169" s="1606"/>
      <c r="X169" s="1606"/>
      <c r="Y169" s="1606"/>
      <c r="Z169" s="1606"/>
      <c r="AA169" s="1607"/>
      <c r="AB169" s="1608"/>
      <c r="AC169" s="1610"/>
      <c r="AD169" s="1606"/>
      <c r="AE169" s="1611"/>
      <c r="AF169" s="1606"/>
      <c r="AG169" s="1611"/>
      <c r="AH169" s="1606"/>
      <c r="AI169" s="1611"/>
      <c r="AJ169" s="1606"/>
      <c r="AK169" s="1611"/>
      <c r="AL169" s="1606"/>
      <c r="AM169" s="1611"/>
      <c r="AN169" s="1606"/>
      <c r="AO169" s="1611"/>
      <c r="AP169" s="1606"/>
      <c r="AQ169" s="1612"/>
      <c r="AR169" s="1612"/>
      <c r="AS169" s="1613"/>
      <c r="AT169" s="1612"/>
      <c r="AU169" s="1606"/>
      <c r="AV169" s="1606"/>
      <c r="AW169" s="1606"/>
      <c r="AX169" s="1606"/>
      <c r="AY169" s="1606"/>
      <c r="AZ169" s="1606"/>
      <c r="BA169" s="1606"/>
      <c r="BB169" s="1606"/>
      <c r="BC169" s="1606"/>
      <c r="BD169" s="1606"/>
      <c r="BE169" s="1606"/>
      <c r="BF169" s="1606"/>
      <c r="BG169" s="1606"/>
      <c r="BH169" s="1606"/>
      <c r="BI169" s="1612"/>
      <c r="BJ169" s="1612"/>
      <c r="BK169" s="1613"/>
      <c r="BL169" s="1612"/>
      <c r="BM169" s="1612"/>
      <c r="BN169" s="1612"/>
      <c r="BO169" s="1614"/>
      <c r="BP169" s="1614"/>
      <c r="BQ169" s="1614"/>
      <c r="BR169" s="1614"/>
      <c r="BS169" s="1614"/>
      <c r="BT169" s="1614"/>
      <c r="BU169" s="1614"/>
      <c r="BV169" s="1614"/>
      <c r="BW169" s="1614"/>
      <c r="BX169" s="1614"/>
      <c r="BY169" s="1614"/>
      <c r="BZ169" s="1614"/>
      <c r="CA169" s="1612"/>
      <c r="CB169" s="1612"/>
      <c r="CC169" s="1613"/>
      <c r="CD169" s="1612"/>
      <c r="CE169" s="1606"/>
      <c r="CF169" s="1606"/>
      <c r="CG169" s="1606"/>
      <c r="CH169" s="1606"/>
      <c r="CI169" s="1606"/>
      <c r="CJ169" s="1606"/>
      <c r="CK169" s="1606"/>
      <c r="CL169" s="1606"/>
      <c r="CM169" s="1606"/>
      <c r="CN169" s="1606"/>
      <c r="CO169" s="1606"/>
      <c r="CP169" s="1606"/>
      <c r="CQ169" s="1606"/>
      <c r="CR169" s="1606"/>
      <c r="CS169" s="1615"/>
      <c r="CT169" s="1615"/>
      <c r="CU169" s="1615"/>
      <c r="CV169" s="1615"/>
      <c r="CW169" s="1606"/>
      <c r="CX169" s="1606"/>
      <c r="CY169" s="1606"/>
      <c r="CZ169" s="1606"/>
      <c r="DA169" s="1606"/>
      <c r="DB169" s="1606"/>
      <c r="DC169" s="1606"/>
      <c r="DD169" s="1606"/>
      <c r="DE169" s="1606"/>
      <c r="DF169" s="1606"/>
      <c r="DG169" s="1606"/>
      <c r="DH169" s="1606"/>
      <c r="DI169" s="1606"/>
      <c r="DJ169" s="1606"/>
      <c r="DK169" s="1615"/>
      <c r="DL169" s="1615"/>
      <c r="DM169" s="1615"/>
      <c r="DN169" s="1615"/>
      <c r="DO169" s="1617"/>
      <c r="DP169" s="1617"/>
    </row>
    <row r="170" ht="26.25" customHeight="1">
      <c r="A170" s="1604"/>
      <c r="B170" s="1604"/>
      <c r="C170" s="1604"/>
      <c r="D170" s="1604"/>
      <c r="E170" s="1604"/>
      <c r="F170" s="1605"/>
      <c r="G170" s="1606"/>
      <c r="H170" s="1607"/>
      <c r="I170" s="1608"/>
      <c r="J170" s="1609"/>
      <c r="K170" s="1606"/>
      <c r="L170" s="1606"/>
      <c r="M170" s="1606"/>
      <c r="N170" s="1606"/>
      <c r="O170" s="1606"/>
      <c r="P170" s="1606"/>
      <c r="Q170" s="1606"/>
      <c r="R170" s="1606"/>
      <c r="S170" s="1606"/>
      <c r="T170" s="1606"/>
      <c r="U170" s="1606"/>
      <c r="V170" s="1606"/>
      <c r="W170" s="1606"/>
      <c r="X170" s="1606"/>
      <c r="Y170" s="1606"/>
      <c r="Z170" s="1606"/>
      <c r="AA170" s="1607"/>
      <c r="AB170" s="1608"/>
      <c r="AC170" s="1610"/>
      <c r="AD170" s="1606"/>
      <c r="AE170" s="1611"/>
      <c r="AF170" s="1606"/>
      <c r="AG170" s="1611"/>
      <c r="AH170" s="1606"/>
      <c r="AI170" s="1611"/>
      <c r="AJ170" s="1606"/>
      <c r="AK170" s="1611"/>
      <c r="AL170" s="1606"/>
      <c r="AM170" s="1611"/>
      <c r="AN170" s="1606"/>
      <c r="AO170" s="1611"/>
      <c r="AP170" s="1606"/>
      <c r="AQ170" s="1612"/>
      <c r="AR170" s="1612"/>
      <c r="AS170" s="1613"/>
      <c r="AT170" s="1612"/>
      <c r="AU170" s="1606"/>
      <c r="AV170" s="1606"/>
      <c r="AW170" s="1606"/>
      <c r="AX170" s="1606"/>
      <c r="AY170" s="1606"/>
      <c r="AZ170" s="1606"/>
      <c r="BA170" s="1606"/>
      <c r="BB170" s="1606"/>
      <c r="BC170" s="1606"/>
      <c r="BD170" s="1606"/>
      <c r="BE170" s="1606"/>
      <c r="BF170" s="1606"/>
      <c r="BG170" s="1606"/>
      <c r="BH170" s="1606"/>
      <c r="BI170" s="1612"/>
      <c r="BJ170" s="1612"/>
      <c r="BK170" s="1613"/>
      <c r="BL170" s="1612"/>
      <c r="BM170" s="1612"/>
      <c r="BN170" s="1612"/>
      <c r="BO170" s="1614"/>
      <c r="BP170" s="1614"/>
      <c r="BQ170" s="1614"/>
      <c r="BR170" s="1614"/>
      <c r="BS170" s="1614"/>
      <c r="BT170" s="1614"/>
      <c r="BU170" s="1614"/>
      <c r="BV170" s="1614"/>
      <c r="BW170" s="1614"/>
      <c r="BX170" s="1614"/>
      <c r="BY170" s="1614"/>
      <c r="BZ170" s="1614"/>
      <c r="CA170" s="1612"/>
      <c r="CB170" s="1612"/>
      <c r="CC170" s="1613"/>
      <c r="CD170" s="1612"/>
      <c r="CE170" s="1606"/>
      <c r="CF170" s="1606"/>
      <c r="CG170" s="1606"/>
      <c r="CH170" s="1606"/>
      <c r="CI170" s="1606"/>
      <c r="CJ170" s="1606"/>
      <c r="CK170" s="1606"/>
      <c r="CL170" s="1606"/>
      <c r="CM170" s="1606"/>
      <c r="CN170" s="1606"/>
      <c r="CO170" s="1606"/>
      <c r="CP170" s="1606"/>
      <c r="CQ170" s="1606"/>
      <c r="CR170" s="1606"/>
      <c r="CS170" s="1615"/>
      <c r="CT170" s="1615"/>
      <c r="CU170" s="1615"/>
      <c r="CV170" s="1615"/>
      <c r="CW170" s="1606"/>
      <c r="CX170" s="1606"/>
      <c r="CY170" s="1606"/>
      <c r="CZ170" s="1606"/>
      <c r="DA170" s="1606"/>
      <c r="DB170" s="1606"/>
      <c r="DC170" s="1606"/>
      <c r="DD170" s="1606"/>
      <c r="DE170" s="1606"/>
      <c r="DF170" s="1606"/>
      <c r="DG170" s="1606"/>
      <c r="DH170" s="1606"/>
      <c r="DI170" s="1606"/>
      <c r="DJ170" s="1606"/>
      <c r="DK170" s="1615"/>
      <c r="DL170" s="1615"/>
      <c r="DM170" s="1615"/>
      <c r="DN170" s="1615"/>
      <c r="DO170" s="1617"/>
      <c r="DP170" s="1617"/>
    </row>
    <row r="171" ht="26.25" customHeight="1">
      <c r="A171" s="1604"/>
      <c r="B171" s="1604"/>
      <c r="C171" s="1604"/>
      <c r="D171" s="1604"/>
      <c r="E171" s="1604"/>
      <c r="F171" s="1605"/>
      <c r="G171" s="1606"/>
      <c r="H171" s="1607"/>
      <c r="I171" s="1608"/>
      <c r="J171" s="1609"/>
      <c r="K171" s="1606"/>
      <c r="L171" s="1606"/>
      <c r="M171" s="1606"/>
      <c r="N171" s="1606"/>
      <c r="O171" s="1606"/>
      <c r="P171" s="1606"/>
      <c r="Q171" s="1606"/>
      <c r="R171" s="1606"/>
      <c r="S171" s="1606"/>
      <c r="T171" s="1606"/>
      <c r="U171" s="1606"/>
      <c r="V171" s="1606"/>
      <c r="W171" s="1606"/>
      <c r="X171" s="1606"/>
      <c r="Y171" s="1606"/>
      <c r="Z171" s="1606"/>
      <c r="AA171" s="1607"/>
      <c r="AB171" s="1608"/>
      <c r="AC171" s="1610"/>
      <c r="AD171" s="1606"/>
      <c r="AE171" s="1611"/>
      <c r="AF171" s="1606"/>
      <c r="AG171" s="1611"/>
      <c r="AH171" s="1606"/>
      <c r="AI171" s="1611"/>
      <c r="AJ171" s="1606"/>
      <c r="AK171" s="1611"/>
      <c r="AL171" s="1606"/>
      <c r="AM171" s="1611"/>
      <c r="AN171" s="1606"/>
      <c r="AO171" s="1611"/>
      <c r="AP171" s="1606"/>
      <c r="AQ171" s="1612"/>
      <c r="AR171" s="1612"/>
      <c r="AS171" s="1613"/>
      <c r="AT171" s="1612"/>
      <c r="AU171" s="1606"/>
      <c r="AV171" s="1606"/>
      <c r="AW171" s="1606"/>
      <c r="AX171" s="1606"/>
      <c r="AY171" s="1606"/>
      <c r="AZ171" s="1606"/>
      <c r="BA171" s="1606"/>
      <c r="BB171" s="1606"/>
      <c r="BC171" s="1606"/>
      <c r="BD171" s="1606"/>
      <c r="BE171" s="1606"/>
      <c r="BF171" s="1606"/>
      <c r="BG171" s="1606"/>
      <c r="BH171" s="1606"/>
      <c r="BI171" s="1612"/>
      <c r="BJ171" s="1612"/>
      <c r="BK171" s="1613"/>
      <c r="BL171" s="1612"/>
      <c r="BM171" s="1612"/>
      <c r="BN171" s="1612"/>
      <c r="BO171" s="1614"/>
      <c r="BP171" s="1614"/>
      <c r="BQ171" s="1614"/>
      <c r="BR171" s="1614"/>
      <c r="BS171" s="1614"/>
      <c r="BT171" s="1614"/>
      <c r="BU171" s="1614"/>
      <c r="BV171" s="1614"/>
      <c r="BW171" s="1614"/>
      <c r="BX171" s="1614"/>
      <c r="BY171" s="1614"/>
      <c r="BZ171" s="1614"/>
      <c r="CA171" s="1612"/>
      <c r="CB171" s="1612"/>
      <c r="CC171" s="1613"/>
      <c r="CD171" s="1612"/>
      <c r="CE171" s="1606"/>
      <c r="CF171" s="1606"/>
      <c r="CG171" s="1606"/>
      <c r="CH171" s="1606"/>
      <c r="CI171" s="1606"/>
      <c r="CJ171" s="1606"/>
      <c r="CK171" s="1606"/>
      <c r="CL171" s="1606"/>
      <c r="CM171" s="1606"/>
      <c r="CN171" s="1606"/>
      <c r="CO171" s="1606"/>
      <c r="CP171" s="1606"/>
      <c r="CQ171" s="1606"/>
      <c r="CR171" s="1606"/>
      <c r="CS171" s="1615"/>
      <c r="CT171" s="1615"/>
      <c r="CU171" s="1615"/>
      <c r="CV171" s="1615"/>
      <c r="CW171" s="1606"/>
      <c r="CX171" s="1606"/>
      <c r="CY171" s="1606"/>
      <c r="CZ171" s="1606"/>
      <c r="DA171" s="1606"/>
      <c r="DB171" s="1606"/>
      <c r="DC171" s="1606"/>
      <c r="DD171" s="1606"/>
      <c r="DE171" s="1606"/>
      <c r="DF171" s="1606"/>
      <c r="DG171" s="1606"/>
      <c r="DH171" s="1606"/>
      <c r="DI171" s="1606"/>
      <c r="DJ171" s="1606"/>
      <c r="DK171" s="1615"/>
      <c r="DL171" s="1615"/>
      <c r="DM171" s="1615"/>
      <c r="DN171" s="1615"/>
      <c r="DO171" s="1617"/>
      <c r="DP171" s="1617"/>
    </row>
    <row r="172" ht="26.25" customHeight="1">
      <c r="A172" s="1604"/>
      <c r="B172" s="1604"/>
      <c r="C172" s="1604"/>
      <c r="D172" s="1604"/>
      <c r="E172" s="1604"/>
      <c r="F172" s="1605"/>
      <c r="G172" s="1606"/>
      <c r="H172" s="1607"/>
      <c r="I172" s="1608"/>
      <c r="J172" s="1609"/>
      <c r="K172" s="1606"/>
      <c r="L172" s="1606"/>
      <c r="M172" s="1606"/>
      <c r="N172" s="1606"/>
      <c r="O172" s="1606"/>
      <c r="P172" s="1606"/>
      <c r="Q172" s="1606"/>
      <c r="R172" s="1606"/>
      <c r="S172" s="1606"/>
      <c r="T172" s="1606"/>
      <c r="U172" s="1606"/>
      <c r="V172" s="1606"/>
      <c r="W172" s="1606"/>
      <c r="X172" s="1606"/>
      <c r="Y172" s="1606"/>
      <c r="Z172" s="1606"/>
      <c r="AA172" s="1607"/>
      <c r="AB172" s="1608"/>
      <c r="AC172" s="1610"/>
      <c r="AD172" s="1606"/>
      <c r="AE172" s="1611"/>
      <c r="AF172" s="1606"/>
      <c r="AG172" s="1611"/>
      <c r="AH172" s="1606"/>
      <c r="AI172" s="1611"/>
      <c r="AJ172" s="1606"/>
      <c r="AK172" s="1611"/>
      <c r="AL172" s="1606"/>
      <c r="AM172" s="1611"/>
      <c r="AN172" s="1606"/>
      <c r="AO172" s="1611"/>
      <c r="AP172" s="1606"/>
      <c r="AQ172" s="1612"/>
      <c r="AR172" s="1612"/>
      <c r="AS172" s="1613"/>
      <c r="AT172" s="1612"/>
      <c r="AU172" s="1606"/>
      <c r="AV172" s="1606"/>
      <c r="AW172" s="1606"/>
      <c r="AX172" s="1606"/>
      <c r="AY172" s="1606"/>
      <c r="AZ172" s="1606"/>
      <c r="BA172" s="1606"/>
      <c r="BB172" s="1606"/>
      <c r="BC172" s="1606"/>
      <c r="BD172" s="1606"/>
      <c r="BE172" s="1606"/>
      <c r="BF172" s="1606"/>
      <c r="BG172" s="1606"/>
      <c r="BH172" s="1606"/>
      <c r="BI172" s="1612"/>
      <c r="BJ172" s="1612"/>
      <c r="BK172" s="1613"/>
      <c r="BL172" s="1612"/>
      <c r="BM172" s="1612"/>
      <c r="BN172" s="1612"/>
      <c r="BO172" s="1614"/>
      <c r="BP172" s="1614"/>
      <c r="BQ172" s="1614"/>
      <c r="BR172" s="1614"/>
      <c r="BS172" s="1614"/>
      <c r="BT172" s="1614"/>
      <c r="BU172" s="1614"/>
      <c r="BV172" s="1614"/>
      <c r="BW172" s="1614"/>
      <c r="BX172" s="1614"/>
      <c r="BY172" s="1614"/>
      <c r="BZ172" s="1614"/>
      <c r="CA172" s="1612"/>
      <c r="CB172" s="1612"/>
      <c r="CC172" s="1613"/>
      <c r="CD172" s="1612"/>
      <c r="CE172" s="1606"/>
      <c r="CF172" s="1606"/>
      <c r="CG172" s="1606"/>
      <c r="CH172" s="1606"/>
      <c r="CI172" s="1606"/>
      <c r="CJ172" s="1606"/>
      <c r="CK172" s="1606"/>
      <c r="CL172" s="1606"/>
      <c r="CM172" s="1606"/>
      <c r="CN172" s="1606"/>
      <c r="CO172" s="1606"/>
      <c r="CP172" s="1606"/>
      <c r="CQ172" s="1606"/>
      <c r="CR172" s="1606"/>
      <c r="CS172" s="1615"/>
      <c r="CT172" s="1615"/>
      <c r="CU172" s="1615"/>
      <c r="CV172" s="1615"/>
      <c r="CW172" s="1606"/>
      <c r="CX172" s="1606"/>
      <c r="CY172" s="1606"/>
      <c r="CZ172" s="1606"/>
      <c r="DA172" s="1606"/>
      <c r="DB172" s="1606"/>
      <c r="DC172" s="1606"/>
      <c r="DD172" s="1606"/>
      <c r="DE172" s="1606"/>
      <c r="DF172" s="1606"/>
      <c r="DG172" s="1606"/>
      <c r="DH172" s="1606"/>
      <c r="DI172" s="1606"/>
      <c r="DJ172" s="1606"/>
      <c r="DK172" s="1615"/>
      <c r="DL172" s="1615"/>
      <c r="DM172" s="1615"/>
      <c r="DN172" s="1615"/>
      <c r="DO172" s="1617"/>
      <c r="DP172" s="1617"/>
    </row>
    <row r="173" ht="26.25" customHeight="1">
      <c r="A173" s="1604"/>
      <c r="B173" s="1604"/>
      <c r="C173" s="1604"/>
      <c r="D173" s="1604"/>
      <c r="E173" s="1604"/>
      <c r="F173" s="1605"/>
      <c r="G173" s="1606"/>
      <c r="H173" s="1607"/>
      <c r="I173" s="1608"/>
      <c r="J173" s="1609"/>
      <c r="K173" s="1606"/>
      <c r="L173" s="1606"/>
      <c r="M173" s="1606"/>
      <c r="N173" s="1606"/>
      <c r="O173" s="1606"/>
      <c r="P173" s="1606"/>
      <c r="Q173" s="1606"/>
      <c r="R173" s="1606"/>
      <c r="S173" s="1606"/>
      <c r="T173" s="1606"/>
      <c r="U173" s="1606"/>
      <c r="V173" s="1606"/>
      <c r="W173" s="1606"/>
      <c r="X173" s="1606"/>
      <c r="Y173" s="1606"/>
      <c r="Z173" s="1606"/>
      <c r="AA173" s="1607"/>
      <c r="AB173" s="1608"/>
      <c r="AC173" s="1610"/>
      <c r="AD173" s="1606"/>
      <c r="AE173" s="1611"/>
      <c r="AF173" s="1606"/>
      <c r="AG173" s="1611"/>
      <c r="AH173" s="1606"/>
      <c r="AI173" s="1611"/>
      <c r="AJ173" s="1606"/>
      <c r="AK173" s="1611"/>
      <c r="AL173" s="1606"/>
      <c r="AM173" s="1611"/>
      <c r="AN173" s="1606"/>
      <c r="AO173" s="1611"/>
      <c r="AP173" s="1606"/>
      <c r="AQ173" s="1612"/>
      <c r="AR173" s="1612"/>
      <c r="AS173" s="1613"/>
      <c r="AT173" s="1612"/>
      <c r="AU173" s="1606"/>
      <c r="AV173" s="1606"/>
      <c r="AW173" s="1606"/>
      <c r="AX173" s="1606"/>
      <c r="AY173" s="1606"/>
      <c r="AZ173" s="1606"/>
      <c r="BA173" s="1606"/>
      <c r="BB173" s="1606"/>
      <c r="BC173" s="1606"/>
      <c r="BD173" s="1606"/>
      <c r="BE173" s="1606"/>
      <c r="BF173" s="1606"/>
      <c r="BG173" s="1606"/>
      <c r="BH173" s="1606"/>
      <c r="BI173" s="1612"/>
      <c r="BJ173" s="1612"/>
      <c r="BK173" s="1613"/>
      <c r="BL173" s="1612"/>
      <c r="BM173" s="1612"/>
      <c r="BN173" s="1612"/>
      <c r="BO173" s="1614"/>
      <c r="BP173" s="1614"/>
      <c r="BQ173" s="1614"/>
      <c r="BR173" s="1614"/>
      <c r="BS173" s="1614"/>
      <c r="BT173" s="1614"/>
      <c r="BU173" s="1614"/>
      <c r="BV173" s="1614"/>
      <c r="BW173" s="1614"/>
      <c r="BX173" s="1614"/>
      <c r="BY173" s="1614"/>
      <c r="BZ173" s="1614"/>
      <c r="CA173" s="1612"/>
      <c r="CB173" s="1612"/>
      <c r="CC173" s="1613"/>
      <c r="CD173" s="1612"/>
      <c r="CE173" s="1606"/>
      <c r="CF173" s="1606"/>
      <c r="CG173" s="1606"/>
      <c r="CH173" s="1606"/>
      <c r="CI173" s="1606"/>
      <c r="CJ173" s="1606"/>
      <c r="CK173" s="1606"/>
      <c r="CL173" s="1606"/>
      <c r="CM173" s="1606"/>
      <c r="CN173" s="1606"/>
      <c r="CO173" s="1606"/>
      <c r="CP173" s="1606"/>
      <c r="CQ173" s="1606"/>
      <c r="CR173" s="1606"/>
      <c r="CS173" s="1615"/>
      <c r="CT173" s="1615"/>
      <c r="CU173" s="1615"/>
      <c r="CV173" s="1615"/>
      <c r="CW173" s="1606"/>
      <c r="CX173" s="1606"/>
      <c r="CY173" s="1606"/>
      <c r="CZ173" s="1606"/>
      <c r="DA173" s="1606"/>
      <c r="DB173" s="1606"/>
      <c r="DC173" s="1606"/>
      <c r="DD173" s="1606"/>
      <c r="DE173" s="1606"/>
      <c r="DF173" s="1606"/>
      <c r="DG173" s="1606"/>
      <c r="DH173" s="1606"/>
      <c r="DI173" s="1606"/>
      <c r="DJ173" s="1606"/>
      <c r="DK173" s="1615"/>
      <c r="DL173" s="1615"/>
      <c r="DM173" s="1615"/>
      <c r="DN173" s="1615"/>
      <c r="DO173" s="1617"/>
      <c r="DP173" s="1617"/>
    </row>
    <row r="174" ht="26.25" customHeight="1">
      <c r="A174" s="1604"/>
      <c r="B174" s="1604"/>
      <c r="C174" s="1604"/>
      <c r="D174" s="1604"/>
      <c r="E174" s="1604"/>
      <c r="F174" s="1605"/>
      <c r="G174" s="1606"/>
      <c r="H174" s="1607"/>
      <c r="I174" s="1608"/>
      <c r="J174" s="1609"/>
      <c r="K174" s="1606"/>
      <c r="L174" s="1606"/>
      <c r="M174" s="1606"/>
      <c r="N174" s="1606"/>
      <c r="O174" s="1606"/>
      <c r="P174" s="1606"/>
      <c r="Q174" s="1606"/>
      <c r="R174" s="1606"/>
      <c r="S174" s="1606"/>
      <c r="T174" s="1606"/>
      <c r="U174" s="1606"/>
      <c r="V174" s="1606"/>
      <c r="W174" s="1606"/>
      <c r="X174" s="1606"/>
      <c r="Y174" s="1606"/>
      <c r="Z174" s="1606"/>
      <c r="AA174" s="1607"/>
      <c r="AB174" s="1608"/>
      <c r="AC174" s="1610"/>
      <c r="AD174" s="1606"/>
      <c r="AE174" s="1611"/>
      <c r="AF174" s="1606"/>
      <c r="AG174" s="1611"/>
      <c r="AH174" s="1606"/>
      <c r="AI174" s="1611"/>
      <c r="AJ174" s="1606"/>
      <c r="AK174" s="1611"/>
      <c r="AL174" s="1606"/>
      <c r="AM174" s="1611"/>
      <c r="AN174" s="1606"/>
      <c r="AO174" s="1611"/>
      <c r="AP174" s="1606"/>
      <c r="AQ174" s="1612"/>
      <c r="AR174" s="1612"/>
      <c r="AS174" s="1613"/>
      <c r="AT174" s="1612"/>
      <c r="AU174" s="1606"/>
      <c r="AV174" s="1606"/>
      <c r="AW174" s="1606"/>
      <c r="AX174" s="1606"/>
      <c r="AY174" s="1606"/>
      <c r="AZ174" s="1606"/>
      <c r="BA174" s="1606"/>
      <c r="BB174" s="1606"/>
      <c r="BC174" s="1606"/>
      <c r="BD174" s="1606"/>
      <c r="BE174" s="1606"/>
      <c r="BF174" s="1606"/>
      <c r="BG174" s="1606"/>
      <c r="BH174" s="1606"/>
      <c r="BI174" s="1612"/>
      <c r="BJ174" s="1612"/>
      <c r="BK174" s="1613"/>
      <c r="BL174" s="1612"/>
      <c r="BM174" s="1612"/>
      <c r="BN174" s="1612"/>
      <c r="BO174" s="1614"/>
      <c r="BP174" s="1614"/>
      <c r="BQ174" s="1614"/>
      <c r="BR174" s="1614"/>
      <c r="BS174" s="1614"/>
      <c r="BT174" s="1614"/>
      <c r="BU174" s="1614"/>
      <c r="BV174" s="1614"/>
      <c r="BW174" s="1614"/>
      <c r="BX174" s="1614"/>
      <c r="BY174" s="1614"/>
      <c r="BZ174" s="1614"/>
      <c r="CA174" s="1612"/>
      <c r="CB174" s="1612"/>
      <c r="CC174" s="1613"/>
      <c r="CD174" s="1612"/>
      <c r="CE174" s="1606"/>
      <c r="CF174" s="1606"/>
      <c r="CG174" s="1606"/>
      <c r="CH174" s="1606"/>
      <c r="CI174" s="1606"/>
      <c r="CJ174" s="1606"/>
      <c r="CK174" s="1606"/>
      <c r="CL174" s="1606"/>
      <c r="CM174" s="1606"/>
      <c r="CN174" s="1606"/>
      <c r="CO174" s="1606"/>
      <c r="CP174" s="1606"/>
      <c r="CQ174" s="1606"/>
      <c r="CR174" s="1606"/>
      <c r="CS174" s="1615"/>
      <c r="CT174" s="1615"/>
      <c r="CU174" s="1615"/>
      <c r="CV174" s="1615"/>
      <c r="CW174" s="1606"/>
      <c r="CX174" s="1606"/>
      <c r="CY174" s="1606"/>
      <c r="CZ174" s="1606"/>
      <c r="DA174" s="1606"/>
      <c r="DB174" s="1606"/>
      <c r="DC174" s="1606"/>
      <c r="DD174" s="1606"/>
      <c r="DE174" s="1606"/>
      <c r="DF174" s="1606"/>
      <c r="DG174" s="1606"/>
      <c r="DH174" s="1606"/>
      <c r="DI174" s="1606"/>
      <c r="DJ174" s="1606"/>
      <c r="DK174" s="1615"/>
      <c r="DL174" s="1615"/>
      <c r="DM174" s="1615"/>
      <c r="DN174" s="1615"/>
      <c r="DO174" s="1617"/>
      <c r="DP174" s="1617"/>
    </row>
    <row r="175" ht="26.25" customHeight="1">
      <c r="A175" s="1604"/>
      <c r="B175" s="1604"/>
      <c r="C175" s="1604"/>
      <c r="D175" s="1604"/>
      <c r="E175" s="1604"/>
      <c r="F175" s="1605"/>
      <c r="G175" s="1606"/>
      <c r="H175" s="1607"/>
      <c r="I175" s="1608"/>
      <c r="J175" s="1609"/>
      <c r="K175" s="1606"/>
      <c r="L175" s="1606"/>
      <c r="M175" s="1606"/>
      <c r="N175" s="1606"/>
      <c r="O175" s="1606"/>
      <c r="P175" s="1606"/>
      <c r="Q175" s="1606"/>
      <c r="R175" s="1606"/>
      <c r="S175" s="1606"/>
      <c r="T175" s="1606"/>
      <c r="U175" s="1606"/>
      <c r="V175" s="1606"/>
      <c r="W175" s="1606"/>
      <c r="X175" s="1606"/>
      <c r="Y175" s="1606"/>
      <c r="Z175" s="1606"/>
      <c r="AA175" s="1607"/>
      <c r="AB175" s="1608"/>
      <c r="AC175" s="1610"/>
      <c r="AD175" s="1606"/>
      <c r="AE175" s="1611"/>
      <c r="AF175" s="1606"/>
      <c r="AG175" s="1611"/>
      <c r="AH175" s="1606"/>
      <c r="AI175" s="1611"/>
      <c r="AJ175" s="1606"/>
      <c r="AK175" s="1611"/>
      <c r="AL175" s="1606"/>
      <c r="AM175" s="1611"/>
      <c r="AN175" s="1606"/>
      <c r="AO175" s="1611"/>
      <c r="AP175" s="1606"/>
      <c r="AQ175" s="1612"/>
      <c r="AR175" s="1612"/>
      <c r="AS175" s="1613"/>
      <c r="AT175" s="1612"/>
      <c r="AU175" s="1606"/>
      <c r="AV175" s="1606"/>
      <c r="AW175" s="1606"/>
      <c r="AX175" s="1606"/>
      <c r="AY175" s="1606"/>
      <c r="AZ175" s="1606"/>
      <c r="BA175" s="1606"/>
      <c r="BB175" s="1606"/>
      <c r="BC175" s="1606"/>
      <c r="BD175" s="1606"/>
      <c r="BE175" s="1606"/>
      <c r="BF175" s="1606"/>
      <c r="BG175" s="1606"/>
      <c r="BH175" s="1606"/>
      <c r="BI175" s="1612"/>
      <c r="BJ175" s="1612"/>
      <c r="BK175" s="1613"/>
      <c r="BL175" s="1612"/>
      <c r="BM175" s="1612"/>
      <c r="BN175" s="1612"/>
      <c r="BO175" s="1614"/>
      <c r="BP175" s="1614"/>
      <c r="BQ175" s="1614"/>
      <c r="BR175" s="1614"/>
      <c r="BS175" s="1614"/>
      <c r="BT175" s="1614"/>
      <c r="BU175" s="1614"/>
      <c r="BV175" s="1614"/>
      <c r="BW175" s="1614"/>
      <c r="BX175" s="1614"/>
      <c r="BY175" s="1614"/>
      <c r="BZ175" s="1614"/>
      <c r="CA175" s="1612"/>
      <c r="CB175" s="1612"/>
      <c r="CC175" s="1613"/>
      <c r="CD175" s="1612"/>
      <c r="CE175" s="1606"/>
      <c r="CF175" s="1606"/>
      <c r="CG175" s="1606"/>
      <c r="CH175" s="1606"/>
      <c r="CI175" s="1606"/>
      <c r="CJ175" s="1606"/>
      <c r="CK175" s="1606"/>
      <c r="CL175" s="1606"/>
      <c r="CM175" s="1606"/>
      <c r="CN175" s="1606"/>
      <c r="CO175" s="1606"/>
      <c r="CP175" s="1606"/>
      <c r="CQ175" s="1606"/>
      <c r="CR175" s="1606"/>
      <c r="CS175" s="1615"/>
      <c r="CT175" s="1615"/>
      <c r="CU175" s="1615"/>
      <c r="CV175" s="1615"/>
      <c r="CW175" s="1606"/>
      <c r="CX175" s="1606"/>
      <c r="CY175" s="1606"/>
      <c r="CZ175" s="1606"/>
      <c r="DA175" s="1606"/>
      <c r="DB175" s="1606"/>
      <c r="DC175" s="1606"/>
      <c r="DD175" s="1606"/>
      <c r="DE175" s="1606"/>
      <c r="DF175" s="1606"/>
      <c r="DG175" s="1606"/>
      <c r="DH175" s="1606"/>
      <c r="DI175" s="1606"/>
      <c r="DJ175" s="1606"/>
      <c r="DK175" s="1615"/>
      <c r="DL175" s="1615"/>
      <c r="DM175" s="1615"/>
      <c r="DN175" s="1615"/>
      <c r="DO175" s="1617"/>
      <c r="DP175" s="1617"/>
    </row>
    <row r="176" ht="26.25" customHeight="1">
      <c r="A176" s="1604"/>
      <c r="B176" s="1604"/>
      <c r="C176" s="1604"/>
      <c r="D176" s="1604"/>
      <c r="E176" s="1604"/>
      <c r="F176" s="1605"/>
      <c r="G176" s="1606"/>
      <c r="H176" s="1607"/>
      <c r="I176" s="1608"/>
      <c r="J176" s="1609"/>
      <c r="K176" s="1606"/>
      <c r="L176" s="1606"/>
      <c r="M176" s="1606"/>
      <c r="N176" s="1606"/>
      <c r="O176" s="1606"/>
      <c r="P176" s="1606"/>
      <c r="Q176" s="1606"/>
      <c r="R176" s="1606"/>
      <c r="S176" s="1606"/>
      <c r="T176" s="1606"/>
      <c r="U176" s="1606"/>
      <c r="V176" s="1606"/>
      <c r="W176" s="1606"/>
      <c r="X176" s="1606"/>
      <c r="Y176" s="1606"/>
      <c r="Z176" s="1606"/>
      <c r="AA176" s="1607"/>
      <c r="AB176" s="1608"/>
      <c r="AC176" s="1610"/>
      <c r="AD176" s="1606"/>
      <c r="AE176" s="1611"/>
      <c r="AF176" s="1606"/>
      <c r="AG176" s="1611"/>
      <c r="AH176" s="1606"/>
      <c r="AI176" s="1611"/>
      <c r="AJ176" s="1606"/>
      <c r="AK176" s="1611"/>
      <c r="AL176" s="1606"/>
      <c r="AM176" s="1611"/>
      <c r="AN176" s="1606"/>
      <c r="AO176" s="1611"/>
      <c r="AP176" s="1606"/>
      <c r="AQ176" s="1612"/>
      <c r="AR176" s="1612"/>
      <c r="AS176" s="1613"/>
      <c r="AT176" s="1612"/>
      <c r="AU176" s="1606"/>
      <c r="AV176" s="1606"/>
      <c r="AW176" s="1606"/>
      <c r="AX176" s="1606"/>
      <c r="AY176" s="1606"/>
      <c r="AZ176" s="1606"/>
      <c r="BA176" s="1606"/>
      <c r="BB176" s="1606"/>
      <c r="BC176" s="1606"/>
      <c r="BD176" s="1606"/>
      <c r="BE176" s="1606"/>
      <c r="BF176" s="1606"/>
      <c r="BG176" s="1606"/>
      <c r="BH176" s="1606"/>
      <c r="BI176" s="1612"/>
      <c r="BJ176" s="1612"/>
      <c r="BK176" s="1613"/>
      <c r="BL176" s="1612"/>
      <c r="BM176" s="1612"/>
      <c r="BN176" s="1612"/>
      <c r="BO176" s="1614"/>
      <c r="BP176" s="1614"/>
      <c r="BQ176" s="1614"/>
      <c r="BR176" s="1614"/>
      <c r="BS176" s="1614"/>
      <c r="BT176" s="1614"/>
      <c r="BU176" s="1614"/>
      <c r="BV176" s="1614"/>
      <c r="BW176" s="1614"/>
      <c r="BX176" s="1614"/>
      <c r="BY176" s="1614"/>
      <c r="BZ176" s="1614"/>
      <c r="CA176" s="1612"/>
      <c r="CB176" s="1612"/>
      <c r="CC176" s="1613"/>
      <c r="CD176" s="1612"/>
      <c r="CE176" s="1606"/>
      <c r="CF176" s="1606"/>
      <c r="CG176" s="1606"/>
      <c r="CH176" s="1606"/>
      <c r="CI176" s="1606"/>
      <c r="CJ176" s="1606"/>
      <c r="CK176" s="1606"/>
      <c r="CL176" s="1606"/>
      <c r="CM176" s="1606"/>
      <c r="CN176" s="1606"/>
      <c r="CO176" s="1606"/>
      <c r="CP176" s="1606"/>
      <c r="CQ176" s="1606"/>
      <c r="CR176" s="1606"/>
      <c r="CS176" s="1615"/>
      <c r="CT176" s="1615"/>
      <c r="CU176" s="1616"/>
      <c r="CV176" s="1615"/>
      <c r="CW176" s="1606"/>
      <c r="CX176" s="1606"/>
      <c r="CY176" s="1606"/>
      <c r="CZ176" s="1606"/>
      <c r="DA176" s="1606"/>
      <c r="DB176" s="1606"/>
      <c r="DC176" s="1606"/>
      <c r="DD176" s="1606"/>
      <c r="DE176" s="1606"/>
      <c r="DF176" s="1606"/>
      <c r="DG176" s="1606"/>
      <c r="DH176" s="1606"/>
      <c r="DI176" s="1606"/>
      <c r="DJ176" s="1606"/>
      <c r="DK176" s="1615"/>
      <c r="DL176" s="1615"/>
      <c r="DM176" s="1616"/>
      <c r="DN176" s="1615"/>
      <c r="DO176" s="1617"/>
      <c r="DP176" s="1617"/>
    </row>
    <row r="177" ht="26.25" customHeight="1">
      <c r="A177" s="1604"/>
      <c r="B177" s="1604"/>
      <c r="C177" s="1604"/>
      <c r="D177" s="1604"/>
      <c r="E177" s="1604"/>
      <c r="F177" s="1605"/>
      <c r="G177" s="1606"/>
      <c r="H177" s="1607"/>
      <c r="I177" s="1608"/>
      <c r="J177" s="1609"/>
      <c r="K177" s="1606"/>
      <c r="L177" s="1606"/>
      <c r="M177" s="1606"/>
      <c r="N177" s="1606"/>
      <c r="O177" s="1606"/>
      <c r="P177" s="1606"/>
      <c r="Q177" s="1606"/>
      <c r="R177" s="1606"/>
      <c r="S177" s="1606"/>
      <c r="T177" s="1606"/>
      <c r="U177" s="1606"/>
      <c r="V177" s="1606"/>
      <c r="W177" s="1606"/>
      <c r="X177" s="1606"/>
      <c r="Y177" s="1606"/>
      <c r="Z177" s="1606"/>
      <c r="AA177" s="1607"/>
      <c r="AB177" s="1608"/>
      <c r="AC177" s="1610"/>
      <c r="AD177" s="1606"/>
      <c r="AE177" s="1611"/>
      <c r="AF177" s="1606"/>
      <c r="AG177" s="1611"/>
      <c r="AH177" s="1606"/>
      <c r="AI177" s="1611"/>
      <c r="AJ177" s="1606"/>
      <c r="AK177" s="1611"/>
      <c r="AL177" s="1606"/>
      <c r="AM177" s="1611"/>
      <c r="AN177" s="1606"/>
      <c r="AO177" s="1611"/>
      <c r="AP177" s="1606"/>
      <c r="AQ177" s="1612"/>
      <c r="AR177" s="1612"/>
      <c r="AS177" s="1613"/>
      <c r="AT177" s="1612"/>
      <c r="AU177" s="1606"/>
      <c r="AV177" s="1606"/>
      <c r="AW177" s="1606"/>
      <c r="AX177" s="1606"/>
      <c r="AY177" s="1606"/>
      <c r="AZ177" s="1606"/>
      <c r="BA177" s="1606"/>
      <c r="BB177" s="1606"/>
      <c r="BC177" s="1606"/>
      <c r="BD177" s="1606"/>
      <c r="BE177" s="1606"/>
      <c r="BF177" s="1606"/>
      <c r="BG177" s="1606"/>
      <c r="BH177" s="1606"/>
      <c r="BI177" s="1612"/>
      <c r="BJ177" s="1612"/>
      <c r="BK177" s="1613"/>
      <c r="BL177" s="1612"/>
      <c r="BM177" s="1612"/>
      <c r="BN177" s="1612"/>
      <c r="BO177" s="1614"/>
      <c r="BP177" s="1614"/>
      <c r="BQ177" s="1614"/>
      <c r="BR177" s="1614"/>
      <c r="BS177" s="1614"/>
      <c r="BT177" s="1614"/>
      <c r="BU177" s="1614"/>
      <c r="BV177" s="1614"/>
      <c r="BW177" s="1614"/>
      <c r="BX177" s="1614"/>
      <c r="BY177" s="1614"/>
      <c r="BZ177" s="1614"/>
      <c r="CA177" s="1612"/>
      <c r="CB177" s="1612"/>
      <c r="CC177" s="1613"/>
      <c r="CD177" s="1612"/>
      <c r="CE177" s="1606"/>
      <c r="CF177" s="1606"/>
      <c r="CG177" s="1606"/>
      <c r="CH177" s="1606"/>
      <c r="CI177" s="1606"/>
      <c r="CJ177" s="1606"/>
      <c r="CK177" s="1606"/>
      <c r="CL177" s="1606"/>
      <c r="CM177" s="1606"/>
      <c r="CN177" s="1606"/>
      <c r="CO177" s="1606"/>
      <c r="CP177" s="1606"/>
      <c r="CQ177" s="1606"/>
      <c r="CR177" s="1606"/>
      <c r="CS177" s="1615"/>
      <c r="CT177" s="1615"/>
      <c r="CU177" s="1616"/>
      <c r="CV177" s="1615"/>
      <c r="CW177" s="1606"/>
      <c r="CX177" s="1606"/>
      <c r="CY177" s="1606"/>
      <c r="CZ177" s="1606"/>
      <c r="DA177" s="1606"/>
      <c r="DB177" s="1606"/>
      <c r="DC177" s="1606"/>
      <c r="DD177" s="1606"/>
      <c r="DE177" s="1606"/>
      <c r="DF177" s="1606"/>
      <c r="DG177" s="1606"/>
      <c r="DH177" s="1606"/>
      <c r="DI177" s="1606"/>
      <c r="DJ177" s="1606"/>
      <c r="DK177" s="1615"/>
      <c r="DL177" s="1615"/>
      <c r="DM177" s="1616"/>
      <c r="DN177" s="1615"/>
      <c r="DO177" s="1617"/>
      <c r="DP177" s="1617"/>
    </row>
    <row r="178" ht="26.25" customHeight="1">
      <c r="A178" s="1604"/>
      <c r="B178" s="1604"/>
      <c r="C178" s="1604"/>
      <c r="D178" s="1604"/>
      <c r="E178" s="1604"/>
      <c r="F178" s="1605"/>
      <c r="G178" s="1606"/>
      <c r="H178" s="1607"/>
      <c r="I178" s="1608"/>
      <c r="J178" s="1609"/>
      <c r="K178" s="1606"/>
      <c r="L178" s="1606"/>
      <c r="M178" s="1606"/>
      <c r="N178" s="1606"/>
      <c r="O178" s="1606"/>
      <c r="P178" s="1606"/>
      <c r="Q178" s="1606"/>
      <c r="R178" s="1606"/>
      <c r="S178" s="1606"/>
      <c r="T178" s="1606"/>
      <c r="U178" s="1606"/>
      <c r="V178" s="1606"/>
      <c r="W178" s="1606"/>
      <c r="X178" s="1606"/>
      <c r="Y178" s="1606"/>
      <c r="Z178" s="1606"/>
      <c r="AA178" s="1607"/>
      <c r="AB178" s="1608"/>
      <c r="AC178" s="1610"/>
      <c r="AD178" s="1606"/>
      <c r="AE178" s="1611"/>
      <c r="AF178" s="1606"/>
      <c r="AG178" s="1611"/>
      <c r="AH178" s="1606"/>
      <c r="AI178" s="1611"/>
      <c r="AJ178" s="1606"/>
      <c r="AK178" s="1611"/>
      <c r="AL178" s="1606"/>
      <c r="AM178" s="1611"/>
      <c r="AN178" s="1606"/>
      <c r="AO178" s="1611"/>
      <c r="AP178" s="1606"/>
      <c r="AQ178" s="1612"/>
      <c r="AR178" s="1612"/>
      <c r="AS178" s="1613"/>
      <c r="AT178" s="1612"/>
      <c r="AU178" s="1606"/>
      <c r="AV178" s="1606"/>
      <c r="AW178" s="1606"/>
      <c r="AX178" s="1606"/>
      <c r="AY178" s="1606"/>
      <c r="AZ178" s="1606"/>
      <c r="BA178" s="1606"/>
      <c r="BB178" s="1606"/>
      <c r="BC178" s="1606"/>
      <c r="BD178" s="1606"/>
      <c r="BE178" s="1606"/>
      <c r="BF178" s="1606"/>
      <c r="BG178" s="1606"/>
      <c r="BH178" s="1606"/>
      <c r="BI178" s="1612"/>
      <c r="BJ178" s="1612"/>
      <c r="BK178" s="1613"/>
      <c r="BL178" s="1612"/>
      <c r="BM178" s="1612"/>
      <c r="BN178" s="1612"/>
      <c r="BO178" s="1614"/>
      <c r="BP178" s="1614"/>
      <c r="BQ178" s="1614"/>
      <c r="BR178" s="1614"/>
      <c r="BS178" s="1614"/>
      <c r="BT178" s="1614"/>
      <c r="BU178" s="1614"/>
      <c r="BV178" s="1614"/>
      <c r="BW178" s="1614"/>
      <c r="BX178" s="1614"/>
      <c r="BY178" s="1614"/>
      <c r="BZ178" s="1614"/>
      <c r="CA178" s="1612"/>
      <c r="CB178" s="1612"/>
      <c r="CC178" s="1613"/>
      <c r="CD178" s="1612"/>
      <c r="CE178" s="1606"/>
      <c r="CF178" s="1606"/>
      <c r="CG178" s="1606"/>
      <c r="CH178" s="1606"/>
      <c r="CI178" s="1606"/>
      <c r="CJ178" s="1606"/>
      <c r="CK178" s="1606"/>
      <c r="CL178" s="1606"/>
      <c r="CM178" s="1606"/>
      <c r="CN178" s="1606"/>
      <c r="CO178" s="1606"/>
      <c r="CP178" s="1606"/>
      <c r="CQ178" s="1606"/>
      <c r="CR178" s="1606"/>
      <c r="CS178" s="1615"/>
      <c r="CT178" s="1615"/>
      <c r="CU178" s="1616"/>
      <c r="CV178" s="1615"/>
      <c r="CW178" s="1606"/>
      <c r="CX178" s="1606"/>
      <c r="CY178" s="1606"/>
      <c r="CZ178" s="1606"/>
      <c r="DA178" s="1606"/>
      <c r="DB178" s="1606"/>
      <c r="DC178" s="1606"/>
      <c r="DD178" s="1606"/>
      <c r="DE178" s="1606"/>
      <c r="DF178" s="1606"/>
      <c r="DG178" s="1606"/>
      <c r="DH178" s="1606"/>
      <c r="DI178" s="1606"/>
      <c r="DJ178" s="1606"/>
      <c r="DK178" s="1615"/>
      <c r="DL178" s="1615"/>
      <c r="DM178" s="1616"/>
      <c r="DN178" s="1615"/>
      <c r="DO178" s="1617"/>
      <c r="DP178" s="1617"/>
    </row>
    <row r="179" ht="26.25" customHeight="1">
      <c r="A179" s="1604"/>
      <c r="B179" s="1604"/>
      <c r="C179" s="1604"/>
      <c r="D179" s="1604"/>
      <c r="E179" s="1604"/>
      <c r="F179" s="1605"/>
      <c r="G179" s="1606"/>
      <c r="H179" s="1607"/>
      <c r="I179" s="1608"/>
      <c r="J179" s="1609"/>
      <c r="K179" s="1606"/>
      <c r="L179" s="1606"/>
      <c r="M179" s="1606"/>
      <c r="N179" s="1606"/>
      <c r="O179" s="1606"/>
      <c r="P179" s="1606"/>
      <c r="Q179" s="1606"/>
      <c r="R179" s="1606"/>
      <c r="S179" s="1606"/>
      <c r="T179" s="1606"/>
      <c r="U179" s="1606"/>
      <c r="V179" s="1606"/>
      <c r="W179" s="1606"/>
      <c r="X179" s="1606"/>
      <c r="Y179" s="1606"/>
      <c r="Z179" s="1606"/>
      <c r="AA179" s="1607"/>
      <c r="AB179" s="1608"/>
      <c r="AC179" s="1610"/>
      <c r="AD179" s="1606"/>
      <c r="AE179" s="1611"/>
      <c r="AF179" s="1606"/>
      <c r="AG179" s="1611"/>
      <c r="AH179" s="1606"/>
      <c r="AI179" s="1611"/>
      <c r="AJ179" s="1606"/>
      <c r="AK179" s="1611"/>
      <c r="AL179" s="1606"/>
      <c r="AM179" s="1611"/>
      <c r="AN179" s="1606"/>
      <c r="AO179" s="1611"/>
      <c r="AP179" s="1606"/>
      <c r="AQ179" s="1612"/>
      <c r="AR179" s="1612"/>
      <c r="AS179" s="1613"/>
      <c r="AT179" s="1612"/>
      <c r="AU179" s="1606"/>
      <c r="AV179" s="1606"/>
      <c r="AW179" s="1606"/>
      <c r="AX179" s="1606"/>
      <c r="AY179" s="1606"/>
      <c r="AZ179" s="1606"/>
      <c r="BA179" s="1606"/>
      <c r="BB179" s="1606"/>
      <c r="BC179" s="1606"/>
      <c r="BD179" s="1606"/>
      <c r="BE179" s="1606"/>
      <c r="BF179" s="1606"/>
      <c r="BG179" s="1606"/>
      <c r="BH179" s="1606"/>
      <c r="BI179" s="1612"/>
      <c r="BJ179" s="1612"/>
      <c r="BK179" s="1613"/>
      <c r="BL179" s="1612"/>
      <c r="BM179" s="1612"/>
      <c r="BN179" s="1612"/>
      <c r="BO179" s="1614"/>
      <c r="BP179" s="1614"/>
      <c r="BQ179" s="1614"/>
      <c r="BR179" s="1614"/>
      <c r="BS179" s="1614"/>
      <c r="BT179" s="1614"/>
      <c r="BU179" s="1614"/>
      <c r="BV179" s="1614"/>
      <c r="BW179" s="1614"/>
      <c r="BX179" s="1614"/>
      <c r="BY179" s="1614"/>
      <c r="BZ179" s="1614"/>
      <c r="CA179" s="1612"/>
      <c r="CB179" s="1612"/>
      <c r="CC179" s="1613"/>
      <c r="CD179" s="1612"/>
      <c r="CE179" s="1606"/>
      <c r="CF179" s="1606"/>
      <c r="CG179" s="1606"/>
      <c r="CH179" s="1606"/>
      <c r="CI179" s="1606"/>
      <c r="CJ179" s="1606"/>
      <c r="CK179" s="1606"/>
      <c r="CL179" s="1606"/>
      <c r="CM179" s="1606"/>
      <c r="CN179" s="1606"/>
      <c r="CO179" s="1606"/>
      <c r="CP179" s="1606"/>
      <c r="CQ179" s="1606"/>
      <c r="CR179" s="1606"/>
      <c r="CS179" s="1615"/>
      <c r="CT179" s="1615"/>
      <c r="CU179" s="1616"/>
      <c r="CV179" s="1615"/>
      <c r="CW179" s="1606"/>
      <c r="CX179" s="1606"/>
      <c r="CY179" s="1606"/>
      <c r="CZ179" s="1606"/>
      <c r="DA179" s="1606"/>
      <c r="DB179" s="1606"/>
      <c r="DC179" s="1606"/>
      <c r="DD179" s="1606"/>
      <c r="DE179" s="1606"/>
      <c r="DF179" s="1606"/>
      <c r="DG179" s="1606"/>
      <c r="DH179" s="1606"/>
      <c r="DI179" s="1606"/>
      <c r="DJ179" s="1606"/>
      <c r="DK179" s="1615"/>
      <c r="DL179" s="1615"/>
      <c r="DM179" s="1616"/>
      <c r="DN179" s="1615"/>
      <c r="DO179" s="1617"/>
      <c r="DP179" s="1617"/>
    </row>
    <row r="180" ht="26.25" customHeight="1">
      <c r="A180" s="1604"/>
      <c r="B180" s="1604"/>
      <c r="C180" s="1604"/>
      <c r="D180" s="1604"/>
      <c r="E180" s="1604"/>
      <c r="F180" s="1605"/>
      <c r="G180" s="1606"/>
      <c r="H180" s="1607"/>
      <c r="I180" s="1608"/>
      <c r="J180" s="1609"/>
      <c r="K180" s="1606"/>
      <c r="L180" s="1606"/>
      <c r="M180" s="1606"/>
      <c r="N180" s="1606"/>
      <c r="O180" s="1606"/>
      <c r="P180" s="1606"/>
      <c r="Q180" s="1606"/>
      <c r="R180" s="1606"/>
      <c r="S180" s="1606"/>
      <c r="T180" s="1606"/>
      <c r="U180" s="1606"/>
      <c r="V180" s="1606"/>
      <c r="W180" s="1606"/>
      <c r="X180" s="1606"/>
      <c r="Y180" s="1606"/>
      <c r="Z180" s="1606"/>
      <c r="AA180" s="1607"/>
      <c r="AB180" s="1608"/>
      <c r="AC180" s="1610"/>
      <c r="AD180" s="1606"/>
      <c r="AE180" s="1611"/>
      <c r="AF180" s="1606"/>
      <c r="AG180" s="1611"/>
      <c r="AH180" s="1606"/>
      <c r="AI180" s="1611"/>
      <c r="AJ180" s="1606"/>
      <c r="AK180" s="1611"/>
      <c r="AL180" s="1606"/>
      <c r="AM180" s="1611"/>
      <c r="AN180" s="1606"/>
      <c r="AO180" s="1611"/>
      <c r="AP180" s="1606"/>
      <c r="AQ180" s="1612"/>
      <c r="AR180" s="1612"/>
      <c r="AS180" s="1613"/>
      <c r="AT180" s="1612"/>
      <c r="AU180" s="1606"/>
      <c r="AV180" s="1606"/>
      <c r="AW180" s="1606"/>
      <c r="AX180" s="1606"/>
      <c r="AY180" s="1606"/>
      <c r="AZ180" s="1606"/>
      <c r="BA180" s="1606"/>
      <c r="BB180" s="1606"/>
      <c r="BC180" s="1606"/>
      <c r="BD180" s="1606"/>
      <c r="BE180" s="1606"/>
      <c r="BF180" s="1606"/>
      <c r="BG180" s="1606"/>
      <c r="BH180" s="1606"/>
      <c r="BI180" s="1612"/>
      <c r="BJ180" s="1612"/>
      <c r="BK180" s="1613"/>
      <c r="BL180" s="1612"/>
      <c r="BM180" s="1612"/>
      <c r="BN180" s="1612"/>
      <c r="BO180" s="1614"/>
      <c r="BP180" s="1614"/>
      <c r="BQ180" s="1614"/>
      <c r="BR180" s="1614"/>
      <c r="BS180" s="1614"/>
      <c r="BT180" s="1614"/>
      <c r="BU180" s="1614"/>
      <c r="BV180" s="1614"/>
      <c r="BW180" s="1614"/>
      <c r="BX180" s="1614"/>
      <c r="BY180" s="1614"/>
      <c r="BZ180" s="1614"/>
      <c r="CA180" s="1612"/>
      <c r="CB180" s="1612"/>
      <c r="CC180" s="1613"/>
      <c r="CD180" s="1612"/>
      <c r="CE180" s="1606"/>
      <c r="CF180" s="1606"/>
      <c r="CG180" s="1606"/>
      <c r="CH180" s="1606"/>
      <c r="CI180" s="1606"/>
      <c r="CJ180" s="1606"/>
      <c r="CK180" s="1606"/>
      <c r="CL180" s="1606"/>
      <c r="CM180" s="1606"/>
      <c r="CN180" s="1606"/>
      <c r="CO180" s="1606"/>
      <c r="CP180" s="1606"/>
      <c r="CQ180" s="1606"/>
      <c r="CR180" s="1606"/>
      <c r="CS180" s="1615"/>
      <c r="CT180" s="1615"/>
      <c r="CU180" s="1616"/>
      <c r="CV180" s="1615"/>
      <c r="CW180" s="1606"/>
      <c r="CX180" s="1606"/>
      <c r="CY180" s="1606"/>
      <c r="CZ180" s="1606"/>
      <c r="DA180" s="1606"/>
      <c r="DB180" s="1606"/>
      <c r="DC180" s="1606"/>
      <c r="DD180" s="1606"/>
      <c r="DE180" s="1606"/>
      <c r="DF180" s="1606"/>
      <c r="DG180" s="1606"/>
      <c r="DH180" s="1606"/>
      <c r="DI180" s="1606"/>
      <c r="DJ180" s="1606"/>
      <c r="DK180" s="1615"/>
      <c r="DL180" s="1615"/>
      <c r="DM180" s="1616"/>
      <c r="DN180" s="1615"/>
      <c r="DO180" s="1617"/>
      <c r="DP180" s="1617"/>
    </row>
    <row r="181" ht="26.25" customHeight="1">
      <c r="A181" s="1604"/>
      <c r="B181" s="1604"/>
      <c r="C181" s="1604"/>
      <c r="D181" s="1604"/>
      <c r="E181" s="1604"/>
      <c r="F181" s="1605"/>
      <c r="G181" s="1606"/>
      <c r="H181" s="1607"/>
      <c r="I181" s="1608"/>
      <c r="J181" s="1609"/>
      <c r="K181" s="1606"/>
      <c r="L181" s="1606"/>
      <c r="M181" s="1606"/>
      <c r="N181" s="1606"/>
      <c r="O181" s="1606"/>
      <c r="P181" s="1606"/>
      <c r="Q181" s="1606"/>
      <c r="R181" s="1606"/>
      <c r="S181" s="1606"/>
      <c r="T181" s="1606"/>
      <c r="U181" s="1606"/>
      <c r="V181" s="1606"/>
      <c r="W181" s="1606"/>
      <c r="X181" s="1606"/>
      <c r="Y181" s="1606"/>
      <c r="Z181" s="1606"/>
      <c r="AA181" s="1607"/>
      <c r="AB181" s="1608"/>
      <c r="AC181" s="1610"/>
      <c r="AD181" s="1606"/>
      <c r="AE181" s="1611"/>
      <c r="AF181" s="1606"/>
      <c r="AG181" s="1611"/>
      <c r="AH181" s="1606"/>
      <c r="AI181" s="1611"/>
      <c r="AJ181" s="1606"/>
      <c r="AK181" s="1611"/>
      <c r="AL181" s="1606"/>
      <c r="AM181" s="1611"/>
      <c r="AN181" s="1606"/>
      <c r="AO181" s="1611"/>
      <c r="AP181" s="1606"/>
      <c r="AQ181" s="1612"/>
      <c r="AR181" s="1612"/>
      <c r="AS181" s="1613"/>
      <c r="AT181" s="1612"/>
      <c r="AU181" s="1606"/>
      <c r="AV181" s="1606"/>
      <c r="AW181" s="1606"/>
      <c r="AX181" s="1606"/>
      <c r="AY181" s="1606"/>
      <c r="AZ181" s="1606"/>
      <c r="BA181" s="1606"/>
      <c r="BB181" s="1606"/>
      <c r="BC181" s="1606"/>
      <c r="BD181" s="1606"/>
      <c r="BE181" s="1606"/>
      <c r="BF181" s="1606"/>
      <c r="BG181" s="1606"/>
      <c r="BH181" s="1606"/>
      <c r="BI181" s="1612"/>
      <c r="BJ181" s="1612"/>
      <c r="BK181" s="1613"/>
      <c r="BL181" s="1612"/>
      <c r="BM181" s="1612"/>
      <c r="BN181" s="1612"/>
      <c r="BO181" s="1614"/>
      <c r="BP181" s="1614"/>
      <c r="BQ181" s="1614"/>
      <c r="BR181" s="1614"/>
      <c r="BS181" s="1614"/>
      <c r="BT181" s="1614"/>
      <c r="BU181" s="1614"/>
      <c r="BV181" s="1614"/>
      <c r="BW181" s="1614"/>
      <c r="BX181" s="1614"/>
      <c r="BY181" s="1614"/>
      <c r="BZ181" s="1614"/>
      <c r="CA181" s="1612"/>
      <c r="CB181" s="1612"/>
      <c r="CC181" s="1613"/>
      <c r="CD181" s="1612"/>
      <c r="CE181" s="1606"/>
      <c r="CF181" s="1606"/>
      <c r="CG181" s="1606"/>
      <c r="CH181" s="1606"/>
      <c r="CI181" s="1606"/>
      <c r="CJ181" s="1606"/>
      <c r="CK181" s="1606"/>
      <c r="CL181" s="1606"/>
      <c r="CM181" s="1606"/>
      <c r="CN181" s="1606"/>
      <c r="CO181" s="1606"/>
      <c r="CP181" s="1606"/>
      <c r="CQ181" s="1606"/>
      <c r="CR181" s="1606"/>
      <c r="CS181" s="1615"/>
      <c r="CT181" s="1615"/>
      <c r="CU181" s="1616"/>
      <c r="CV181" s="1615"/>
      <c r="CW181" s="1606"/>
      <c r="CX181" s="1606"/>
      <c r="CY181" s="1606"/>
      <c r="CZ181" s="1606"/>
      <c r="DA181" s="1606"/>
      <c r="DB181" s="1606"/>
      <c r="DC181" s="1606"/>
      <c r="DD181" s="1606"/>
      <c r="DE181" s="1606"/>
      <c r="DF181" s="1606"/>
      <c r="DG181" s="1606"/>
      <c r="DH181" s="1606"/>
      <c r="DI181" s="1606"/>
      <c r="DJ181" s="1606"/>
      <c r="DK181" s="1615"/>
      <c r="DL181" s="1615"/>
      <c r="DM181" s="1616"/>
      <c r="DN181" s="1615"/>
      <c r="DO181" s="1617"/>
      <c r="DP181" s="1617"/>
    </row>
    <row r="182" ht="26.25" customHeight="1">
      <c r="A182" s="1604"/>
      <c r="B182" s="1604"/>
      <c r="C182" s="1604"/>
      <c r="D182" s="1604"/>
      <c r="E182" s="1604"/>
      <c r="F182" s="1605"/>
      <c r="G182" s="1606"/>
      <c r="H182" s="1607"/>
      <c r="I182" s="1608"/>
      <c r="J182" s="1609"/>
      <c r="K182" s="1606"/>
      <c r="L182" s="1606"/>
      <c r="M182" s="1606"/>
      <c r="N182" s="1606"/>
      <c r="O182" s="1606"/>
      <c r="P182" s="1606"/>
      <c r="Q182" s="1606"/>
      <c r="R182" s="1606"/>
      <c r="S182" s="1606"/>
      <c r="T182" s="1606"/>
      <c r="U182" s="1606"/>
      <c r="V182" s="1606"/>
      <c r="W182" s="1606"/>
      <c r="X182" s="1606"/>
      <c r="Y182" s="1606"/>
      <c r="Z182" s="1606"/>
      <c r="AA182" s="1607"/>
      <c r="AB182" s="1608"/>
      <c r="AC182" s="1610"/>
      <c r="AD182" s="1606"/>
      <c r="AE182" s="1611"/>
      <c r="AF182" s="1606"/>
      <c r="AG182" s="1611"/>
      <c r="AH182" s="1606"/>
      <c r="AI182" s="1611"/>
      <c r="AJ182" s="1606"/>
      <c r="AK182" s="1611"/>
      <c r="AL182" s="1606"/>
      <c r="AM182" s="1611"/>
      <c r="AN182" s="1606"/>
      <c r="AO182" s="1611"/>
      <c r="AP182" s="1606"/>
      <c r="AQ182" s="1612"/>
      <c r="AR182" s="1612"/>
      <c r="AS182" s="1613"/>
      <c r="AT182" s="1612"/>
      <c r="AU182" s="1606"/>
      <c r="AV182" s="1606"/>
      <c r="AW182" s="1606"/>
      <c r="AX182" s="1606"/>
      <c r="AY182" s="1606"/>
      <c r="AZ182" s="1606"/>
      <c r="BA182" s="1606"/>
      <c r="BB182" s="1606"/>
      <c r="BC182" s="1606"/>
      <c r="BD182" s="1606"/>
      <c r="BE182" s="1606"/>
      <c r="BF182" s="1606"/>
      <c r="BG182" s="1606"/>
      <c r="BH182" s="1606"/>
      <c r="BI182" s="1612"/>
      <c r="BJ182" s="1612"/>
      <c r="BK182" s="1613"/>
      <c r="BL182" s="1612"/>
      <c r="BM182" s="1612"/>
      <c r="BN182" s="1612"/>
      <c r="BO182" s="1614"/>
      <c r="BP182" s="1614"/>
      <c r="BQ182" s="1614"/>
      <c r="BR182" s="1614"/>
      <c r="BS182" s="1614"/>
      <c r="BT182" s="1614"/>
      <c r="BU182" s="1614"/>
      <c r="BV182" s="1614"/>
      <c r="BW182" s="1614"/>
      <c r="BX182" s="1614"/>
      <c r="BY182" s="1614"/>
      <c r="BZ182" s="1614"/>
      <c r="CA182" s="1612"/>
      <c r="CB182" s="1612"/>
      <c r="CC182" s="1613"/>
      <c r="CD182" s="1612"/>
      <c r="CE182" s="1606"/>
      <c r="CF182" s="1606"/>
      <c r="CG182" s="1606"/>
      <c r="CH182" s="1606"/>
      <c r="CI182" s="1606"/>
      <c r="CJ182" s="1606"/>
      <c r="CK182" s="1606"/>
      <c r="CL182" s="1606"/>
      <c r="CM182" s="1606"/>
      <c r="CN182" s="1606"/>
      <c r="CO182" s="1606"/>
      <c r="CP182" s="1606"/>
      <c r="CQ182" s="1606"/>
      <c r="CR182" s="1606"/>
      <c r="CS182" s="1615"/>
      <c r="CT182" s="1615"/>
      <c r="CU182" s="1616"/>
      <c r="CV182" s="1615"/>
      <c r="CW182" s="1606"/>
      <c r="CX182" s="1606"/>
      <c r="CY182" s="1606"/>
      <c r="CZ182" s="1606"/>
      <c r="DA182" s="1606"/>
      <c r="DB182" s="1606"/>
      <c r="DC182" s="1606"/>
      <c r="DD182" s="1606"/>
      <c r="DE182" s="1606"/>
      <c r="DF182" s="1606"/>
      <c r="DG182" s="1606"/>
      <c r="DH182" s="1606"/>
      <c r="DI182" s="1606"/>
      <c r="DJ182" s="1606"/>
      <c r="DK182" s="1615"/>
      <c r="DL182" s="1615"/>
      <c r="DM182" s="1616"/>
      <c r="DN182" s="1615"/>
      <c r="DO182" s="1617"/>
      <c r="DP182" s="1617"/>
    </row>
    <row r="183" ht="26.25" customHeight="1">
      <c r="A183" s="1604"/>
      <c r="B183" s="1604"/>
      <c r="C183" s="1604"/>
      <c r="D183" s="1604"/>
      <c r="E183" s="1604"/>
      <c r="F183" s="1605"/>
      <c r="G183" s="1606"/>
      <c r="H183" s="1607"/>
      <c r="I183" s="1608"/>
      <c r="J183" s="1609"/>
      <c r="K183" s="1606"/>
      <c r="L183" s="1606"/>
      <c r="M183" s="1606"/>
      <c r="N183" s="1606"/>
      <c r="O183" s="1606"/>
      <c r="P183" s="1606"/>
      <c r="Q183" s="1606"/>
      <c r="R183" s="1606"/>
      <c r="S183" s="1606"/>
      <c r="T183" s="1606"/>
      <c r="U183" s="1606"/>
      <c r="V183" s="1606"/>
      <c r="W183" s="1606"/>
      <c r="X183" s="1606"/>
      <c r="Y183" s="1606"/>
      <c r="Z183" s="1606"/>
      <c r="AA183" s="1607"/>
      <c r="AB183" s="1608"/>
      <c r="AC183" s="1610"/>
      <c r="AD183" s="1606"/>
      <c r="AE183" s="1611"/>
      <c r="AF183" s="1606"/>
      <c r="AG183" s="1611"/>
      <c r="AH183" s="1606"/>
      <c r="AI183" s="1611"/>
      <c r="AJ183" s="1606"/>
      <c r="AK183" s="1611"/>
      <c r="AL183" s="1606"/>
      <c r="AM183" s="1611"/>
      <c r="AN183" s="1606"/>
      <c r="AO183" s="1611"/>
      <c r="AP183" s="1606"/>
      <c r="AQ183" s="1612"/>
      <c r="AR183" s="1612"/>
      <c r="AS183" s="1613"/>
      <c r="AT183" s="1612"/>
      <c r="AU183" s="1606"/>
      <c r="AV183" s="1606"/>
      <c r="AW183" s="1606"/>
      <c r="AX183" s="1606"/>
      <c r="AY183" s="1606"/>
      <c r="AZ183" s="1606"/>
      <c r="BA183" s="1606"/>
      <c r="BB183" s="1606"/>
      <c r="BC183" s="1606"/>
      <c r="BD183" s="1606"/>
      <c r="BE183" s="1606"/>
      <c r="BF183" s="1606"/>
      <c r="BG183" s="1606"/>
      <c r="BH183" s="1606"/>
      <c r="BI183" s="1612"/>
      <c r="BJ183" s="1612"/>
      <c r="BK183" s="1613"/>
      <c r="BL183" s="1612"/>
      <c r="BM183" s="1612"/>
      <c r="BN183" s="1612"/>
      <c r="BO183" s="1614"/>
      <c r="BP183" s="1614"/>
      <c r="BQ183" s="1614"/>
      <c r="BR183" s="1614"/>
      <c r="BS183" s="1614"/>
      <c r="BT183" s="1614"/>
      <c r="BU183" s="1614"/>
      <c r="BV183" s="1614"/>
      <c r="BW183" s="1614"/>
      <c r="BX183" s="1614"/>
      <c r="BY183" s="1614"/>
      <c r="BZ183" s="1614"/>
      <c r="CA183" s="1612"/>
      <c r="CB183" s="1612"/>
      <c r="CC183" s="1613"/>
      <c r="CD183" s="1612"/>
      <c r="CE183" s="1606"/>
      <c r="CF183" s="1606"/>
      <c r="CG183" s="1606"/>
      <c r="CH183" s="1606"/>
      <c r="CI183" s="1606"/>
      <c r="CJ183" s="1606"/>
      <c r="CK183" s="1606"/>
      <c r="CL183" s="1606"/>
      <c r="CM183" s="1606"/>
      <c r="CN183" s="1606"/>
      <c r="CO183" s="1606"/>
      <c r="CP183" s="1606"/>
      <c r="CQ183" s="1606"/>
      <c r="CR183" s="1606"/>
      <c r="CS183" s="1615"/>
      <c r="CT183" s="1615"/>
      <c r="CU183" s="1616"/>
      <c r="CV183" s="1615"/>
      <c r="CW183" s="1606"/>
      <c r="CX183" s="1606"/>
      <c r="CY183" s="1606"/>
      <c r="CZ183" s="1606"/>
      <c r="DA183" s="1606"/>
      <c r="DB183" s="1606"/>
      <c r="DC183" s="1606"/>
      <c r="DD183" s="1606"/>
      <c r="DE183" s="1606"/>
      <c r="DF183" s="1606"/>
      <c r="DG183" s="1606"/>
      <c r="DH183" s="1606"/>
      <c r="DI183" s="1606"/>
      <c r="DJ183" s="1606"/>
      <c r="DK183" s="1615"/>
      <c r="DL183" s="1615"/>
      <c r="DM183" s="1616"/>
      <c r="DN183" s="1615"/>
      <c r="DO183" s="1617"/>
      <c r="DP183" s="1617"/>
    </row>
    <row r="184" ht="26.25" customHeight="1">
      <c r="A184" s="1604"/>
      <c r="B184" s="1604"/>
      <c r="C184" s="1604"/>
      <c r="D184" s="1604"/>
      <c r="E184" s="1604"/>
      <c r="F184" s="1605"/>
      <c r="G184" s="1606"/>
      <c r="H184" s="1607"/>
      <c r="I184" s="1608"/>
      <c r="J184" s="1609"/>
      <c r="K184" s="1606"/>
      <c r="L184" s="1606"/>
      <c r="M184" s="1606"/>
      <c r="N184" s="1606"/>
      <c r="O184" s="1606"/>
      <c r="P184" s="1606"/>
      <c r="Q184" s="1606"/>
      <c r="R184" s="1606"/>
      <c r="S184" s="1606"/>
      <c r="T184" s="1606"/>
      <c r="U184" s="1606"/>
      <c r="V184" s="1606"/>
      <c r="W184" s="1606"/>
      <c r="X184" s="1606"/>
      <c r="Y184" s="1606"/>
      <c r="Z184" s="1606"/>
      <c r="AA184" s="1607"/>
      <c r="AB184" s="1608"/>
      <c r="AC184" s="1607">
        <v>1.6350159999999998</v>
      </c>
      <c r="AD184" s="1606"/>
      <c r="AE184" s="1618">
        <v>1.6350159999999998</v>
      </c>
      <c r="AF184" s="1606"/>
      <c r="AG184" s="1618">
        <v>1.6350159999999998</v>
      </c>
      <c r="AH184" s="1606"/>
      <c r="AI184" s="1618">
        <v>1.6350159999999998</v>
      </c>
      <c r="AJ184" s="1606"/>
      <c r="AK184" s="1618">
        <v>1.6350159999999998</v>
      </c>
      <c r="AL184" s="1606"/>
      <c r="AM184" s="1618">
        <v>1.6350159999999998</v>
      </c>
      <c r="AN184" s="1606"/>
      <c r="AO184" s="1618">
        <v>1.6350159999999998</v>
      </c>
      <c r="AP184" s="1606"/>
      <c r="AQ184" s="1612"/>
      <c r="AR184" s="1612"/>
      <c r="AS184" s="1613"/>
      <c r="AT184" s="1612"/>
      <c r="AU184" s="1606"/>
      <c r="AV184" s="1606"/>
      <c r="AW184" s="1606"/>
      <c r="AX184" s="1606"/>
      <c r="AY184" s="1606"/>
      <c r="AZ184" s="1606"/>
      <c r="BA184" s="1606"/>
      <c r="BB184" s="1606"/>
      <c r="BC184" s="1606"/>
      <c r="BD184" s="1606"/>
      <c r="BE184" s="1606"/>
      <c r="BF184" s="1606"/>
      <c r="BG184" s="1606"/>
      <c r="BH184" s="1606"/>
      <c r="BI184" s="1612"/>
      <c r="BJ184" s="1612"/>
      <c r="BK184" s="1613"/>
      <c r="BL184" s="1612"/>
      <c r="BM184" s="1612"/>
      <c r="BN184" s="1612"/>
      <c r="BO184" s="1614"/>
      <c r="BP184" s="1614"/>
      <c r="BQ184" s="1614"/>
      <c r="BR184" s="1614"/>
      <c r="BS184" s="1614"/>
      <c r="BT184" s="1614"/>
      <c r="BU184" s="1614"/>
      <c r="BV184" s="1614"/>
      <c r="BW184" s="1614"/>
      <c r="BX184" s="1614"/>
      <c r="BY184" s="1614"/>
      <c r="BZ184" s="1614"/>
      <c r="CA184" s="1612"/>
      <c r="CB184" s="1612"/>
      <c r="CC184" s="1613"/>
      <c r="CD184" s="1612"/>
      <c r="CE184" s="1606"/>
      <c r="CF184" s="1606"/>
      <c r="CG184" s="1606"/>
      <c r="CH184" s="1606"/>
      <c r="CI184" s="1606"/>
      <c r="CJ184" s="1606"/>
      <c r="CK184" s="1606"/>
      <c r="CL184" s="1606"/>
      <c r="CM184" s="1606"/>
      <c r="CN184" s="1606"/>
      <c r="CO184" s="1606"/>
      <c r="CP184" s="1606"/>
      <c r="CQ184" s="1606"/>
      <c r="CR184" s="1606"/>
      <c r="CS184" s="1615"/>
      <c r="CT184" s="1615"/>
      <c r="CU184" s="1615"/>
      <c r="CV184" s="1615"/>
      <c r="CW184" s="1606"/>
      <c r="CX184" s="1606"/>
      <c r="CY184" s="1606"/>
      <c r="CZ184" s="1606"/>
      <c r="DA184" s="1606"/>
      <c r="DB184" s="1606"/>
      <c r="DC184" s="1606"/>
      <c r="DD184" s="1606"/>
      <c r="DE184" s="1606"/>
      <c r="DF184" s="1606"/>
      <c r="DG184" s="1606"/>
      <c r="DH184" s="1606"/>
      <c r="DI184" s="1606"/>
      <c r="DJ184" s="1606"/>
      <c r="DK184" s="1615"/>
      <c r="DL184" s="1615"/>
      <c r="DM184" s="1615"/>
      <c r="DN184" s="1615"/>
      <c r="DO184" s="1617"/>
      <c r="DP184" s="1617"/>
    </row>
    <row r="185" ht="26.25" customHeight="1">
      <c r="A185" s="1604"/>
      <c r="B185" s="1604"/>
      <c r="C185" s="1604"/>
      <c r="D185" s="1604"/>
      <c r="E185" s="1604"/>
      <c r="F185" s="1605"/>
      <c r="G185" s="1606"/>
      <c r="H185" s="1607"/>
      <c r="I185" s="1608"/>
      <c r="J185" s="1609"/>
      <c r="K185" s="1606"/>
      <c r="L185" s="1606"/>
      <c r="M185" s="1606"/>
      <c r="N185" s="1606"/>
      <c r="O185" s="1606"/>
      <c r="P185" s="1606"/>
      <c r="Q185" s="1606"/>
      <c r="R185" s="1606"/>
      <c r="S185" s="1606"/>
      <c r="T185" s="1606"/>
      <c r="U185" s="1606"/>
      <c r="V185" s="1606"/>
      <c r="W185" s="1606"/>
      <c r="X185" s="1606"/>
      <c r="Y185" s="1606"/>
      <c r="Z185" s="1606"/>
      <c r="AA185" s="1607"/>
      <c r="AB185" s="1608"/>
      <c r="AC185" s="1619">
        <v>54500.53333333333</v>
      </c>
      <c r="AD185" s="1606"/>
      <c r="AE185" s="1620">
        <v>54500.53333333333</v>
      </c>
      <c r="AF185" s="1606"/>
      <c r="AG185" s="1620">
        <v>54500.53333333333</v>
      </c>
      <c r="AH185" s="1606"/>
      <c r="AI185" s="1620">
        <v>54500.53333333333</v>
      </c>
      <c r="AJ185" s="1606"/>
      <c r="AK185" s="1620">
        <v>54500.53333333333</v>
      </c>
      <c r="AL185" s="1606"/>
      <c r="AM185" s="1620">
        <v>54500.53333333333</v>
      </c>
      <c r="AN185" s="1606"/>
      <c r="AO185" s="1620">
        <v>54500.53333333333</v>
      </c>
      <c r="AP185" s="1606"/>
      <c r="AQ185" s="1612"/>
      <c r="AR185" s="1612"/>
      <c r="AS185" s="1613"/>
      <c r="AT185" s="1612"/>
      <c r="AU185" s="1606"/>
      <c r="AV185" s="1606"/>
      <c r="AW185" s="1606"/>
      <c r="AX185" s="1606"/>
      <c r="AY185" s="1606"/>
      <c r="AZ185" s="1606"/>
      <c r="BA185" s="1606"/>
      <c r="BB185" s="1606"/>
      <c r="BC185" s="1606"/>
      <c r="BD185" s="1606"/>
      <c r="BE185" s="1606"/>
      <c r="BF185" s="1606"/>
      <c r="BG185" s="1606"/>
      <c r="BH185" s="1606"/>
      <c r="BI185" s="1612"/>
      <c r="BJ185" s="1612"/>
      <c r="BK185" s="1613"/>
      <c r="BL185" s="1612"/>
      <c r="BM185" s="1612"/>
      <c r="BN185" s="1612"/>
      <c r="BO185" s="1614"/>
      <c r="BP185" s="1614"/>
      <c r="BQ185" s="1614"/>
      <c r="BR185" s="1614"/>
      <c r="BS185" s="1614"/>
      <c r="BT185" s="1614"/>
      <c r="BU185" s="1614"/>
      <c r="BV185" s="1614"/>
      <c r="BW185" s="1614"/>
      <c r="BX185" s="1614"/>
      <c r="BY185" s="1614"/>
      <c r="BZ185" s="1614"/>
      <c r="CA185" s="1612"/>
      <c r="CB185" s="1612"/>
      <c r="CC185" s="1613"/>
      <c r="CD185" s="1612"/>
      <c r="CE185" s="1606"/>
      <c r="CF185" s="1606"/>
      <c r="CG185" s="1606"/>
      <c r="CH185" s="1606"/>
      <c r="CI185" s="1606"/>
      <c r="CJ185" s="1606"/>
      <c r="CK185" s="1606"/>
      <c r="CL185" s="1606"/>
      <c r="CM185" s="1606"/>
      <c r="CN185" s="1606"/>
      <c r="CO185" s="1606"/>
      <c r="CP185" s="1606"/>
      <c r="CQ185" s="1606"/>
      <c r="CR185" s="1606"/>
      <c r="CS185" s="1615"/>
      <c r="CT185" s="1615"/>
      <c r="CU185" s="1616"/>
      <c r="CV185" s="1615"/>
      <c r="CW185" s="1606"/>
      <c r="CX185" s="1606"/>
      <c r="CY185" s="1606"/>
      <c r="CZ185" s="1606"/>
      <c r="DA185" s="1606"/>
      <c r="DB185" s="1606"/>
      <c r="DC185" s="1606"/>
      <c r="DD185" s="1606"/>
      <c r="DE185" s="1606"/>
      <c r="DF185" s="1606"/>
      <c r="DG185" s="1606"/>
      <c r="DH185" s="1606"/>
      <c r="DI185" s="1606"/>
      <c r="DJ185" s="1606"/>
      <c r="DK185" s="1615"/>
      <c r="DL185" s="1615"/>
      <c r="DM185" s="1616"/>
      <c r="DN185" s="1615"/>
      <c r="DO185" s="1617"/>
      <c r="DP185" s="1617"/>
    </row>
    <row r="186" ht="26.25" customHeight="1">
      <c r="A186" s="1604"/>
      <c r="B186" s="1604"/>
      <c r="C186" s="1604"/>
      <c r="D186" s="1604"/>
      <c r="E186" s="1604"/>
      <c r="F186" s="1605"/>
      <c r="G186" s="1606"/>
      <c r="H186" s="1607"/>
      <c r="I186" s="1608"/>
      <c r="J186" s="1609"/>
      <c r="K186" s="1606"/>
      <c r="L186" s="1606"/>
      <c r="M186" s="1606"/>
      <c r="N186" s="1606"/>
      <c r="O186" s="1606"/>
      <c r="P186" s="1606"/>
      <c r="Q186" s="1606"/>
      <c r="R186" s="1606"/>
      <c r="S186" s="1606"/>
      <c r="T186" s="1606"/>
      <c r="U186" s="1606"/>
      <c r="V186" s="1606"/>
      <c r="W186" s="1606"/>
      <c r="X186" s="1606"/>
      <c r="Y186" s="1606"/>
      <c r="Z186" s="1606"/>
      <c r="AA186" s="1607"/>
      <c r="AB186" s="1608"/>
      <c r="AC186" s="1621">
        <v>0.8333333333333334</v>
      </c>
      <c r="AD186" s="1606"/>
      <c r="AE186" s="1622">
        <v>0.8333333333333334</v>
      </c>
      <c r="AF186" s="1606"/>
      <c r="AG186" s="1622">
        <v>0.8333333333333334</v>
      </c>
      <c r="AH186" s="1606"/>
      <c r="AI186" s="1622">
        <v>0.8333333333333334</v>
      </c>
      <c r="AJ186" s="1606"/>
      <c r="AK186" s="1622">
        <v>0.8333333333333334</v>
      </c>
      <c r="AL186" s="1606"/>
      <c r="AM186" s="1622">
        <v>0.8333333333333334</v>
      </c>
      <c r="AN186" s="1606"/>
      <c r="AO186" s="1622">
        <v>0.8333333333333334</v>
      </c>
      <c r="AP186" s="1606"/>
      <c r="AQ186" s="1612"/>
      <c r="AR186" s="1612"/>
      <c r="AS186" s="1613"/>
      <c r="AT186" s="1612"/>
      <c r="AU186" s="1606"/>
      <c r="AV186" s="1606"/>
      <c r="AW186" s="1606"/>
      <c r="AX186" s="1606"/>
      <c r="AY186" s="1606"/>
      <c r="AZ186" s="1606"/>
      <c r="BA186" s="1606"/>
      <c r="BB186" s="1606"/>
      <c r="BC186" s="1606"/>
      <c r="BD186" s="1606"/>
      <c r="BE186" s="1606"/>
      <c r="BF186" s="1606"/>
      <c r="BG186" s="1606"/>
      <c r="BH186" s="1606"/>
      <c r="BI186" s="1612"/>
      <c r="BJ186" s="1612"/>
      <c r="BK186" s="1613"/>
      <c r="BL186" s="1612"/>
      <c r="BM186" s="1612"/>
      <c r="BN186" s="1612"/>
      <c r="BO186" s="1614"/>
      <c r="BP186" s="1614"/>
      <c r="BQ186" s="1614"/>
      <c r="BR186" s="1614"/>
      <c r="BS186" s="1614"/>
      <c r="BT186" s="1614"/>
      <c r="BU186" s="1614"/>
      <c r="BV186" s="1614"/>
      <c r="BW186" s="1614"/>
      <c r="BX186" s="1614"/>
      <c r="BY186" s="1614"/>
      <c r="BZ186" s="1614"/>
      <c r="CA186" s="1612"/>
      <c r="CB186" s="1612"/>
      <c r="CC186" s="1613"/>
      <c r="CD186" s="1612"/>
      <c r="CE186" s="1606"/>
      <c r="CF186" s="1606"/>
      <c r="CG186" s="1606"/>
      <c r="CH186" s="1606"/>
      <c r="CI186" s="1606"/>
      <c r="CJ186" s="1606"/>
      <c r="CK186" s="1606"/>
      <c r="CL186" s="1606"/>
      <c r="CM186" s="1606"/>
      <c r="CN186" s="1606"/>
      <c r="CO186" s="1606"/>
      <c r="CP186" s="1606"/>
      <c r="CQ186" s="1606"/>
      <c r="CR186" s="1606"/>
      <c r="CS186" s="1615"/>
      <c r="CT186" s="1615"/>
      <c r="CU186" s="1616"/>
      <c r="CV186" s="1615"/>
      <c r="CW186" s="1606"/>
      <c r="CX186" s="1606"/>
      <c r="CY186" s="1606"/>
      <c r="CZ186" s="1606"/>
      <c r="DA186" s="1606"/>
      <c r="DB186" s="1606"/>
      <c r="DC186" s="1606"/>
      <c r="DD186" s="1606"/>
      <c r="DE186" s="1606"/>
      <c r="DF186" s="1606"/>
      <c r="DG186" s="1606"/>
      <c r="DH186" s="1606"/>
      <c r="DI186" s="1606"/>
      <c r="DJ186" s="1606"/>
      <c r="DK186" s="1615"/>
      <c r="DL186" s="1615"/>
      <c r="DM186" s="1616"/>
      <c r="DN186" s="1615"/>
      <c r="DO186" s="1617"/>
      <c r="DP186" s="1617"/>
    </row>
    <row r="187" ht="26.25" customHeight="1">
      <c r="A187" s="1604"/>
      <c r="B187" s="1604"/>
      <c r="C187" s="1604"/>
      <c r="D187" s="1604"/>
      <c r="E187" s="1604"/>
      <c r="F187" s="1605"/>
      <c r="G187" s="1606"/>
      <c r="H187" s="1607"/>
      <c r="I187" s="1608"/>
      <c r="J187" s="1609"/>
      <c r="K187" s="1606"/>
      <c r="L187" s="1606"/>
      <c r="M187" s="1606"/>
      <c r="N187" s="1606"/>
      <c r="O187" s="1606"/>
      <c r="P187" s="1606"/>
      <c r="Q187" s="1606"/>
      <c r="R187" s="1606"/>
      <c r="S187" s="1606"/>
      <c r="T187" s="1606"/>
      <c r="U187" s="1606"/>
      <c r="V187" s="1606"/>
      <c r="W187" s="1606"/>
      <c r="X187" s="1606"/>
      <c r="Y187" s="1606"/>
      <c r="Z187" s="1606"/>
      <c r="AA187" s="1607"/>
      <c r="AB187" s="1608"/>
      <c r="AC187" s="1619">
        <v>65400.64</v>
      </c>
      <c r="AD187" s="1606"/>
      <c r="AE187" s="1620">
        <v>65400.64</v>
      </c>
      <c r="AF187" s="1606"/>
      <c r="AG187" s="1620">
        <v>65400.64</v>
      </c>
      <c r="AH187" s="1606"/>
      <c r="AI187" s="1620">
        <v>65400.64</v>
      </c>
      <c r="AJ187" s="1606"/>
      <c r="AK187" s="1620">
        <v>65400.64</v>
      </c>
      <c r="AL187" s="1606"/>
      <c r="AM187" s="1620">
        <v>65400.64</v>
      </c>
      <c r="AN187" s="1606"/>
      <c r="AO187" s="1620">
        <v>65400.64</v>
      </c>
      <c r="AP187" s="1606"/>
      <c r="AQ187" s="1612"/>
      <c r="AR187" s="1612"/>
      <c r="AS187" s="1613"/>
      <c r="AT187" s="1612"/>
      <c r="AU187" s="1606"/>
      <c r="AV187" s="1606"/>
      <c r="AW187" s="1606"/>
      <c r="AX187" s="1606"/>
      <c r="AY187" s="1606"/>
      <c r="AZ187" s="1606"/>
      <c r="BA187" s="1606"/>
      <c r="BB187" s="1606"/>
      <c r="BC187" s="1606"/>
      <c r="BD187" s="1606"/>
      <c r="BE187" s="1606"/>
      <c r="BF187" s="1606"/>
      <c r="BG187" s="1606"/>
      <c r="BH187" s="1606"/>
      <c r="BI187" s="1612"/>
      <c r="BJ187" s="1612"/>
      <c r="BK187" s="1613"/>
      <c r="BL187" s="1612"/>
      <c r="BM187" s="1612"/>
      <c r="BN187" s="1612"/>
      <c r="BO187" s="1614"/>
      <c r="BP187" s="1614"/>
      <c r="BQ187" s="1614"/>
      <c r="BR187" s="1614"/>
      <c r="BS187" s="1614"/>
      <c r="BT187" s="1614"/>
      <c r="BU187" s="1614"/>
      <c r="BV187" s="1614"/>
      <c r="BW187" s="1614"/>
      <c r="BX187" s="1614"/>
      <c r="BY187" s="1614"/>
      <c r="BZ187" s="1614"/>
      <c r="CA187" s="1612"/>
      <c r="CB187" s="1612"/>
      <c r="CC187" s="1613"/>
      <c r="CD187" s="1612"/>
      <c r="CE187" s="1606"/>
      <c r="CF187" s="1606"/>
      <c r="CG187" s="1606"/>
      <c r="CH187" s="1606"/>
      <c r="CI187" s="1606"/>
      <c r="CJ187" s="1606"/>
      <c r="CK187" s="1606"/>
      <c r="CL187" s="1606"/>
      <c r="CM187" s="1606"/>
      <c r="CN187" s="1606"/>
      <c r="CO187" s="1606"/>
      <c r="CP187" s="1606"/>
      <c r="CQ187" s="1606"/>
      <c r="CR187" s="1606"/>
      <c r="CS187" s="1615"/>
      <c r="CT187" s="1615"/>
      <c r="CU187" s="1616"/>
      <c r="CV187" s="1615"/>
      <c r="CW187" s="1606"/>
      <c r="CX187" s="1606"/>
      <c r="CY187" s="1606"/>
      <c r="CZ187" s="1606"/>
      <c r="DA187" s="1606"/>
      <c r="DB187" s="1606"/>
      <c r="DC187" s="1606"/>
      <c r="DD187" s="1606"/>
      <c r="DE187" s="1606"/>
      <c r="DF187" s="1606"/>
      <c r="DG187" s="1606"/>
      <c r="DH187" s="1606"/>
      <c r="DI187" s="1606"/>
      <c r="DJ187" s="1606"/>
      <c r="DK187" s="1615"/>
      <c r="DL187" s="1615"/>
      <c r="DM187" s="1616"/>
      <c r="DN187" s="1615"/>
      <c r="DO187" s="1617"/>
      <c r="DP187" s="1617"/>
    </row>
    <row r="188" ht="26.25" customHeight="1">
      <c r="A188" s="1604"/>
      <c r="B188" s="1604"/>
      <c r="C188" s="1604"/>
      <c r="D188" s="1604"/>
      <c r="E188" s="1604"/>
      <c r="F188" s="1605"/>
      <c r="G188" s="1606"/>
      <c r="H188" s="1607"/>
      <c r="I188" s="1608"/>
      <c r="J188" s="1609"/>
      <c r="K188" s="1606"/>
      <c r="L188" s="1606"/>
      <c r="M188" s="1606"/>
      <c r="N188" s="1606"/>
      <c r="O188" s="1606"/>
      <c r="P188" s="1606"/>
      <c r="Q188" s="1606"/>
      <c r="R188" s="1606"/>
      <c r="S188" s="1606"/>
      <c r="T188" s="1606"/>
      <c r="U188" s="1606"/>
      <c r="V188" s="1606"/>
      <c r="W188" s="1606"/>
      <c r="X188" s="1606"/>
      <c r="Y188" s="1606"/>
      <c r="Z188" s="1606"/>
      <c r="AA188" s="1607"/>
      <c r="AB188" s="1608"/>
      <c r="AC188" s="1621">
        <v>0.6333333333333333</v>
      </c>
      <c r="AD188" s="1606"/>
      <c r="AE188" s="1622">
        <v>0.6333333333333333</v>
      </c>
      <c r="AF188" s="1606"/>
      <c r="AG188" s="1622">
        <v>0.6333333333333333</v>
      </c>
      <c r="AH188" s="1606"/>
      <c r="AI188" s="1622">
        <v>0.6333333333333333</v>
      </c>
      <c r="AJ188" s="1606"/>
      <c r="AK188" s="1622">
        <v>0.6333333333333333</v>
      </c>
      <c r="AL188" s="1606"/>
      <c r="AM188" s="1622">
        <v>0.6333333333333333</v>
      </c>
      <c r="AN188" s="1606"/>
      <c r="AO188" s="1622">
        <v>0.6333333333333333</v>
      </c>
      <c r="AP188" s="1606"/>
      <c r="AQ188" s="1612"/>
      <c r="AR188" s="1612"/>
      <c r="AS188" s="1613"/>
      <c r="AT188" s="1612"/>
      <c r="AU188" s="1606"/>
      <c r="AV188" s="1606"/>
      <c r="AW188" s="1606"/>
      <c r="AX188" s="1606"/>
      <c r="AY188" s="1606"/>
      <c r="AZ188" s="1606"/>
      <c r="BA188" s="1606"/>
      <c r="BB188" s="1606"/>
      <c r="BC188" s="1606"/>
      <c r="BD188" s="1606"/>
      <c r="BE188" s="1606"/>
      <c r="BF188" s="1606"/>
      <c r="BG188" s="1606"/>
      <c r="BH188" s="1606"/>
      <c r="BI188" s="1612"/>
      <c r="BJ188" s="1612"/>
      <c r="BK188" s="1613"/>
      <c r="BL188" s="1612"/>
      <c r="BM188" s="1612"/>
      <c r="BN188" s="1612"/>
      <c r="BO188" s="1614"/>
      <c r="BP188" s="1614"/>
      <c r="BQ188" s="1614"/>
      <c r="BR188" s="1614"/>
      <c r="BS188" s="1614"/>
      <c r="BT188" s="1614"/>
      <c r="BU188" s="1614"/>
      <c r="BV188" s="1614"/>
      <c r="BW188" s="1614"/>
      <c r="BX188" s="1614"/>
      <c r="BY188" s="1614"/>
      <c r="BZ188" s="1614"/>
      <c r="CA188" s="1612"/>
      <c r="CB188" s="1612"/>
      <c r="CC188" s="1613"/>
      <c r="CD188" s="1612"/>
      <c r="CE188" s="1606"/>
      <c r="CF188" s="1606"/>
      <c r="CG188" s="1606"/>
      <c r="CH188" s="1606"/>
      <c r="CI188" s="1606"/>
      <c r="CJ188" s="1606"/>
      <c r="CK188" s="1606"/>
      <c r="CL188" s="1606"/>
      <c r="CM188" s="1606"/>
      <c r="CN188" s="1606"/>
      <c r="CO188" s="1606"/>
      <c r="CP188" s="1606"/>
      <c r="CQ188" s="1606"/>
      <c r="CR188" s="1606"/>
      <c r="CS188" s="1615"/>
      <c r="CT188" s="1615"/>
      <c r="CU188" s="1616"/>
      <c r="CV188" s="1615"/>
      <c r="CW188" s="1606"/>
      <c r="CX188" s="1606"/>
      <c r="CY188" s="1606"/>
      <c r="CZ188" s="1606"/>
      <c r="DA188" s="1606"/>
      <c r="DB188" s="1606"/>
      <c r="DC188" s="1606"/>
      <c r="DD188" s="1606"/>
      <c r="DE188" s="1606"/>
      <c r="DF188" s="1606"/>
      <c r="DG188" s="1606"/>
      <c r="DH188" s="1606"/>
      <c r="DI188" s="1606"/>
      <c r="DJ188" s="1606"/>
      <c r="DK188" s="1615"/>
      <c r="DL188" s="1615"/>
      <c r="DM188" s="1616"/>
      <c r="DN188" s="1615"/>
      <c r="DO188" s="1617"/>
      <c r="DP188" s="1617"/>
    </row>
    <row r="189" ht="26.25" customHeight="1">
      <c r="A189" s="1604"/>
      <c r="B189" s="1604"/>
      <c r="C189" s="1604"/>
      <c r="D189" s="1604"/>
      <c r="E189" s="1604"/>
      <c r="F189" s="1605"/>
      <c r="G189" s="1606"/>
      <c r="H189" s="1607"/>
      <c r="I189" s="1608"/>
      <c r="J189" s="1609"/>
      <c r="K189" s="1606"/>
      <c r="L189" s="1606"/>
      <c r="M189" s="1606"/>
      <c r="N189" s="1606"/>
      <c r="O189" s="1606"/>
      <c r="P189" s="1606"/>
      <c r="Q189" s="1606"/>
      <c r="R189" s="1606"/>
      <c r="S189" s="1606"/>
      <c r="T189" s="1606"/>
      <c r="U189" s="1606"/>
      <c r="V189" s="1606"/>
      <c r="W189" s="1606"/>
      <c r="X189" s="1606"/>
      <c r="Y189" s="1606"/>
      <c r="Z189" s="1606"/>
      <c r="AA189" s="1607"/>
      <c r="AB189" s="1608"/>
      <c r="AC189" s="1607">
        <v>0.7599999999999999</v>
      </c>
      <c r="AD189" s="1606"/>
      <c r="AE189" s="1618">
        <v>0.7599999999999999</v>
      </c>
      <c r="AF189" s="1606"/>
      <c r="AG189" s="1618">
        <v>0.7599999999999999</v>
      </c>
      <c r="AH189" s="1606"/>
      <c r="AI189" s="1618">
        <v>0.7599999999999999</v>
      </c>
      <c r="AJ189" s="1606"/>
      <c r="AK189" s="1618">
        <v>0.7599999999999999</v>
      </c>
      <c r="AL189" s="1606"/>
      <c r="AM189" s="1618">
        <v>0.7599999999999999</v>
      </c>
      <c r="AN189" s="1606"/>
      <c r="AO189" s="1618">
        <v>0.7599999999999999</v>
      </c>
      <c r="AP189" s="1606"/>
      <c r="AQ189" s="1612"/>
      <c r="AR189" s="1612"/>
      <c r="AS189" s="1613"/>
      <c r="AT189" s="1612"/>
      <c r="AU189" s="1606"/>
      <c r="AV189" s="1606"/>
      <c r="AW189" s="1606"/>
      <c r="AX189" s="1606"/>
      <c r="AY189" s="1606"/>
      <c r="AZ189" s="1606"/>
      <c r="BA189" s="1606"/>
      <c r="BB189" s="1606"/>
      <c r="BC189" s="1606"/>
      <c r="BD189" s="1606"/>
      <c r="BE189" s="1606"/>
      <c r="BF189" s="1606"/>
      <c r="BG189" s="1606"/>
      <c r="BH189" s="1606"/>
      <c r="BI189" s="1612"/>
      <c r="BJ189" s="1612"/>
      <c r="BK189" s="1613"/>
      <c r="BL189" s="1612"/>
      <c r="BM189" s="1612"/>
      <c r="BN189" s="1612"/>
      <c r="BO189" s="1614"/>
      <c r="BP189" s="1614"/>
      <c r="BQ189" s="1614"/>
      <c r="BR189" s="1614"/>
      <c r="BS189" s="1614"/>
      <c r="BT189" s="1614"/>
      <c r="BU189" s="1614"/>
      <c r="BV189" s="1614"/>
      <c r="BW189" s="1614"/>
      <c r="BX189" s="1614"/>
      <c r="BY189" s="1614"/>
      <c r="BZ189" s="1614"/>
      <c r="CA189" s="1612"/>
      <c r="CB189" s="1612"/>
      <c r="CC189" s="1613"/>
      <c r="CD189" s="1612"/>
      <c r="CE189" s="1606"/>
      <c r="CF189" s="1606"/>
      <c r="CG189" s="1606"/>
      <c r="CH189" s="1606"/>
      <c r="CI189" s="1606"/>
      <c r="CJ189" s="1606"/>
      <c r="CK189" s="1606"/>
      <c r="CL189" s="1606"/>
      <c r="CM189" s="1606"/>
      <c r="CN189" s="1606"/>
      <c r="CO189" s="1606"/>
      <c r="CP189" s="1606"/>
      <c r="CQ189" s="1606"/>
      <c r="CR189" s="1606"/>
      <c r="CS189" s="1615"/>
      <c r="CT189" s="1615"/>
      <c r="CU189" s="1616"/>
      <c r="CV189" s="1615"/>
      <c r="CW189" s="1606"/>
      <c r="CX189" s="1606"/>
      <c r="CY189" s="1606"/>
      <c r="CZ189" s="1606"/>
      <c r="DA189" s="1606"/>
      <c r="DB189" s="1606"/>
      <c r="DC189" s="1606"/>
      <c r="DD189" s="1606"/>
      <c r="DE189" s="1606"/>
      <c r="DF189" s="1606"/>
      <c r="DG189" s="1606"/>
      <c r="DH189" s="1606"/>
      <c r="DI189" s="1606"/>
      <c r="DJ189" s="1606"/>
      <c r="DK189" s="1615"/>
      <c r="DL189" s="1615"/>
      <c r="DM189" s="1616"/>
      <c r="DN189" s="1615"/>
      <c r="DO189" s="1617"/>
      <c r="DP189" s="1617"/>
    </row>
    <row r="190" ht="26.25" customHeight="1">
      <c r="A190" s="1604"/>
      <c r="B190" s="1604"/>
      <c r="C190" s="1604"/>
      <c r="D190" s="1604"/>
      <c r="E190" s="1604"/>
      <c r="F190" s="1605"/>
      <c r="G190" s="1606"/>
      <c r="H190" s="1607"/>
      <c r="I190" s="1608"/>
      <c r="J190" s="1609"/>
      <c r="K190" s="1606"/>
      <c r="L190" s="1606"/>
      <c r="M190" s="1606"/>
      <c r="N190" s="1606"/>
      <c r="O190" s="1606"/>
      <c r="P190" s="1606"/>
      <c r="Q190" s="1606"/>
      <c r="R190" s="1606"/>
      <c r="S190" s="1606"/>
      <c r="T190" s="1606"/>
      <c r="U190" s="1606"/>
      <c r="V190" s="1606"/>
      <c r="W190" s="1606"/>
      <c r="X190" s="1606"/>
      <c r="Y190" s="1606"/>
      <c r="Z190" s="1606"/>
      <c r="AA190" s="1607"/>
      <c r="AB190" s="1608"/>
      <c r="AC190" s="1619">
        <v>86053.47368421053</v>
      </c>
      <c r="AD190" s="1606"/>
      <c r="AE190" s="1620">
        <v>86053.47368421053</v>
      </c>
      <c r="AF190" s="1606"/>
      <c r="AG190" s="1620">
        <v>86053.47368421053</v>
      </c>
      <c r="AH190" s="1606"/>
      <c r="AI190" s="1620">
        <v>86053.47368421053</v>
      </c>
      <c r="AJ190" s="1606"/>
      <c r="AK190" s="1620">
        <v>86053.47368421053</v>
      </c>
      <c r="AL190" s="1606"/>
      <c r="AM190" s="1620">
        <v>86053.47368421053</v>
      </c>
      <c r="AN190" s="1606"/>
      <c r="AO190" s="1620">
        <v>86053.47368421053</v>
      </c>
      <c r="AP190" s="1606"/>
      <c r="AQ190" s="1612"/>
      <c r="AR190" s="1612"/>
      <c r="AS190" s="1613"/>
      <c r="AT190" s="1612"/>
      <c r="AU190" s="1606"/>
      <c r="AV190" s="1606"/>
      <c r="AW190" s="1606"/>
      <c r="AX190" s="1606"/>
      <c r="AY190" s="1606"/>
      <c r="AZ190" s="1606"/>
      <c r="BA190" s="1606"/>
      <c r="BB190" s="1606"/>
      <c r="BC190" s="1606"/>
      <c r="BD190" s="1606"/>
      <c r="BE190" s="1606"/>
      <c r="BF190" s="1606"/>
      <c r="BG190" s="1606"/>
      <c r="BH190" s="1606"/>
      <c r="BI190" s="1612"/>
      <c r="BJ190" s="1612"/>
      <c r="BK190" s="1613"/>
      <c r="BL190" s="1612"/>
      <c r="BM190" s="1612"/>
      <c r="BN190" s="1612"/>
      <c r="BO190" s="1614"/>
      <c r="BP190" s="1614"/>
      <c r="BQ190" s="1614"/>
      <c r="BR190" s="1614"/>
      <c r="BS190" s="1614"/>
      <c r="BT190" s="1614"/>
      <c r="BU190" s="1614"/>
      <c r="BV190" s="1614"/>
      <c r="BW190" s="1614"/>
      <c r="BX190" s="1614"/>
      <c r="BY190" s="1614"/>
      <c r="BZ190" s="1614"/>
      <c r="CA190" s="1612"/>
      <c r="CB190" s="1612"/>
      <c r="CC190" s="1613"/>
      <c r="CD190" s="1612"/>
      <c r="CE190" s="1606"/>
      <c r="CF190" s="1606"/>
      <c r="CG190" s="1606"/>
      <c r="CH190" s="1606"/>
      <c r="CI190" s="1606"/>
      <c r="CJ190" s="1606"/>
      <c r="CK190" s="1606"/>
      <c r="CL190" s="1606"/>
      <c r="CM190" s="1606"/>
      <c r="CN190" s="1606"/>
      <c r="CO190" s="1606"/>
      <c r="CP190" s="1606"/>
      <c r="CQ190" s="1606"/>
      <c r="CR190" s="1606"/>
      <c r="CS190" s="1615"/>
      <c r="CT190" s="1615"/>
      <c r="CU190" s="1616"/>
      <c r="CV190" s="1615"/>
      <c r="CW190" s="1606"/>
      <c r="CX190" s="1606"/>
      <c r="CY190" s="1606"/>
      <c r="CZ190" s="1606"/>
      <c r="DA190" s="1606"/>
      <c r="DB190" s="1606"/>
      <c r="DC190" s="1606"/>
      <c r="DD190" s="1606"/>
      <c r="DE190" s="1606"/>
      <c r="DF190" s="1606"/>
      <c r="DG190" s="1606"/>
      <c r="DH190" s="1606"/>
      <c r="DI190" s="1606"/>
      <c r="DJ190" s="1606"/>
      <c r="DK190" s="1615"/>
      <c r="DL190" s="1615"/>
      <c r="DM190" s="1616"/>
      <c r="DN190" s="1615"/>
      <c r="DO190" s="1617"/>
      <c r="DP190" s="1617"/>
    </row>
    <row r="191" ht="26.25" customHeight="1">
      <c r="A191" s="1604"/>
      <c r="B191" s="1604"/>
      <c r="C191" s="1604"/>
      <c r="D191" s="1604"/>
      <c r="E191" s="1604"/>
      <c r="F191" s="1605"/>
      <c r="G191" s="1606"/>
      <c r="H191" s="1607"/>
      <c r="I191" s="1608"/>
      <c r="J191" s="1609"/>
      <c r="K191" s="1606"/>
      <c r="L191" s="1606"/>
      <c r="M191" s="1606"/>
      <c r="N191" s="1606"/>
      <c r="O191" s="1606"/>
      <c r="P191" s="1606"/>
      <c r="Q191" s="1606"/>
      <c r="R191" s="1606"/>
      <c r="S191" s="1606"/>
      <c r="T191" s="1606"/>
      <c r="U191" s="1606"/>
      <c r="V191" s="1606"/>
      <c r="W191" s="1606"/>
      <c r="X191" s="1606"/>
      <c r="Y191" s="1606"/>
      <c r="Z191" s="1606"/>
      <c r="AA191" s="1607"/>
      <c r="AB191" s="1608"/>
      <c r="AC191" s="1621">
        <v>0.5333333333333333</v>
      </c>
      <c r="AD191" s="1606"/>
      <c r="AE191" s="1622">
        <v>0.5333333333333333</v>
      </c>
      <c r="AF191" s="1606"/>
      <c r="AG191" s="1622">
        <v>0.5333333333333333</v>
      </c>
      <c r="AH191" s="1606"/>
      <c r="AI191" s="1622">
        <v>0.5333333333333333</v>
      </c>
      <c r="AJ191" s="1606"/>
      <c r="AK191" s="1622">
        <v>0.5333333333333333</v>
      </c>
      <c r="AL191" s="1606"/>
      <c r="AM191" s="1622">
        <v>0.5333333333333333</v>
      </c>
      <c r="AN191" s="1606"/>
      <c r="AO191" s="1622">
        <v>0.5333333333333333</v>
      </c>
      <c r="AP191" s="1606"/>
      <c r="AQ191" s="1612"/>
      <c r="AR191" s="1612"/>
      <c r="AS191" s="1613"/>
      <c r="AT191" s="1612"/>
      <c r="AU191" s="1606"/>
      <c r="AV191" s="1606"/>
      <c r="AW191" s="1606"/>
      <c r="AX191" s="1606"/>
      <c r="AY191" s="1606"/>
      <c r="AZ191" s="1606"/>
      <c r="BA191" s="1606"/>
      <c r="BB191" s="1606"/>
      <c r="BC191" s="1606"/>
      <c r="BD191" s="1606"/>
      <c r="BE191" s="1606"/>
      <c r="BF191" s="1606"/>
      <c r="BG191" s="1606"/>
      <c r="BH191" s="1606"/>
      <c r="BI191" s="1612"/>
      <c r="BJ191" s="1612"/>
      <c r="BK191" s="1613"/>
      <c r="BL191" s="1612"/>
      <c r="BM191" s="1612"/>
      <c r="BN191" s="1612"/>
      <c r="BO191" s="1614"/>
      <c r="BP191" s="1614"/>
      <c r="BQ191" s="1614"/>
      <c r="BR191" s="1614"/>
      <c r="BS191" s="1614"/>
      <c r="BT191" s="1614"/>
      <c r="BU191" s="1614"/>
      <c r="BV191" s="1614"/>
      <c r="BW191" s="1614"/>
      <c r="BX191" s="1614"/>
      <c r="BY191" s="1614"/>
      <c r="BZ191" s="1614"/>
      <c r="CA191" s="1612"/>
      <c r="CB191" s="1612"/>
      <c r="CC191" s="1613"/>
      <c r="CD191" s="1612"/>
      <c r="CE191" s="1606"/>
      <c r="CF191" s="1606"/>
      <c r="CG191" s="1606"/>
      <c r="CH191" s="1606"/>
      <c r="CI191" s="1606"/>
      <c r="CJ191" s="1606"/>
      <c r="CK191" s="1606"/>
      <c r="CL191" s="1606"/>
      <c r="CM191" s="1606"/>
      <c r="CN191" s="1606"/>
      <c r="CO191" s="1606"/>
      <c r="CP191" s="1606"/>
      <c r="CQ191" s="1606"/>
      <c r="CR191" s="1606"/>
      <c r="CS191" s="1615"/>
      <c r="CT191" s="1615"/>
      <c r="CU191" s="1616"/>
      <c r="CV191" s="1615"/>
      <c r="CW191" s="1606"/>
      <c r="CX191" s="1606"/>
      <c r="CY191" s="1606"/>
      <c r="CZ191" s="1606"/>
      <c r="DA191" s="1606"/>
      <c r="DB191" s="1606"/>
      <c r="DC191" s="1606"/>
      <c r="DD191" s="1606"/>
      <c r="DE191" s="1606"/>
      <c r="DF191" s="1606"/>
      <c r="DG191" s="1606"/>
      <c r="DH191" s="1606"/>
      <c r="DI191" s="1606"/>
      <c r="DJ191" s="1606"/>
      <c r="DK191" s="1615"/>
      <c r="DL191" s="1615"/>
      <c r="DM191" s="1616"/>
      <c r="DN191" s="1615"/>
      <c r="DO191" s="1617"/>
      <c r="DP191" s="1617"/>
    </row>
    <row r="192" ht="26.25" customHeight="1">
      <c r="A192" s="1604"/>
      <c r="B192" s="1604"/>
      <c r="C192" s="1604"/>
      <c r="D192" s="1604"/>
      <c r="E192" s="1604"/>
      <c r="F192" s="1605"/>
      <c r="G192" s="1606"/>
      <c r="H192" s="1607"/>
      <c r="I192" s="1608"/>
      <c r="J192" s="1609"/>
      <c r="K192" s="1606"/>
      <c r="L192" s="1606"/>
      <c r="M192" s="1606"/>
      <c r="N192" s="1606"/>
      <c r="O192" s="1606"/>
      <c r="P192" s="1606"/>
      <c r="Q192" s="1606"/>
      <c r="R192" s="1606"/>
      <c r="S192" s="1606"/>
      <c r="T192" s="1606"/>
      <c r="U192" s="1606"/>
      <c r="V192" s="1606"/>
      <c r="W192" s="1606"/>
      <c r="X192" s="1606"/>
      <c r="Y192" s="1606"/>
      <c r="Z192" s="1606"/>
      <c r="AA192" s="1607"/>
      <c r="AB192" s="1608"/>
      <c r="AC192" s="1607">
        <v>0.8421052631578948</v>
      </c>
      <c r="AD192" s="1606"/>
      <c r="AE192" s="1618">
        <v>0.8421052631578948</v>
      </c>
      <c r="AF192" s="1606"/>
      <c r="AG192" s="1618">
        <v>0.8421052631578948</v>
      </c>
      <c r="AH192" s="1606"/>
      <c r="AI192" s="1618">
        <v>0.8421052631578948</v>
      </c>
      <c r="AJ192" s="1606"/>
      <c r="AK192" s="1618">
        <v>0.8421052631578948</v>
      </c>
      <c r="AL192" s="1606"/>
      <c r="AM192" s="1618">
        <v>0.8421052631578948</v>
      </c>
      <c r="AN192" s="1606"/>
      <c r="AO192" s="1618">
        <v>0.8421052631578948</v>
      </c>
      <c r="AP192" s="1606"/>
      <c r="AQ192" s="1612"/>
      <c r="AR192" s="1612"/>
      <c r="AS192" s="1613"/>
      <c r="AT192" s="1612"/>
      <c r="AU192" s="1606"/>
      <c r="AV192" s="1606"/>
      <c r="AW192" s="1606"/>
      <c r="AX192" s="1606"/>
      <c r="AY192" s="1606"/>
      <c r="AZ192" s="1606"/>
      <c r="BA192" s="1606"/>
      <c r="BB192" s="1606"/>
      <c r="BC192" s="1606"/>
      <c r="BD192" s="1606"/>
      <c r="BE192" s="1606"/>
      <c r="BF192" s="1606"/>
      <c r="BG192" s="1606"/>
      <c r="BH192" s="1606"/>
      <c r="BI192" s="1612"/>
      <c r="BJ192" s="1612"/>
      <c r="BK192" s="1613"/>
      <c r="BL192" s="1612"/>
      <c r="BM192" s="1612"/>
      <c r="BN192" s="1612"/>
      <c r="BO192" s="1614"/>
      <c r="BP192" s="1614"/>
      <c r="BQ192" s="1614"/>
      <c r="BR192" s="1614"/>
      <c r="BS192" s="1614"/>
      <c r="BT192" s="1614"/>
      <c r="BU192" s="1614"/>
      <c r="BV192" s="1614"/>
      <c r="BW192" s="1614"/>
      <c r="BX192" s="1614"/>
      <c r="BY192" s="1614"/>
      <c r="BZ192" s="1614"/>
      <c r="CA192" s="1612"/>
      <c r="CB192" s="1612"/>
      <c r="CC192" s="1613"/>
      <c r="CD192" s="1612"/>
      <c r="CE192" s="1606"/>
      <c r="CF192" s="1606"/>
      <c r="CG192" s="1606"/>
      <c r="CH192" s="1606"/>
      <c r="CI192" s="1606"/>
      <c r="CJ192" s="1606"/>
      <c r="CK192" s="1606"/>
      <c r="CL192" s="1606"/>
      <c r="CM192" s="1606"/>
      <c r="CN192" s="1606"/>
      <c r="CO192" s="1606"/>
      <c r="CP192" s="1606"/>
      <c r="CQ192" s="1606"/>
      <c r="CR192" s="1606"/>
      <c r="CS192" s="1615"/>
      <c r="CT192" s="1615"/>
      <c r="CU192" s="1616"/>
      <c r="CV192" s="1615"/>
      <c r="CW192" s="1606"/>
      <c r="CX192" s="1606"/>
      <c r="CY192" s="1606"/>
      <c r="CZ192" s="1606"/>
      <c r="DA192" s="1606"/>
      <c r="DB192" s="1606"/>
      <c r="DC192" s="1606"/>
      <c r="DD192" s="1606"/>
      <c r="DE192" s="1606"/>
      <c r="DF192" s="1606"/>
      <c r="DG192" s="1606"/>
      <c r="DH192" s="1606"/>
      <c r="DI192" s="1606"/>
      <c r="DJ192" s="1606"/>
      <c r="DK192" s="1615"/>
      <c r="DL192" s="1615"/>
      <c r="DM192" s="1616"/>
      <c r="DN192" s="1615"/>
      <c r="DO192" s="1617"/>
      <c r="DP192" s="1617"/>
    </row>
    <row r="193" ht="26.25" customHeight="1">
      <c r="A193" s="1604"/>
      <c r="B193" s="1604"/>
      <c r="C193" s="1604"/>
      <c r="D193" s="1604"/>
      <c r="E193" s="1604"/>
      <c r="F193" s="1605"/>
      <c r="G193" s="1606"/>
      <c r="H193" s="1607"/>
      <c r="I193" s="1608"/>
      <c r="J193" s="1609"/>
      <c r="K193" s="1606"/>
      <c r="L193" s="1606"/>
      <c r="M193" s="1606"/>
      <c r="N193" s="1606"/>
      <c r="O193" s="1606"/>
      <c r="P193" s="1606"/>
      <c r="Q193" s="1606"/>
      <c r="R193" s="1606"/>
      <c r="S193" s="1606"/>
      <c r="T193" s="1606"/>
      <c r="U193" s="1606"/>
      <c r="V193" s="1606"/>
      <c r="W193" s="1606"/>
      <c r="X193" s="1606"/>
      <c r="Y193" s="1606"/>
      <c r="Z193" s="1606"/>
      <c r="AA193" s="1607"/>
      <c r="AB193" s="1608"/>
      <c r="AC193" s="1621">
        <v>0.03333333333333333</v>
      </c>
      <c r="AD193" s="1606"/>
      <c r="AE193" s="1622">
        <v>0.03333333333333333</v>
      </c>
      <c r="AF193" s="1606"/>
      <c r="AG193" s="1622">
        <v>0.03333333333333333</v>
      </c>
      <c r="AH193" s="1606"/>
      <c r="AI193" s="1622">
        <v>0.03333333333333333</v>
      </c>
      <c r="AJ193" s="1606"/>
      <c r="AK193" s="1622">
        <v>0.03333333333333333</v>
      </c>
      <c r="AL193" s="1606"/>
      <c r="AM193" s="1622">
        <v>0.03333333333333333</v>
      </c>
      <c r="AN193" s="1606"/>
      <c r="AO193" s="1622">
        <v>0.03333333333333333</v>
      </c>
      <c r="AP193" s="1606"/>
      <c r="AQ193" s="1612"/>
      <c r="AR193" s="1612"/>
      <c r="AS193" s="1613"/>
      <c r="AT193" s="1612"/>
      <c r="AU193" s="1606"/>
      <c r="AV193" s="1606"/>
      <c r="AW193" s="1606"/>
      <c r="AX193" s="1606"/>
      <c r="AY193" s="1606"/>
      <c r="AZ193" s="1606"/>
      <c r="BA193" s="1606"/>
      <c r="BB193" s="1606"/>
      <c r="BC193" s="1606"/>
      <c r="BD193" s="1606"/>
      <c r="BE193" s="1606"/>
      <c r="BF193" s="1606"/>
      <c r="BG193" s="1606"/>
      <c r="BH193" s="1606"/>
      <c r="BI193" s="1612"/>
      <c r="BJ193" s="1612"/>
      <c r="BK193" s="1613"/>
      <c r="BL193" s="1612"/>
      <c r="BM193" s="1612"/>
      <c r="BN193" s="1612"/>
      <c r="BO193" s="1614"/>
      <c r="BP193" s="1614"/>
      <c r="BQ193" s="1614"/>
      <c r="BR193" s="1614"/>
      <c r="BS193" s="1614"/>
      <c r="BT193" s="1614"/>
      <c r="BU193" s="1614"/>
      <c r="BV193" s="1614"/>
      <c r="BW193" s="1614"/>
      <c r="BX193" s="1614"/>
      <c r="BY193" s="1614"/>
      <c r="BZ193" s="1614"/>
      <c r="CA193" s="1612"/>
      <c r="CB193" s="1612"/>
      <c r="CC193" s="1613"/>
      <c r="CD193" s="1612"/>
      <c r="CE193" s="1606"/>
      <c r="CF193" s="1606"/>
      <c r="CG193" s="1606"/>
      <c r="CH193" s="1606"/>
      <c r="CI193" s="1606"/>
      <c r="CJ193" s="1606"/>
      <c r="CK193" s="1606"/>
      <c r="CL193" s="1606"/>
      <c r="CM193" s="1606"/>
      <c r="CN193" s="1606"/>
      <c r="CO193" s="1606"/>
      <c r="CP193" s="1606"/>
      <c r="CQ193" s="1606"/>
      <c r="CR193" s="1606"/>
      <c r="CS193" s="1615"/>
      <c r="CT193" s="1615"/>
      <c r="CU193" s="1616"/>
      <c r="CV193" s="1615"/>
      <c r="CW193" s="1606"/>
      <c r="CX193" s="1606"/>
      <c r="CY193" s="1606"/>
      <c r="CZ193" s="1606"/>
      <c r="DA193" s="1606"/>
      <c r="DB193" s="1606"/>
      <c r="DC193" s="1606"/>
      <c r="DD193" s="1606"/>
      <c r="DE193" s="1606"/>
      <c r="DF193" s="1606"/>
      <c r="DG193" s="1606"/>
      <c r="DH193" s="1606"/>
      <c r="DI193" s="1606"/>
      <c r="DJ193" s="1606"/>
      <c r="DK193" s="1615"/>
      <c r="DL193" s="1615"/>
      <c r="DM193" s="1616"/>
      <c r="DN193" s="1615"/>
      <c r="DO193" s="1617"/>
      <c r="DP193" s="1617"/>
    </row>
    <row r="194" ht="26.25" customHeight="1">
      <c r="A194" s="1604"/>
      <c r="B194" s="1604"/>
      <c r="C194" s="1604"/>
      <c r="D194" s="1604"/>
      <c r="E194" s="1604"/>
      <c r="F194" s="1605"/>
      <c r="G194" s="1606"/>
      <c r="H194" s="1607"/>
      <c r="I194" s="1608"/>
      <c r="J194" s="1609"/>
      <c r="K194" s="1606"/>
      <c r="L194" s="1606"/>
      <c r="M194" s="1606"/>
      <c r="N194" s="1606"/>
      <c r="O194" s="1606"/>
      <c r="P194" s="1606"/>
      <c r="Q194" s="1606"/>
      <c r="R194" s="1606"/>
      <c r="S194" s="1606"/>
      <c r="T194" s="1606"/>
      <c r="U194" s="1606"/>
      <c r="V194" s="1606"/>
      <c r="W194" s="1606"/>
      <c r="X194" s="1606"/>
      <c r="Y194" s="1606"/>
      <c r="Z194" s="1606"/>
      <c r="AA194" s="1607"/>
      <c r="AB194" s="1608"/>
      <c r="AC194" s="1619">
        <v>33333.333333333336</v>
      </c>
      <c r="AD194" s="1606"/>
      <c r="AE194" s="1620">
        <v>33333.333333333336</v>
      </c>
      <c r="AF194" s="1606"/>
      <c r="AG194" s="1620">
        <v>33333.333333333336</v>
      </c>
      <c r="AH194" s="1606"/>
      <c r="AI194" s="1620">
        <v>33333.333333333336</v>
      </c>
      <c r="AJ194" s="1606"/>
      <c r="AK194" s="1620">
        <v>33333.333333333336</v>
      </c>
      <c r="AL194" s="1606"/>
      <c r="AM194" s="1620">
        <v>33333.333333333336</v>
      </c>
      <c r="AN194" s="1606"/>
      <c r="AO194" s="1620">
        <v>33333.333333333336</v>
      </c>
      <c r="AP194" s="1606"/>
      <c r="AQ194" s="1612"/>
      <c r="AR194" s="1612"/>
      <c r="AS194" s="1613"/>
      <c r="AT194" s="1612"/>
      <c r="AU194" s="1606"/>
      <c r="AV194" s="1606"/>
      <c r="AW194" s="1606"/>
      <c r="AX194" s="1606"/>
      <c r="AY194" s="1606"/>
      <c r="AZ194" s="1606"/>
      <c r="BA194" s="1606"/>
      <c r="BB194" s="1606"/>
      <c r="BC194" s="1606"/>
      <c r="BD194" s="1606"/>
      <c r="BE194" s="1606"/>
      <c r="BF194" s="1606"/>
      <c r="BG194" s="1606"/>
      <c r="BH194" s="1606"/>
      <c r="BI194" s="1612"/>
      <c r="BJ194" s="1612"/>
      <c r="BK194" s="1613"/>
      <c r="BL194" s="1612"/>
      <c r="BM194" s="1612"/>
      <c r="BN194" s="1612"/>
      <c r="BO194" s="1614"/>
      <c r="BP194" s="1614"/>
      <c r="BQ194" s="1614"/>
      <c r="BR194" s="1614"/>
      <c r="BS194" s="1614"/>
      <c r="BT194" s="1614"/>
      <c r="BU194" s="1614"/>
      <c r="BV194" s="1614"/>
      <c r="BW194" s="1614"/>
      <c r="BX194" s="1614"/>
      <c r="BY194" s="1614"/>
      <c r="BZ194" s="1614"/>
      <c r="CA194" s="1612"/>
      <c r="CB194" s="1612"/>
      <c r="CC194" s="1613"/>
      <c r="CD194" s="1612"/>
      <c r="CE194" s="1606"/>
      <c r="CF194" s="1606"/>
      <c r="CG194" s="1606"/>
      <c r="CH194" s="1606"/>
      <c r="CI194" s="1606"/>
      <c r="CJ194" s="1606"/>
      <c r="CK194" s="1606"/>
      <c r="CL194" s="1606"/>
      <c r="CM194" s="1606"/>
      <c r="CN194" s="1606"/>
      <c r="CO194" s="1606"/>
      <c r="CP194" s="1606"/>
      <c r="CQ194" s="1606"/>
      <c r="CR194" s="1606"/>
      <c r="CS194" s="1615"/>
      <c r="CT194" s="1615"/>
      <c r="CU194" s="1616"/>
      <c r="CV194" s="1615"/>
      <c r="CW194" s="1606"/>
      <c r="CX194" s="1606"/>
      <c r="CY194" s="1606"/>
      <c r="CZ194" s="1606"/>
      <c r="DA194" s="1606"/>
      <c r="DB194" s="1606"/>
      <c r="DC194" s="1606"/>
      <c r="DD194" s="1606"/>
      <c r="DE194" s="1606"/>
      <c r="DF194" s="1606"/>
      <c r="DG194" s="1606"/>
      <c r="DH194" s="1606"/>
      <c r="DI194" s="1606"/>
      <c r="DJ194" s="1606"/>
      <c r="DK194" s="1615"/>
      <c r="DL194" s="1615"/>
      <c r="DM194" s="1616"/>
      <c r="DN194" s="1615"/>
      <c r="DO194" s="1617"/>
      <c r="DP194" s="1617"/>
    </row>
    <row r="195" ht="26.25" customHeight="1">
      <c r="A195" s="1604"/>
      <c r="B195" s="1604"/>
      <c r="C195" s="1604"/>
      <c r="D195" s="1604"/>
      <c r="E195" s="1604"/>
      <c r="F195" s="1605"/>
      <c r="G195" s="1606"/>
      <c r="H195" s="1607"/>
      <c r="I195" s="1608"/>
      <c r="J195" s="1609"/>
      <c r="K195" s="1606"/>
      <c r="L195" s="1606"/>
      <c r="M195" s="1606"/>
      <c r="N195" s="1606"/>
      <c r="O195" s="1606"/>
      <c r="P195" s="1606"/>
      <c r="Q195" s="1606"/>
      <c r="R195" s="1606"/>
      <c r="S195" s="1606"/>
      <c r="T195" s="1606"/>
      <c r="U195" s="1606"/>
      <c r="V195" s="1606"/>
      <c r="W195" s="1606"/>
      <c r="X195" s="1606"/>
      <c r="Y195" s="1606"/>
      <c r="Z195" s="1606"/>
      <c r="AA195" s="1607"/>
      <c r="AB195" s="1608"/>
      <c r="AC195" s="1607">
        <v>0.0625</v>
      </c>
      <c r="AD195" s="1606"/>
      <c r="AE195" s="1618">
        <v>0.0625</v>
      </c>
      <c r="AF195" s="1606"/>
      <c r="AG195" s="1618">
        <v>0.0625</v>
      </c>
      <c r="AH195" s="1606"/>
      <c r="AI195" s="1618">
        <v>0.0625</v>
      </c>
      <c r="AJ195" s="1606"/>
      <c r="AK195" s="1618">
        <v>0.0625</v>
      </c>
      <c r="AL195" s="1606"/>
      <c r="AM195" s="1618">
        <v>0.0625</v>
      </c>
      <c r="AN195" s="1606"/>
      <c r="AO195" s="1618">
        <v>0.0625</v>
      </c>
      <c r="AP195" s="1606"/>
      <c r="AQ195" s="1612"/>
      <c r="AR195" s="1612"/>
      <c r="AS195" s="1613"/>
      <c r="AT195" s="1612"/>
      <c r="AU195" s="1606"/>
      <c r="AV195" s="1606"/>
      <c r="AW195" s="1606"/>
      <c r="AX195" s="1606"/>
      <c r="AY195" s="1606"/>
      <c r="AZ195" s="1606"/>
      <c r="BA195" s="1606"/>
      <c r="BB195" s="1606"/>
      <c r="BC195" s="1606"/>
      <c r="BD195" s="1606"/>
      <c r="BE195" s="1606"/>
      <c r="BF195" s="1606"/>
      <c r="BG195" s="1606"/>
      <c r="BH195" s="1606"/>
      <c r="BI195" s="1612"/>
      <c r="BJ195" s="1612"/>
      <c r="BK195" s="1613"/>
      <c r="BL195" s="1612"/>
      <c r="BM195" s="1612"/>
      <c r="BN195" s="1612"/>
      <c r="BO195" s="1614"/>
      <c r="BP195" s="1614"/>
      <c r="BQ195" s="1614"/>
      <c r="BR195" s="1614"/>
      <c r="BS195" s="1614"/>
      <c r="BT195" s="1614"/>
      <c r="BU195" s="1614"/>
      <c r="BV195" s="1614"/>
      <c r="BW195" s="1614"/>
      <c r="BX195" s="1614"/>
      <c r="BY195" s="1614"/>
      <c r="BZ195" s="1614"/>
      <c r="CA195" s="1612"/>
      <c r="CB195" s="1612"/>
      <c r="CC195" s="1613"/>
      <c r="CD195" s="1612"/>
      <c r="CE195" s="1606"/>
      <c r="CF195" s="1606"/>
      <c r="CG195" s="1606"/>
      <c r="CH195" s="1606"/>
      <c r="CI195" s="1606"/>
      <c r="CJ195" s="1606"/>
      <c r="CK195" s="1606"/>
      <c r="CL195" s="1606"/>
      <c r="CM195" s="1606"/>
      <c r="CN195" s="1606"/>
      <c r="CO195" s="1606"/>
      <c r="CP195" s="1606"/>
      <c r="CQ195" s="1606"/>
      <c r="CR195" s="1606"/>
      <c r="CS195" s="1615"/>
      <c r="CT195" s="1615"/>
      <c r="CU195" s="1616"/>
      <c r="CV195" s="1615"/>
      <c r="CW195" s="1606"/>
      <c r="CX195" s="1606"/>
      <c r="CY195" s="1606"/>
      <c r="CZ195" s="1606"/>
      <c r="DA195" s="1606"/>
      <c r="DB195" s="1606"/>
      <c r="DC195" s="1606"/>
      <c r="DD195" s="1606"/>
      <c r="DE195" s="1606"/>
      <c r="DF195" s="1606"/>
      <c r="DG195" s="1606"/>
      <c r="DH195" s="1606"/>
      <c r="DI195" s="1606"/>
      <c r="DJ195" s="1606"/>
      <c r="DK195" s="1615"/>
      <c r="DL195" s="1615"/>
      <c r="DM195" s="1616"/>
      <c r="DN195" s="1615"/>
      <c r="DO195" s="1617"/>
      <c r="DP195" s="1617"/>
    </row>
    <row r="196" ht="26.25" customHeight="1">
      <c r="A196" s="1604"/>
      <c r="B196" s="1604"/>
      <c r="C196" s="1604"/>
      <c r="D196" s="1604"/>
      <c r="E196" s="1604"/>
      <c r="F196" s="1605"/>
      <c r="G196" s="1606"/>
      <c r="H196" s="1607"/>
      <c r="I196" s="1608"/>
      <c r="J196" s="1609"/>
      <c r="K196" s="1606"/>
      <c r="L196" s="1606"/>
      <c r="M196" s="1606"/>
      <c r="N196" s="1606"/>
      <c r="O196" s="1606"/>
      <c r="P196" s="1606"/>
      <c r="Q196" s="1606"/>
      <c r="R196" s="1606"/>
      <c r="S196" s="1606"/>
      <c r="T196" s="1606"/>
      <c r="U196" s="1606"/>
      <c r="V196" s="1606"/>
      <c r="W196" s="1606"/>
      <c r="X196" s="1606"/>
      <c r="Y196" s="1606"/>
      <c r="Z196" s="1606"/>
      <c r="AA196" s="1607"/>
      <c r="AB196" s="1608"/>
      <c r="AC196" s="1619">
        <v>1635016.0</v>
      </c>
      <c r="AD196" s="1606"/>
      <c r="AE196" s="1620">
        <v>1635016.0</v>
      </c>
      <c r="AF196" s="1606"/>
      <c r="AG196" s="1620">
        <v>1635016.0</v>
      </c>
      <c r="AH196" s="1606"/>
      <c r="AI196" s="1620">
        <v>1635016.0</v>
      </c>
      <c r="AJ196" s="1606"/>
      <c r="AK196" s="1620">
        <v>1635016.0</v>
      </c>
      <c r="AL196" s="1606"/>
      <c r="AM196" s="1620">
        <v>1635016.0</v>
      </c>
      <c r="AN196" s="1606"/>
      <c r="AO196" s="1620">
        <v>1635016.0</v>
      </c>
      <c r="AP196" s="1606"/>
      <c r="AQ196" s="1612"/>
      <c r="AR196" s="1612"/>
      <c r="AS196" s="1613"/>
      <c r="AT196" s="1612"/>
      <c r="AU196" s="1606"/>
      <c r="AV196" s="1606"/>
      <c r="AW196" s="1606"/>
      <c r="AX196" s="1606"/>
      <c r="AY196" s="1606"/>
      <c r="AZ196" s="1606"/>
      <c r="BA196" s="1606"/>
      <c r="BB196" s="1606"/>
      <c r="BC196" s="1606"/>
      <c r="BD196" s="1606"/>
      <c r="BE196" s="1606"/>
      <c r="BF196" s="1606"/>
      <c r="BG196" s="1606"/>
      <c r="BH196" s="1606"/>
      <c r="BI196" s="1612"/>
      <c r="BJ196" s="1612"/>
      <c r="BK196" s="1613"/>
      <c r="BL196" s="1612"/>
      <c r="BM196" s="1612"/>
      <c r="BN196" s="1612"/>
      <c r="BO196" s="1614"/>
      <c r="BP196" s="1614"/>
      <c r="BQ196" s="1614"/>
      <c r="BR196" s="1614"/>
      <c r="BS196" s="1614"/>
      <c r="BT196" s="1614"/>
      <c r="BU196" s="1614"/>
      <c r="BV196" s="1614"/>
      <c r="BW196" s="1614"/>
      <c r="BX196" s="1614"/>
      <c r="BY196" s="1614"/>
      <c r="BZ196" s="1614"/>
      <c r="CA196" s="1612"/>
      <c r="CB196" s="1612"/>
      <c r="CC196" s="1613"/>
      <c r="CD196" s="1612"/>
      <c r="CE196" s="1606"/>
      <c r="CF196" s="1606"/>
      <c r="CG196" s="1606"/>
      <c r="CH196" s="1606"/>
      <c r="CI196" s="1606"/>
      <c r="CJ196" s="1606"/>
      <c r="CK196" s="1606"/>
      <c r="CL196" s="1606"/>
      <c r="CM196" s="1606"/>
      <c r="CN196" s="1606"/>
      <c r="CO196" s="1606"/>
      <c r="CP196" s="1606"/>
      <c r="CQ196" s="1606"/>
      <c r="CR196" s="1606"/>
      <c r="CS196" s="1615"/>
      <c r="CT196" s="1615"/>
      <c r="CU196" s="1616"/>
      <c r="CV196" s="1615"/>
      <c r="CW196" s="1606"/>
      <c r="CX196" s="1606"/>
      <c r="CY196" s="1606"/>
      <c r="CZ196" s="1606"/>
      <c r="DA196" s="1606"/>
      <c r="DB196" s="1606"/>
      <c r="DC196" s="1606"/>
      <c r="DD196" s="1606"/>
      <c r="DE196" s="1606"/>
      <c r="DF196" s="1606"/>
      <c r="DG196" s="1606"/>
      <c r="DH196" s="1606"/>
      <c r="DI196" s="1606"/>
      <c r="DJ196" s="1606"/>
      <c r="DK196" s="1615"/>
      <c r="DL196" s="1615"/>
      <c r="DM196" s="1616"/>
      <c r="DN196" s="1615"/>
      <c r="DO196" s="1617"/>
      <c r="DP196" s="1617"/>
    </row>
    <row r="197" ht="26.25" customHeight="1">
      <c r="A197" s="1604"/>
      <c r="B197" s="1604"/>
      <c r="C197" s="1604"/>
      <c r="D197" s="1604"/>
      <c r="E197" s="1604"/>
      <c r="F197" s="1605"/>
      <c r="G197" s="1606"/>
      <c r="H197" s="1607"/>
      <c r="I197" s="1608"/>
      <c r="J197" s="1609"/>
      <c r="K197" s="1606"/>
      <c r="L197" s="1606"/>
      <c r="M197" s="1606"/>
      <c r="N197" s="1606"/>
      <c r="O197" s="1606"/>
      <c r="P197" s="1606"/>
      <c r="Q197" s="1606"/>
      <c r="R197" s="1606"/>
      <c r="S197" s="1606"/>
      <c r="T197" s="1606"/>
      <c r="U197" s="1606"/>
      <c r="V197" s="1606"/>
      <c r="W197" s="1606"/>
      <c r="X197" s="1606"/>
      <c r="Y197" s="1606"/>
      <c r="Z197" s="1606"/>
      <c r="AA197" s="1607"/>
      <c r="AB197" s="1608"/>
      <c r="AC197" s="1619"/>
      <c r="AD197" s="1606"/>
      <c r="AE197" s="1620"/>
      <c r="AF197" s="1606"/>
      <c r="AG197" s="1620"/>
      <c r="AH197" s="1606"/>
      <c r="AI197" s="1620"/>
      <c r="AJ197" s="1606"/>
      <c r="AK197" s="1620"/>
      <c r="AL197" s="1606"/>
      <c r="AM197" s="1620"/>
      <c r="AN197" s="1606"/>
      <c r="AO197" s="1620"/>
      <c r="AP197" s="1606"/>
      <c r="AQ197" s="1612"/>
      <c r="AR197" s="1612"/>
      <c r="AS197" s="1613"/>
      <c r="AT197" s="1612"/>
      <c r="AU197" s="1606"/>
      <c r="AV197" s="1606"/>
      <c r="AW197" s="1606"/>
      <c r="AX197" s="1606"/>
      <c r="AY197" s="1606"/>
      <c r="AZ197" s="1606"/>
      <c r="BA197" s="1606"/>
      <c r="BB197" s="1606"/>
      <c r="BC197" s="1606"/>
      <c r="BD197" s="1606"/>
      <c r="BE197" s="1606"/>
      <c r="BF197" s="1606"/>
      <c r="BG197" s="1606"/>
      <c r="BH197" s="1606"/>
      <c r="BI197" s="1612"/>
      <c r="BJ197" s="1612"/>
      <c r="BK197" s="1613"/>
      <c r="BL197" s="1612"/>
      <c r="BM197" s="1612"/>
      <c r="BN197" s="1612"/>
      <c r="BO197" s="1614"/>
      <c r="BP197" s="1614"/>
      <c r="BQ197" s="1614"/>
      <c r="BR197" s="1614"/>
      <c r="BS197" s="1614"/>
      <c r="BT197" s="1614"/>
      <c r="BU197" s="1614"/>
      <c r="BV197" s="1614"/>
      <c r="BW197" s="1614"/>
      <c r="BX197" s="1614"/>
      <c r="BY197" s="1614"/>
      <c r="BZ197" s="1614"/>
      <c r="CA197" s="1612"/>
      <c r="CB197" s="1612"/>
      <c r="CC197" s="1613"/>
      <c r="CD197" s="1612"/>
      <c r="CE197" s="1606"/>
      <c r="CF197" s="1606"/>
      <c r="CG197" s="1606"/>
      <c r="CH197" s="1606"/>
      <c r="CI197" s="1606"/>
      <c r="CJ197" s="1606"/>
      <c r="CK197" s="1606"/>
      <c r="CL197" s="1606"/>
      <c r="CM197" s="1606"/>
      <c r="CN197" s="1606"/>
      <c r="CO197" s="1606"/>
      <c r="CP197" s="1606"/>
      <c r="CQ197" s="1606"/>
      <c r="CR197" s="1606"/>
      <c r="CS197" s="1615"/>
      <c r="CT197" s="1615"/>
      <c r="CU197" s="1616"/>
      <c r="CV197" s="1615"/>
      <c r="CW197" s="1606"/>
      <c r="CX197" s="1606"/>
      <c r="CY197" s="1606"/>
      <c r="CZ197" s="1606"/>
      <c r="DA197" s="1606"/>
      <c r="DB197" s="1606"/>
      <c r="DC197" s="1606"/>
      <c r="DD197" s="1606"/>
      <c r="DE197" s="1606"/>
      <c r="DF197" s="1606"/>
      <c r="DG197" s="1606"/>
      <c r="DH197" s="1606"/>
      <c r="DI197" s="1606"/>
      <c r="DJ197" s="1606"/>
      <c r="DK197" s="1615"/>
      <c r="DL197" s="1615"/>
      <c r="DM197" s="1616"/>
      <c r="DN197" s="1615"/>
      <c r="DO197" s="1617"/>
      <c r="DP197" s="1617"/>
    </row>
    <row r="198" ht="26.25" customHeight="1">
      <c r="A198" s="1604"/>
      <c r="B198" s="1604"/>
      <c r="C198" s="1604"/>
      <c r="D198" s="1604"/>
      <c r="E198" s="1604"/>
      <c r="F198" s="1605"/>
      <c r="G198" s="1606"/>
      <c r="H198" s="1607"/>
      <c r="I198" s="1608"/>
      <c r="J198" s="1609"/>
      <c r="K198" s="1606"/>
      <c r="L198" s="1606"/>
      <c r="M198" s="1606"/>
      <c r="N198" s="1606"/>
      <c r="O198" s="1606"/>
      <c r="P198" s="1606"/>
      <c r="Q198" s="1606"/>
      <c r="R198" s="1606"/>
      <c r="S198" s="1606"/>
      <c r="T198" s="1606"/>
      <c r="U198" s="1606"/>
      <c r="V198" s="1606"/>
      <c r="W198" s="1606"/>
      <c r="X198" s="1606"/>
      <c r="Y198" s="1606"/>
      <c r="Z198" s="1606"/>
      <c r="AA198" s="1607"/>
      <c r="AB198" s="1608"/>
      <c r="AC198" s="1619"/>
      <c r="AD198" s="1606"/>
      <c r="AE198" s="1620"/>
      <c r="AF198" s="1606"/>
      <c r="AG198" s="1620"/>
      <c r="AH198" s="1606"/>
      <c r="AI198" s="1620"/>
      <c r="AJ198" s="1606"/>
      <c r="AK198" s="1620"/>
      <c r="AL198" s="1606"/>
      <c r="AM198" s="1620"/>
      <c r="AN198" s="1606"/>
      <c r="AO198" s="1620"/>
      <c r="AP198" s="1606"/>
      <c r="AQ198" s="1612"/>
      <c r="AR198" s="1612"/>
      <c r="AS198" s="1613"/>
      <c r="AT198" s="1612"/>
      <c r="AU198" s="1606"/>
      <c r="AV198" s="1606"/>
      <c r="AW198" s="1606"/>
      <c r="AX198" s="1606"/>
      <c r="AY198" s="1606"/>
      <c r="AZ198" s="1606"/>
      <c r="BA198" s="1606"/>
      <c r="BB198" s="1606"/>
      <c r="BC198" s="1606"/>
      <c r="BD198" s="1606"/>
      <c r="BE198" s="1606"/>
      <c r="BF198" s="1606"/>
      <c r="BG198" s="1606"/>
      <c r="BH198" s="1606"/>
      <c r="BI198" s="1612"/>
      <c r="BJ198" s="1612"/>
      <c r="BK198" s="1613"/>
      <c r="BL198" s="1612"/>
      <c r="BM198" s="1612"/>
      <c r="BN198" s="1612"/>
      <c r="BO198" s="1614"/>
      <c r="BP198" s="1614"/>
      <c r="BQ198" s="1614"/>
      <c r="BR198" s="1614"/>
      <c r="BS198" s="1614"/>
      <c r="BT198" s="1614"/>
      <c r="BU198" s="1614"/>
      <c r="BV198" s="1614"/>
      <c r="BW198" s="1614"/>
      <c r="BX198" s="1614"/>
      <c r="BY198" s="1614"/>
      <c r="BZ198" s="1614"/>
      <c r="CA198" s="1612"/>
      <c r="CB198" s="1612"/>
      <c r="CC198" s="1613"/>
      <c r="CD198" s="1612"/>
      <c r="CE198" s="1606"/>
      <c r="CF198" s="1606"/>
      <c r="CG198" s="1606"/>
      <c r="CH198" s="1606"/>
      <c r="CI198" s="1606"/>
      <c r="CJ198" s="1606"/>
      <c r="CK198" s="1606"/>
      <c r="CL198" s="1606"/>
      <c r="CM198" s="1606"/>
      <c r="CN198" s="1606"/>
      <c r="CO198" s="1606"/>
      <c r="CP198" s="1606"/>
      <c r="CQ198" s="1606"/>
      <c r="CR198" s="1606"/>
      <c r="CS198" s="1615"/>
      <c r="CT198" s="1615"/>
      <c r="CU198" s="1616"/>
      <c r="CV198" s="1615"/>
      <c r="CW198" s="1606"/>
      <c r="CX198" s="1606"/>
      <c r="CY198" s="1606"/>
      <c r="CZ198" s="1606"/>
      <c r="DA198" s="1606"/>
      <c r="DB198" s="1606"/>
      <c r="DC198" s="1606"/>
      <c r="DD198" s="1606"/>
      <c r="DE198" s="1606"/>
      <c r="DF198" s="1606"/>
      <c r="DG198" s="1606"/>
      <c r="DH198" s="1606"/>
      <c r="DI198" s="1606"/>
      <c r="DJ198" s="1606"/>
      <c r="DK198" s="1615"/>
      <c r="DL198" s="1615"/>
      <c r="DM198" s="1616"/>
      <c r="DN198" s="1615"/>
      <c r="DO198" s="1617"/>
      <c r="DP198" s="1617"/>
    </row>
  </sheetData>
  <mergeCells count="405">
    <mergeCell ref="AS4:AT6"/>
    <mergeCell ref="AU4:AU6"/>
    <mergeCell ref="AV4:AV6"/>
    <mergeCell ref="AW4:AW6"/>
    <mergeCell ref="AX4:AX6"/>
    <mergeCell ref="AY4:AY6"/>
    <mergeCell ref="AZ4:AZ6"/>
    <mergeCell ref="AS7:AT7"/>
    <mergeCell ref="BA4:BA6"/>
    <mergeCell ref="BB4:BB6"/>
    <mergeCell ref="BC4:BC6"/>
    <mergeCell ref="BD4:BD6"/>
    <mergeCell ref="BE4:BE6"/>
    <mergeCell ref="BF4:BF6"/>
    <mergeCell ref="BG4:BG6"/>
    <mergeCell ref="CG4:CG6"/>
    <mergeCell ref="CH4:CH6"/>
    <mergeCell ref="CI4:CI6"/>
    <mergeCell ref="CJ4:CJ6"/>
    <mergeCell ref="CK4:CK6"/>
    <mergeCell ref="CL4:CL6"/>
    <mergeCell ref="CM4:CM6"/>
    <mergeCell ref="BX4:BX6"/>
    <mergeCell ref="BY4:BY6"/>
    <mergeCell ref="BZ4:BZ6"/>
    <mergeCell ref="CA4:CB6"/>
    <mergeCell ref="CC4:CD6"/>
    <mergeCell ref="CE4:CE6"/>
    <mergeCell ref="CF4:CF6"/>
    <mergeCell ref="BH4:BH6"/>
    <mergeCell ref="BI4:BJ6"/>
    <mergeCell ref="BK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W6"/>
    <mergeCell ref="CW4:CW6"/>
    <mergeCell ref="CX4:CX6"/>
    <mergeCell ref="CY4:CY6"/>
    <mergeCell ref="CZ4:CZ6"/>
    <mergeCell ref="DA4:DA6"/>
    <mergeCell ref="DB4:DB6"/>
    <mergeCell ref="DC4:DC6"/>
    <mergeCell ref="DK4:DL6"/>
    <mergeCell ref="DM4:DN6"/>
    <mergeCell ref="DK7:DL7"/>
    <mergeCell ref="DM7:DN7"/>
    <mergeCell ref="DD4:DD6"/>
    <mergeCell ref="DE4:DE6"/>
    <mergeCell ref="DF4:DF6"/>
    <mergeCell ref="DG4:DG6"/>
    <mergeCell ref="DH4:DH6"/>
    <mergeCell ref="DI4:DI6"/>
    <mergeCell ref="DJ4:DJ6"/>
    <mergeCell ref="CA7:CB7"/>
    <mergeCell ref="CC7:CD7"/>
    <mergeCell ref="CS7:CT7"/>
    <mergeCell ref="CU7:CV7"/>
    <mergeCell ref="CN4:CN6"/>
    <mergeCell ref="CO4:CO6"/>
    <mergeCell ref="CP4:CP6"/>
    <mergeCell ref="CQ4:CQ6"/>
    <mergeCell ref="CR4:CR6"/>
    <mergeCell ref="CS4:CT6"/>
    <mergeCell ref="CU4:CV6"/>
    <mergeCell ref="AK4:AK6"/>
    <mergeCell ref="AL4:AL6"/>
    <mergeCell ref="AM4:AM6"/>
    <mergeCell ref="AN4:AN6"/>
    <mergeCell ref="AO4:AO6"/>
    <mergeCell ref="AQ4:AR6"/>
    <mergeCell ref="AQ7:AR7"/>
    <mergeCell ref="AS13:AT13"/>
    <mergeCell ref="BK13:BL13"/>
    <mergeCell ref="AP4:AP6"/>
    <mergeCell ref="AO8:AP9"/>
    <mergeCell ref="AQ8:AT9"/>
    <mergeCell ref="AU8:AV9"/>
    <mergeCell ref="AW8:AX9"/>
    <mergeCell ref="AY8:AZ9"/>
    <mergeCell ref="BA8:BB9"/>
    <mergeCell ref="BS8:BT9"/>
    <mergeCell ref="BU8:BV9"/>
    <mergeCell ref="BW8:BX9"/>
    <mergeCell ref="BY8:BZ9"/>
    <mergeCell ref="CA8:CD9"/>
    <mergeCell ref="CE8:CF9"/>
    <mergeCell ref="CG8:CH9"/>
    <mergeCell ref="CY8:CZ9"/>
    <mergeCell ref="DA8:DB9"/>
    <mergeCell ref="DC8:DD9"/>
    <mergeCell ref="DE8:DF9"/>
    <mergeCell ref="DG8:DH9"/>
    <mergeCell ref="DI8:DJ9"/>
    <mergeCell ref="DK8:DN9"/>
    <mergeCell ref="DM13:DN13"/>
    <mergeCell ref="CI8:CJ9"/>
    <mergeCell ref="CK8:CL9"/>
    <mergeCell ref="CM8:CN9"/>
    <mergeCell ref="CO8:CP9"/>
    <mergeCell ref="CQ8:CR9"/>
    <mergeCell ref="CS8:CV9"/>
    <mergeCell ref="CW8:CX9"/>
    <mergeCell ref="A10:E11"/>
    <mergeCell ref="F10:I10"/>
    <mergeCell ref="K10:L10"/>
    <mergeCell ref="M10:N10"/>
    <mergeCell ref="O10:P10"/>
    <mergeCell ref="Q10:R10"/>
    <mergeCell ref="S10:T10"/>
    <mergeCell ref="H11:I11"/>
    <mergeCell ref="U10:V10"/>
    <mergeCell ref="W10:X10"/>
    <mergeCell ref="Y10:AB10"/>
    <mergeCell ref="AC10:AD10"/>
    <mergeCell ref="AE10:AF10"/>
    <mergeCell ref="AG10:AH10"/>
    <mergeCell ref="AI10:AJ10"/>
    <mergeCell ref="AA11:AB11"/>
    <mergeCell ref="AK10:AL10"/>
    <mergeCell ref="AM10:AN10"/>
    <mergeCell ref="AO10:AP10"/>
    <mergeCell ref="AQ10:AT10"/>
    <mergeCell ref="AU10:AV10"/>
    <mergeCell ref="AW10:AX10"/>
    <mergeCell ref="AY10:AZ10"/>
    <mergeCell ref="AS11:AT11"/>
    <mergeCell ref="BA10:BB10"/>
    <mergeCell ref="BC10:BD10"/>
    <mergeCell ref="BE10:BF10"/>
    <mergeCell ref="BG10:BH10"/>
    <mergeCell ref="BI10:BL10"/>
    <mergeCell ref="BM10:BN10"/>
    <mergeCell ref="BO10:BP10"/>
    <mergeCell ref="BK11:BL11"/>
    <mergeCell ref="BQ10:BR10"/>
    <mergeCell ref="BS10:BT10"/>
    <mergeCell ref="BU10:BV10"/>
    <mergeCell ref="BW10:BX10"/>
    <mergeCell ref="BY10:BZ10"/>
    <mergeCell ref="CA10:CD10"/>
    <mergeCell ref="CE10:CF10"/>
    <mergeCell ref="CC11:CD11"/>
    <mergeCell ref="CG10:CH10"/>
    <mergeCell ref="CI10:CJ10"/>
    <mergeCell ref="CK10:CL10"/>
    <mergeCell ref="CM10:CN10"/>
    <mergeCell ref="CO10:CP10"/>
    <mergeCell ref="CQ10:CR10"/>
    <mergeCell ref="CS10:CV10"/>
    <mergeCell ref="CU11:CV11"/>
    <mergeCell ref="DK10:DN10"/>
    <mergeCell ref="DM11:DN11"/>
    <mergeCell ref="CW10:CX10"/>
    <mergeCell ref="CY10:CZ10"/>
    <mergeCell ref="DA10:DB10"/>
    <mergeCell ref="DC10:DD10"/>
    <mergeCell ref="DE10:DF10"/>
    <mergeCell ref="DG10:DH10"/>
    <mergeCell ref="DI10:DJ10"/>
    <mergeCell ref="N4:N6"/>
    <mergeCell ref="O4:O6"/>
    <mergeCell ref="P4:P6"/>
    <mergeCell ref="Q4:Q6"/>
    <mergeCell ref="R4:R6"/>
    <mergeCell ref="S4:S6"/>
    <mergeCell ref="T4:T6"/>
    <mergeCell ref="AD4:AD6"/>
    <mergeCell ref="AE4:AE6"/>
    <mergeCell ref="AF4:AF6"/>
    <mergeCell ref="AG4:AG6"/>
    <mergeCell ref="AH4:AH6"/>
    <mergeCell ref="AI4:AI6"/>
    <mergeCell ref="AJ4:AJ6"/>
    <mergeCell ref="U4:U6"/>
    <mergeCell ref="V4:V6"/>
    <mergeCell ref="W4:W6"/>
    <mergeCell ref="X4:X6"/>
    <mergeCell ref="Y4:Z6"/>
    <mergeCell ref="AA4:AB6"/>
    <mergeCell ref="AC4:AC6"/>
    <mergeCell ref="BI7:BJ7"/>
    <mergeCell ref="BK7:BL7"/>
    <mergeCell ref="L4:L6"/>
    <mergeCell ref="K8:L9"/>
    <mergeCell ref="M8:N9"/>
    <mergeCell ref="O8:P9"/>
    <mergeCell ref="Q8:R9"/>
    <mergeCell ref="S8:T9"/>
    <mergeCell ref="U8:V9"/>
    <mergeCell ref="W8:X9"/>
    <mergeCell ref="BC8:BD9"/>
    <mergeCell ref="BE8:BF9"/>
    <mergeCell ref="BG8:BH9"/>
    <mergeCell ref="BI8:BL9"/>
    <mergeCell ref="BM8:BN9"/>
    <mergeCell ref="BO8:BP9"/>
    <mergeCell ref="BQ8:BR9"/>
    <mergeCell ref="A2:B2"/>
    <mergeCell ref="D2:I2"/>
    <mergeCell ref="B4:E4"/>
    <mergeCell ref="G4:H4"/>
    <mergeCell ref="K4:K6"/>
    <mergeCell ref="M4:M6"/>
    <mergeCell ref="G6:H7"/>
    <mergeCell ref="CU152:CV152"/>
    <mergeCell ref="DM152:DN152"/>
    <mergeCell ref="CU153:CV153"/>
    <mergeCell ref="DM153:DN153"/>
    <mergeCell ref="AS152:AT152"/>
    <mergeCell ref="AS153:AT153"/>
    <mergeCell ref="CC152:CD152"/>
    <mergeCell ref="CC153:CD153"/>
    <mergeCell ref="B150:E150"/>
    <mergeCell ref="B151:E151"/>
    <mergeCell ref="H152:I152"/>
    <mergeCell ref="AA152:AB152"/>
    <mergeCell ref="BK152:BL152"/>
    <mergeCell ref="AA153:AB153"/>
    <mergeCell ref="BK153:BL153"/>
    <mergeCell ref="H153:I153"/>
    <mergeCell ref="H154:I154"/>
    <mergeCell ref="B143:E143"/>
    <mergeCell ref="B144:E144"/>
    <mergeCell ref="B145:E145"/>
    <mergeCell ref="B146:E146"/>
    <mergeCell ref="B147:E147"/>
    <mergeCell ref="B148:E148"/>
    <mergeCell ref="B149:E149"/>
    <mergeCell ref="B122:E122"/>
    <mergeCell ref="B123:E123"/>
    <mergeCell ref="B124:E124"/>
    <mergeCell ref="B125:E125"/>
    <mergeCell ref="B126:E126"/>
    <mergeCell ref="B127:E127"/>
    <mergeCell ref="A116:A128"/>
    <mergeCell ref="A129:A143"/>
    <mergeCell ref="A144:A154"/>
    <mergeCell ref="B114:E114"/>
    <mergeCell ref="B115:E115"/>
    <mergeCell ref="B116:E116"/>
    <mergeCell ref="B117:E117"/>
    <mergeCell ref="B118:E118"/>
    <mergeCell ref="B119:E119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52:E152"/>
    <mergeCell ref="B153:E153"/>
    <mergeCell ref="B154:E154"/>
    <mergeCell ref="B136:E136"/>
    <mergeCell ref="B137:E137"/>
    <mergeCell ref="B138:E138"/>
    <mergeCell ref="B139:E139"/>
    <mergeCell ref="B140:E140"/>
    <mergeCell ref="B141:E141"/>
    <mergeCell ref="B142:E142"/>
    <mergeCell ref="AK8:AL9"/>
    <mergeCell ref="AM8:AN9"/>
    <mergeCell ref="AS40:AT40"/>
    <mergeCell ref="B16:E16"/>
    <mergeCell ref="B17:E17"/>
    <mergeCell ref="B18:E18"/>
    <mergeCell ref="B19:E19"/>
    <mergeCell ref="B26:E26"/>
    <mergeCell ref="B27:E27"/>
    <mergeCell ref="B28:E28"/>
    <mergeCell ref="B29:E29"/>
    <mergeCell ref="B30:E30"/>
    <mergeCell ref="B31:E31"/>
    <mergeCell ref="CU36:CV36"/>
    <mergeCell ref="DM36:DN36"/>
    <mergeCell ref="BK40:BL40"/>
    <mergeCell ref="CC40:CD40"/>
    <mergeCell ref="CU40:CV40"/>
    <mergeCell ref="DM40:DN40"/>
    <mergeCell ref="AA13:AB13"/>
    <mergeCell ref="AA40:AB40"/>
    <mergeCell ref="Y7:Z7"/>
    <mergeCell ref="AA7:AB7"/>
    <mergeCell ref="Y8:AB9"/>
    <mergeCell ref="AC8:AD9"/>
    <mergeCell ref="AE8:AF9"/>
    <mergeCell ref="AG8:AH9"/>
    <mergeCell ref="AI8:AJ9"/>
    <mergeCell ref="A12:A22"/>
    <mergeCell ref="B12:E12"/>
    <mergeCell ref="J12:J21"/>
    <mergeCell ref="B13:E13"/>
    <mergeCell ref="H13:I13"/>
    <mergeCell ref="B14:E14"/>
    <mergeCell ref="B15:E15"/>
    <mergeCell ref="B22:E22"/>
    <mergeCell ref="B32:E32"/>
    <mergeCell ref="B33:E33"/>
    <mergeCell ref="B34:E34"/>
    <mergeCell ref="B35:E35"/>
    <mergeCell ref="B36:E36"/>
    <mergeCell ref="B37:E37"/>
    <mergeCell ref="B43:E43"/>
    <mergeCell ref="B44:E44"/>
    <mergeCell ref="B45:E45"/>
    <mergeCell ref="B46:E46"/>
    <mergeCell ref="B47:E47"/>
    <mergeCell ref="B48:E48"/>
    <mergeCell ref="B20:E20"/>
    <mergeCell ref="B21:E21"/>
    <mergeCell ref="A23:A39"/>
    <mergeCell ref="B23:E23"/>
    <mergeCell ref="J23:J39"/>
    <mergeCell ref="B24:E24"/>
    <mergeCell ref="B25:E25"/>
    <mergeCell ref="H40:I40"/>
    <mergeCell ref="B49:E49"/>
    <mergeCell ref="B50:E50"/>
    <mergeCell ref="B51:E51"/>
    <mergeCell ref="B52:E52"/>
    <mergeCell ref="B53:E53"/>
    <mergeCell ref="B54:E54"/>
    <mergeCell ref="B60:E60"/>
    <mergeCell ref="B61:E61"/>
    <mergeCell ref="B62:E62"/>
    <mergeCell ref="B63:E63"/>
    <mergeCell ref="B64:E64"/>
    <mergeCell ref="B65:E65"/>
    <mergeCell ref="B38:E38"/>
    <mergeCell ref="B39:E39"/>
    <mergeCell ref="A40:A56"/>
    <mergeCell ref="B40:E40"/>
    <mergeCell ref="J40:J56"/>
    <mergeCell ref="B41:E41"/>
    <mergeCell ref="B42:E42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81:E81"/>
    <mergeCell ref="B82:E82"/>
    <mergeCell ref="B55:E55"/>
    <mergeCell ref="B56:E56"/>
    <mergeCell ref="A57:A77"/>
    <mergeCell ref="B57:E57"/>
    <mergeCell ref="J57:J77"/>
    <mergeCell ref="B58:E58"/>
    <mergeCell ref="B59:E59"/>
    <mergeCell ref="B97:E97"/>
    <mergeCell ref="B98:E98"/>
    <mergeCell ref="B76:E76"/>
    <mergeCell ref="B77:E77"/>
    <mergeCell ref="A78:A98"/>
    <mergeCell ref="B78:E78"/>
    <mergeCell ref="J78:J98"/>
    <mergeCell ref="B79:E79"/>
    <mergeCell ref="B80:E80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95:E95"/>
    <mergeCell ref="B96:E96"/>
    <mergeCell ref="A99:A115"/>
    <mergeCell ref="B99:E99"/>
    <mergeCell ref="J99:J115"/>
    <mergeCell ref="B100:E100"/>
    <mergeCell ref="B101:E101"/>
    <mergeCell ref="B120:E120"/>
    <mergeCell ref="B121:E121"/>
  </mergeCells>
  <conditionalFormatting sqref="A12:A154">
    <cfRule type="cellIs" dxfId="3" priority="1" operator="equal">
      <formula>"Введите название направления"</formula>
    </cfRule>
  </conditionalFormatting>
  <conditionalFormatting sqref="K7:DP7 H12:H13 J12:J154 AA12:AB143 AS12:AT145 BK12:BL154 CC12:CD154 CG12 CI12 CK12 CM12:CN12 CO12:CO13 CP12 CQ12:CQ13 CR12 CT12 CU12:CV154 CW12:CW13 CX12:CX16 CY12:CY13 CZ12:CZ16 DA12:DJ151 DK12:DL39 DM12:DP154 I13 CS13 H18:H133 I23:I143 BB23:BB35 BD23:BD35 BF23:BF35 BH23:BH35 BN23:BN39 BP23:BP39 BR23:BR39 BT23:BT53 BV23:BV53 CX23:CX39 CZ23:CZ151 M36:N39 R36:R39 T36:T39 V36:V39 X36:X39 AC36:AC39 AE36:AE39 AG36:AG39 AI36:AI39 AK36:AK39 AM36:AM39 AO36:AO39 AU36:AU39 AW36:AW39 AY36:AY39 BA36:BA39 BC36:BC39 BE36:BE39 BG36:BG39 BM36:BM39 BO36:BO39 BQ36:BQ143 BS36:BS143 BU36:BU143 BW36:BW143 BY36:BY143 CE36:CE143 CG36:CG143 CI36:CI39 CK36:CK39 CM36:CM39 CO36:CO143 CQ36:CQ143 CS36:CS37 CW36:CW148 CY36:CY148 K37:L39 O37:P39 Q37 S37 U37 W37 Y37 AD37:AD39 AF37:AF39 AH37:AH39 AJ37:AJ39 AL37:AL39 AN37:AN39 AP37:AP39 AQ37 AV37:AV39 AX37:AX39 AZ37:AZ39 BB37:BB39 BD37:BD39 BF37:BF39 BH37:BH39 BX37:BX53 BZ37:BZ53 CF37:CF53 CH37:CH53 CJ37:CJ53 CL37:CL53 CN37:CN39 CP37:CP39 CR37:CR39 K41:N53 O41:O56 P41:P53 Q41:Q56 R41:R53 S41:S56 T41:T53 U41:U56 V41:V53 W41:W56 X41:X53 AD41:AP53 AU41:AV53 AX41:AX53 AZ41:AZ53 BB41:BB53 BD41:BD53 BF41:BF53 BH41:BH53 BM41:BM143 BN41:BN53 BO41:BO143 BP41:BP42 BR41:BR53 CI41:CI143 CK41:CK143 CM41:CM143 CN41:CN53 CP41:CP53 CR41:CR53 CX41:CX151 DK41:DL151 AC42:AC53 AW42:AW53 AY42:AY143 BA42:BA143 BC42:BC143 BE42:BE143 BG42:BG143 Y43 AQ45:AQ53 AR45 BP45:BP53 Y48 BI48:BI51 AZ130 CF130 CH130 CJ130 CL130 H135:H143 H146:H154 I147:I154 AA147:AE147 AG147:AI147 AJ147:AJ148 AK147 AL147:AL148 AM147:AM151 AN147:AN148 AO147:AO151 AP147:AP148 AS147:AT154 AU147:AW148 AX147 AY147:BA148 BB147:BB149 BC147:BD148 BE147:BE151 BF147:BF148 BG147:BG151 BH147:BH148 BM147:BM148 BO147:BO148 BQ147:BQ148 BS147:BS148 BU147:BU148 BW147:BW151 BY147:BY151 CE147:CE148 CG147:CG148 CI147:CI148 CK147:CK148 CM147:CM148 CO147:CO151 CQ147:CQ151 AH150:AH151 AJ150:AJ151 AL150:AL151 AN150:AN151 AP150:AP151 AV150 AX150:AX151 AZ150:AZ151 BD150:BD151 BF150:BF151 BH150:BH151 BB151 CW151 CY151 AA152:AB153 CO153 CQ153 CW153:DL154 BN154 BP154 BR154 BT154 BV154 BX154 BZ154">
    <cfRule type="cellIs" dxfId="4" priority="2" operator="equal">
      <formula>"В плане"</formula>
    </cfRule>
  </conditionalFormatting>
  <conditionalFormatting sqref="K7:DP7 H12:H13 J12:J154 AA12:AB143 AS12:AT145 BK12:BL154 CC12:CD154 CG12 CI12 CK12 CM12:CN12 CO12:CO13 CP12 CQ12:CQ13 CR12 CT12 CU12:CV154 CW12:CW13 CX12:CX16 CY12:CY13 CZ12:CZ16 DA12:DJ151 DK12:DL39 DM12:DP154 I13 CS13 H18:H133 I23:I143 BB23:BB35 BD23:BD35 BF23:BF35 BH23:BH35 BN23:BN39 BP23:BP39 BR23:BR39 BT23:BT53 BV23:BV53 CX23:CX39 CZ23:CZ151 M36:N39 R36:R39 T36:T39 V36:V39 X36:X39 AC36:AC39 AE36:AE39 AG36:AG39 AI36:AI39 AK36:AK39 AM36:AM39 AO36:AO39 AU36:AU39 AW36:AW39 AY36:AY39 BA36:BA39 BC36:BC39 BE36:BE39 BG36:BG39 BM36:BM39 BO36:BO39 BQ36:BQ143 BS36:BS143 BU36:BU143 BW36:BW143 BY36:BY143 CE36:CE143 CG36:CG143 CI36:CI39 CK36:CK39 CM36:CM39 CO36:CO143 CQ36:CQ143 CS36:CS37 CW36:CW148 CY36:CY148 K37:L39 O37:P39 Q37 S37 U37 W37 Y37 AD37:AD39 AF37:AF39 AH37:AH39 AJ37:AJ39 AL37:AL39 AN37:AN39 AP37:AP39 AQ37 AV37:AV39 AX37:AX39 AZ37:AZ39 BB37:BB39 BD37:BD39 BF37:BF39 BH37:BH39 BX37:BX53 BZ37:BZ53 CF37:CF53 CH37:CH53 CJ37:CJ53 CL37:CL53 CN37:CN39 CP37:CP39 CR37:CR39 K41:N53 O41:O56 P41:P53 Q41:Q56 R41:R53 S41:S56 T41:T53 U41:U56 V41:V53 W41:W56 X41:X53 AD41:AP53 AU41:AV53 AX41:AX53 AZ41:AZ53 BB41:BB53 BD41:BD53 BF41:BF53 BH41:BH53 BM41:BM143 BN41:BN53 BO41:BO143 BP41:BP42 BR41:BR53 CI41:CI143 CK41:CK143 CM41:CM143 CN41:CN53 CP41:CP53 CR41:CR53 CX41:CX151 DK41:DL151 AC42:AC53 AW42:AW53 AY42:AY143 BA42:BA143 BC42:BC143 BE42:BE143 BG42:BG143 Y43 AQ45:AQ53 AR45 BP45:BP53 Y48 BI48:BI51 AZ130 CF130 CH130 CJ130 CL130 H135:H143 H146:H154 I147:I154 AA147:AE147 AG147:AI147 AJ147:AJ148 AK147 AL147:AL148 AM147:AM151 AN147:AN148 AO147:AO151 AP147:AP148 AS147:AT154 AU147:AW148 AX147 AY147:BA148 BB147:BB149 BC147:BD148 BE147:BE151 BF147:BF148 BG147:BG151 BH147:BH148 BM147:BM148 BO147:BO148 BQ147:BQ148 BS147:BS148 BU147:BU148 BW147:BW151 BY147:BY151 CE147:CE148 CG147:CG148 CI147:CI148 CK147:CK148 CM147:CM148 CO147:CO151 CQ147:CQ151 AH150:AH151 AJ150:AJ151 AL150:AL151 AN150:AN151 AP150:AP151 AV150 AX150:AX151 AZ150:AZ151 BD150:BD151 BF150:BF151 BH150:BH151 BB151 CW151 CY151 AA152:AB153 CO153 CQ153 CW153:DL154 BN154 BP154 BR154 BT154 BV154 BX154 BZ154">
    <cfRule type="cellIs" dxfId="5" priority="3" operator="equal">
      <formula>"Не в плане"</formula>
    </cfRule>
  </conditionalFormatting>
  <conditionalFormatting sqref="J12:J154">
    <cfRule type="containsBlanks" dxfId="6" priority="4">
      <formula>LEN(TRIM(J12))=0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2"/>
  <legacyDrawing r:id="rId3"/>
  <tableParts count="66"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10.0" ySplit="11.0" topLeftCell="K12" activePane="bottomRight" state="frozen"/>
      <selection activeCell="K1" sqref="K1" pane="topRight"/>
      <selection activeCell="A12" sqref="A12" pane="bottomLeft"/>
      <selection activeCell="K12" sqref="K12" pane="bottomRight"/>
    </sheetView>
  </sheetViews>
  <sheetFormatPr customHeight="1" defaultColWidth="12.63" defaultRowHeight="15.75" outlineLevelCol="2"/>
  <cols>
    <col customWidth="1" min="1" max="1" width="8.38"/>
    <col customWidth="1" min="2" max="2" width="16.63"/>
    <col customWidth="1" min="3" max="3" width="4.88"/>
    <col customWidth="1" min="4" max="4" width="7.0"/>
    <col customWidth="1" min="5" max="5" width="9.5"/>
    <col customWidth="1" min="6" max="6" width="14.63" outlineLevel="1"/>
    <col customWidth="1" min="7" max="7" width="16.5" outlineLevel="1"/>
    <col customWidth="1" min="8" max="8" width="11.75" outlineLevel="1"/>
    <col customWidth="1" min="9" max="9" width="8.88" outlineLevel="1"/>
    <col customWidth="1" min="10" max="10" width="7.25"/>
    <col customWidth="1" hidden="1" min="11" max="11" width="14.13" outlineLevel="1"/>
    <col customWidth="1" hidden="1" min="12" max="12" width="14.25" outlineLevel="1"/>
    <col customWidth="1" hidden="1" min="13" max="13" width="12.63" outlineLevel="1"/>
    <col customWidth="1" hidden="1" min="14" max="14" width="13.63" outlineLevel="1"/>
    <col customWidth="1" min="15" max="18" width="12.63" outlineLevel="1"/>
    <col customWidth="1" min="19" max="19" width="13.5"/>
    <col customWidth="1" min="20" max="20" width="13.75"/>
    <col customWidth="1" min="21" max="21" width="14.75"/>
    <col customWidth="1" min="22" max="22" width="14.88"/>
    <col customWidth="1" min="23" max="24" width="8.88"/>
    <col customWidth="1" min="25" max="25" width="13.75" outlineLevel="1"/>
    <col customWidth="1" min="26" max="26" width="14.0" outlineLevel="1"/>
    <col customWidth="1" min="27" max="27" width="13.75" outlineLevel="1"/>
    <col customWidth="1" min="28" max="28" width="14.0" outlineLevel="1"/>
    <col customWidth="1" min="29" max="29" width="14.13" outlineLevel="1"/>
    <col customWidth="1" min="30" max="30" width="14.5" outlineLevel="1"/>
    <col customWidth="1" min="31" max="31" width="12.63" outlineLevel="1"/>
    <col customWidth="1" min="32" max="32" width="13.63" outlineLevel="1"/>
    <col customWidth="1" min="33" max="36" width="12.63" outlineLevel="1"/>
    <col customWidth="1" min="37" max="37" width="13.5" outlineLevel="1"/>
    <col customWidth="1" min="38" max="38" width="13.75" outlineLevel="1"/>
    <col customWidth="1" min="39" max="39" width="14.75"/>
    <col customWidth="1" min="40" max="40" width="14.88"/>
    <col customWidth="1" min="41" max="41" width="10.0"/>
    <col customWidth="1" min="42" max="42" width="8.88"/>
    <col customWidth="1" min="43" max="43" width="13.75" outlineLevel="1"/>
    <col customWidth="1" min="44" max="44" width="14.0" outlineLevel="1"/>
    <col customWidth="1" min="45" max="45" width="13.75" outlineLevel="1"/>
    <col customWidth="1" min="46" max="46" width="14.0" outlineLevel="1"/>
    <col customWidth="1" min="47" max="47" width="14.13" outlineLevel="1"/>
    <col customWidth="1" min="48" max="48" width="14.5" outlineLevel="1"/>
    <col customWidth="1" min="49" max="49" width="12.63" outlineLevel="1"/>
    <col customWidth="1" min="50" max="50" width="13.63" outlineLevel="1"/>
    <col customWidth="1" min="51" max="51" width="12.63" outlineLevel="1"/>
    <col customWidth="1" min="52" max="52" width="13.75" outlineLevel="1"/>
    <col customWidth="1" min="53" max="53" width="12.63" outlineLevel="1"/>
    <col customWidth="1" min="54" max="55" width="13.5" outlineLevel="1"/>
    <col customWidth="1" min="56" max="56" width="13.75" outlineLevel="1"/>
    <col customWidth="1" min="57" max="57" width="14.75"/>
    <col customWidth="1" min="58" max="58" width="14.88"/>
    <col customWidth="1" min="59" max="60" width="8.88"/>
    <col customWidth="1" min="61" max="61" width="13.5" outlineLevel="1"/>
    <col customWidth="1" min="62" max="74" width="12.63" outlineLevel="1"/>
    <col customWidth="1" min="75" max="75" width="14.75"/>
    <col customWidth="1" min="76" max="76" width="14.88"/>
    <col customWidth="1" min="77" max="78" width="8.88"/>
    <col customWidth="1" min="79" max="92" width="12.63" outlineLevel="1"/>
    <col customWidth="1" min="93" max="93" width="14.13"/>
    <col customWidth="1" min="94" max="94" width="12.63"/>
    <col customWidth="1" min="95" max="96" width="8.88"/>
    <col customWidth="1" min="97" max="99" width="12.63" outlineLevel="1"/>
    <col collapsed="1" customWidth="1" min="100" max="100" width="12.63" outlineLevel="1"/>
    <col customWidth="1" hidden="1" min="101" max="110" width="12.63" outlineLevel="2"/>
    <col customWidth="1" min="111" max="112" width="12.63"/>
    <col customWidth="1" min="113" max="116" width="8.88"/>
  </cols>
  <sheetData>
    <row r="1" ht="3.75" customHeight="1">
      <c r="A1" s="1"/>
      <c r="B1" s="2"/>
      <c r="C1" s="3"/>
      <c r="D1" s="3"/>
      <c r="E1" s="3"/>
      <c r="F1" s="3"/>
      <c r="G1" s="3"/>
      <c r="H1" s="3"/>
      <c r="I1" s="3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6"/>
      <c r="AN1" s="6"/>
      <c r="AO1" s="6"/>
      <c r="AP1" s="6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6"/>
      <c r="BF1" s="6"/>
      <c r="BG1" s="6"/>
      <c r="BH1" s="6"/>
      <c r="BI1" s="6"/>
      <c r="BJ1" s="6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6"/>
      <c r="BX1" s="6"/>
      <c r="BY1" s="6"/>
      <c r="BZ1" s="6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8"/>
      <c r="CP1" s="8"/>
      <c r="CQ1" s="8"/>
      <c r="CR1" s="8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8"/>
      <c r="DH1" s="8"/>
      <c r="DI1" s="8"/>
      <c r="DJ1" s="8"/>
      <c r="DK1" s="6"/>
      <c r="DL1" s="6"/>
    </row>
    <row r="2" ht="15.75" customHeight="1">
      <c r="A2" s="1"/>
      <c r="C2" s="9"/>
      <c r="D2" s="3" t="s">
        <v>0</v>
      </c>
      <c r="J2" s="4"/>
      <c r="K2" s="9"/>
      <c r="L2" s="9"/>
      <c r="M2" s="9"/>
      <c r="N2" s="9"/>
      <c r="O2" s="9"/>
      <c r="P2" s="10"/>
      <c r="Q2" s="9"/>
      <c r="R2" s="9"/>
      <c r="S2" s="9"/>
      <c r="T2" s="9"/>
      <c r="U2" s="9"/>
      <c r="V2" s="9"/>
      <c r="W2" s="9"/>
      <c r="X2" s="9"/>
      <c r="Y2" s="9"/>
      <c r="Z2" s="11"/>
      <c r="AA2" s="9"/>
      <c r="AB2" s="12"/>
      <c r="AC2" s="9"/>
      <c r="AD2" s="9"/>
      <c r="AE2" s="9"/>
      <c r="AF2" s="12"/>
      <c r="AG2" s="9"/>
      <c r="AH2" s="10"/>
      <c r="AI2" s="9"/>
      <c r="AJ2" s="9"/>
      <c r="AK2" s="9"/>
      <c r="AL2" s="9"/>
      <c r="AM2" s="6"/>
      <c r="AN2" s="6"/>
      <c r="AO2" s="6"/>
      <c r="AP2" s="6"/>
      <c r="AQ2" s="9"/>
      <c r="AR2" s="9"/>
      <c r="AS2" s="9"/>
      <c r="AT2" s="9"/>
      <c r="AU2" s="9"/>
      <c r="AV2" s="9"/>
      <c r="AW2" s="9"/>
      <c r="AX2" s="9"/>
      <c r="AY2" s="9"/>
      <c r="AZ2" s="10"/>
      <c r="BA2" s="9"/>
      <c r="BB2" s="9"/>
      <c r="BC2" s="9"/>
      <c r="BD2" s="9"/>
      <c r="BE2" s="6"/>
      <c r="BF2" s="6"/>
      <c r="BG2" s="6"/>
      <c r="BH2" s="6"/>
      <c r="BI2" s="6"/>
      <c r="BJ2" s="6"/>
      <c r="BK2" s="7"/>
      <c r="BL2" s="7"/>
      <c r="BM2" s="7"/>
      <c r="BN2" s="7"/>
      <c r="BO2" s="7"/>
      <c r="BP2" s="7"/>
      <c r="BQ2" s="7"/>
      <c r="BR2" s="13"/>
      <c r="BS2" s="7"/>
      <c r="BT2" s="7"/>
      <c r="BU2" s="14" t="s">
        <v>1</v>
      </c>
      <c r="BV2" s="7"/>
      <c r="BW2" s="6"/>
      <c r="BX2" s="6"/>
      <c r="BY2" s="6"/>
      <c r="BZ2" s="6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8"/>
      <c r="CP2" s="8"/>
      <c r="CQ2" s="8"/>
      <c r="CR2" s="8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8"/>
      <c r="DH2" s="8"/>
      <c r="DI2" s="8"/>
      <c r="DJ2" s="8"/>
      <c r="DK2" s="6"/>
      <c r="DL2" s="6"/>
    </row>
    <row r="3" ht="1.5" customHeight="1">
      <c r="A3" s="15"/>
      <c r="B3" s="16"/>
      <c r="C3" s="16"/>
      <c r="D3" s="16"/>
      <c r="E3" s="16"/>
      <c r="F3" s="17"/>
      <c r="G3" s="16"/>
      <c r="H3" s="16"/>
      <c r="I3" s="18"/>
      <c r="J3" s="19"/>
      <c r="K3" s="20" t="str">
        <f>#REF!</f>
        <v>#REF!</v>
      </c>
      <c r="L3" s="21">
        <f t="shared" ref="L3:N3" si="1">K10</f>
        <v>46111</v>
      </c>
      <c r="M3" s="20" t="str">
        <f t="shared" si="1"/>
        <v/>
      </c>
      <c r="N3" s="21">
        <f t="shared" si="1"/>
        <v>46112</v>
      </c>
      <c r="O3" s="20" t="str">
        <f>#REF!</f>
        <v>#REF!</v>
      </c>
      <c r="P3" s="21">
        <f t="shared" ref="P3:T3" si="2">O10</f>
        <v>46143</v>
      </c>
      <c r="Q3" s="20" t="str">
        <f t="shared" si="2"/>
        <v/>
      </c>
      <c r="R3" s="21">
        <f t="shared" si="2"/>
        <v>46144</v>
      </c>
      <c r="S3" s="20" t="str">
        <f t="shared" si="2"/>
        <v/>
      </c>
      <c r="T3" s="21">
        <f t="shared" si="2"/>
        <v>46145</v>
      </c>
      <c r="U3" s="20"/>
      <c r="V3" s="20"/>
      <c r="W3" s="20"/>
      <c r="X3" s="20"/>
      <c r="Y3" s="20" t="str">
        <f>#REF!</f>
        <v>#REF!</v>
      </c>
      <c r="Z3" s="21">
        <f t="shared" ref="Z3:AL3" si="3">Y10</f>
        <v>46146</v>
      </c>
      <c r="AA3" s="20" t="str">
        <f t="shared" si="3"/>
        <v/>
      </c>
      <c r="AB3" s="22">
        <f t="shared" si="3"/>
        <v>46147</v>
      </c>
      <c r="AC3" s="20" t="str">
        <f t="shared" si="3"/>
        <v/>
      </c>
      <c r="AD3" s="21">
        <f t="shared" si="3"/>
        <v>46148</v>
      </c>
      <c r="AE3" s="20" t="str">
        <f t="shared" si="3"/>
        <v/>
      </c>
      <c r="AF3" s="22">
        <f t="shared" si="3"/>
        <v>46149</v>
      </c>
      <c r="AG3" s="20" t="str">
        <f t="shared" si="3"/>
        <v/>
      </c>
      <c r="AH3" s="21">
        <f t="shared" si="3"/>
        <v>46150</v>
      </c>
      <c r="AI3" s="20" t="str">
        <f t="shared" si="3"/>
        <v/>
      </c>
      <c r="AJ3" s="21">
        <f t="shared" si="3"/>
        <v>46151</v>
      </c>
      <c r="AK3" s="20" t="str">
        <f t="shared" si="3"/>
        <v/>
      </c>
      <c r="AL3" s="21">
        <f t="shared" si="3"/>
        <v>46152</v>
      </c>
      <c r="AM3" s="23"/>
      <c r="AN3" s="23"/>
      <c r="AO3" s="23"/>
      <c r="AP3" s="23"/>
      <c r="AQ3" s="20" t="str">
        <f>AL10</f>
        <v/>
      </c>
      <c r="AR3" s="21">
        <f t="shared" ref="AR3:BD3" si="4">AQ10</f>
        <v>46153</v>
      </c>
      <c r="AS3" s="20" t="str">
        <f t="shared" si="4"/>
        <v/>
      </c>
      <c r="AT3" s="21">
        <f t="shared" si="4"/>
        <v>46154</v>
      </c>
      <c r="AU3" s="20" t="str">
        <f t="shared" si="4"/>
        <v/>
      </c>
      <c r="AV3" s="21">
        <f t="shared" si="4"/>
        <v>46155</v>
      </c>
      <c r="AW3" s="20" t="str">
        <f t="shared" si="4"/>
        <v/>
      </c>
      <c r="AX3" s="21">
        <f t="shared" si="4"/>
        <v>46156</v>
      </c>
      <c r="AY3" s="20" t="str">
        <f t="shared" si="4"/>
        <v/>
      </c>
      <c r="AZ3" s="21">
        <f t="shared" si="4"/>
        <v>46157</v>
      </c>
      <c r="BA3" s="20" t="str">
        <f t="shared" si="4"/>
        <v/>
      </c>
      <c r="BB3" s="21">
        <f t="shared" si="4"/>
        <v>46158</v>
      </c>
      <c r="BC3" s="20" t="str">
        <f t="shared" si="4"/>
        <v/>
      </c>
      <c r="BD3" s="21">
        <f t="shared" si="4"/>
        <v>46159</v>
      </c>
      <c r="BE3" s="23"/>
      <c r="BF3" s="23"/>
      <c r="BG3" s="23"/>
      <c r="BH3" s="23"/>
      <c r="BI3" s="23" t="str">
        <f>BD10</f>
        <v/>
      </c>
      <c r="BJ3" s="24">
        <f t="shared" ref="BJ3:BV3" si="5">BI10</f>
        <v>46160</v>
      </c>
      <c r="BK3" s="25" t="str">
        <f t="shared" si="5"/>
        <v/>
      </c>
      <c r="BL3" s="26">
        <f t="shared" si="5"/>
        <v>46161</v>
      </c>
      <c r="BM3" s="25" t="str">
        <f t="shared" si="5"/>
        <v/>
      </c>
      <c r="BN3" s="26">
        <f t="shared" si="5"/>
        <v>46162</v>
      </c>
      <c r="BO3" s="25" t="str">
        <f t="shared" si="5"/>
        <v/>
      </c>
      <c r="BP3" s="26">
        <f t="shared" si="5"/>
        <v>46163</v>
      </c>
      <c r="BQ3" s="25" t="str">
        <f t="shared" si="5"/>
        <v/>
      </c>
      <c r="BR3" s="26">
        <f t="shared" si="5"/>
        <v>46164</v>
      </c>
      <c r="BS3" s="25" t="str">
        <f t="shared" si="5"/>
        <v/>
      </c>
      <c r="BT3" s="26">
        <f t="shared" si="5"/>
        <v>46165</v>
      </c>
      <c r="BU3" s="25" t="str">
        <f t="shared" si="5"/>
        <v/>
      </c>
      <c r="BV3" s="26">
        <f t="shared" si="5"/>
        <v>46166</v>
      </c>
      <c r="BW3" s="23"/>
      <c r="BX3" s="23"/>
      <c r="BY3" s="23"/>
      <c r="BZ3" s="23"/>
      <c r="CA3" s="20" t="str">
        <f>BV10</f>
        <v/>
      </c>
      <c r="CB3" s="21">
        <f t="shared" ref="CB3:CN3" si="6">CA10</f>
        <v>46167</v>
      </c>
      <c r="CC3" s="20" t="str">
        <f t="shared" si="6"/>
        <v/>
      </c>
      <c r="CD3" s="21">
        <f t="shared" si="6"/>
        <v>46168</v>
      </c>
      <c r="CE3" s="20" t="str">
        <f t="shared" si="6"/>
        <v/>
      </c>
      <c r="CF3" s="21">
        <f t="shared" si="6"/>
        <v>46169</v>
      </c>
      <c r="CG3" s="20" t="str">
        <f t="shared" si="6"/>
        <v/>
      </c>
      <c r="CH3" s="21">
        <f t="shared" si="6"/>
        <v>46170</v>
      </c>
      <c r="CI3" s="20" t="str">
        <f t="shared" si="6"/>
        <v/>
      </c>
      <c r="CJ3" s="21">
        <f t="shared" si="6"/>
        <v>46171</v>
      </c>
      <c r="CK3" s="20" t="str">
        <f t="shared" si="6"/>
        <v/>
      </c>
      <c r="CL3" s="21">
        <f t="shared" si="6"/>
        <v>46172</v>
      </c>
      <c r="CM3" s="20" t="str">
        <f t="shared" si="6"/>
        <v/>
      </c>
      <c r="CN3" s="21">
        <f t="shared" si="6"/>
        <v>46173</v>
      </c>
      <c r="CO3" s="27"/>
      <c r="CP3" s="27"/>
      <c r="CQ3" s="27"/>
      <c r="CR3" s="27"/>
      <c r="CS3" s="20" t="str">
        <f>CN10</f>
        <v/>
      </c>
      <c r="CT3" s="21">
        <f t="shared" ref="CT3:DF3" si="7">CS10</f>
        <v>46174</v>
      </c>
      <c r="CU3" s="20" t="str">
        <f t="shared" si="7"/>
        <v/>
      </c>
      <c r="CV3" s="21">
        <f t="shared" si="7"/>
        <v>46175</v>
      </c>
      <c r="CW3" s="20" t="str">
        <f t="shared" si="7"/>
        <v/>
      </c>
      <c r="CX3" s="21">
        <f t="shared" si="7"/>
        <v>46176</v>
      </c>
      <c r="CY3" s="20" t="str">
        <f t="shared" si="7"/>
        <v/>
      </c>
      <c r="CZ3" s="21">
        <f t="shared" si="7"/>
        <v>46177</v>
      </c>
      <c r="DA3" s="20" t="str">
        <f t="shared" si="7"/>
        <v/>
      </c>
      <c r="DB3" s="21">
        <f t="shared" si="7"/>
        <v>46178</v>
      </c>
      <c r="DC3" s="20" t="str">
        <f t="shared" si="7"/>
        <v/>
      </c>
      <c r="DD3" s="21">
        <f t="shared" si="7"/>
        <v>46179</v>
      </c>
      <c r="DE3" s="20" t="str">
        <f t="shared" si="7"/>
        <v/>
      </c>
      <c r="DF3" s="21">
        <f t="shared" si="7"/>
        <v>46180</v>
      </c>
      <c r="DG3" s="27"/>
      <c r="DH3" s="27"/>
      <c r="DI3" s="27"/>
      <c r="DJ3" s="27"/>
      <c r="DK3" s="28"/>
      <c r="DL3" s="28"/>
    </row>
    <row r="4">
      <c r="A4" s="29"/>
      <c r="B4" s="30" t="s">
        <v>2</v>
      </c>
      <c r="F4" s="9"/>
      <c r="G4" s="30"/>
      <c r="I4" s="31"/>
      <c r="J4" s="19"/>
      <c r="K4" s="32" t="s">
        <v>3</v>
      </c>
      <c r="L4" s="33" t="s">
        <v>4</v>
      </c>
      <c r="M4" s="32" t="s">
        <v>3</v>
      </c>
      <c r="N4" s="33" t="s">
        <v>4</v>
      </c>
      <c r="O4" s="32" t="s">
        <v>3</v>
      </c>
      <c r="P4" s="33" t="s">
        <v>4</v>
      </c>
      <c r="Q4" s="32" t="s">
        <v>3</v>
      </c>
      <c r="R4" s="33" t="s">
        <v>4</v>
      </c>
      <c r="S4" s="32" t="s">
        <v>3</v>
      </c>
      <c r="T4" s="33" t="s">
        <v>4</v>
      </c>
      <c r="U4" s="34" t="s">
        <v>3</v>
      </c>
      <c r="V4" s="35"/>
      <c r="W4" s="36" t="s">
        <v>4</v>
      </c>
      <c r="X4" s="37"/>
      <c r="Y4" s="38" t="s">
        <v>3</v>
      </c>
      <c r="Z4" s="33" t="s">
        <v>4</v>
      </c>
      <c r="AA4" s="38" t="s">
        <v>3</v>
      </c>
      <c r="AB4" s="39" t="s">
        <v>4</v>
      </c>
      <c r="AC4" s="32" t="s">
        <v>3</v>
      </c>
      <c r="AD4" s="33" t="s">
        <v>4</v>
      </c>
      <c r="AE4" s="32" t="s">
        <v>3</v>
      </c>
      <c r="AF4" s="39" t="s">
        <v>4</v>
      </c>
      <c r="AG4" s="32" t="s">
        <v>3</v>
      </c>
      <c r="AH4" s="33" t="s">
        <v>4</v>
      </c>
      <c r="AI4" s="32" t="s">
        <v>3</v>
      </c>
      <c r="AJ4" s="33" t="s">
        <v>4</v>
      </c>
      <c r="AK4" s="32" t="s">
        <v>3</v>
      </c>
      <c r="AL4" s="33" t="s">
        <v>4</v>
      </c>
      <c r="AM4" s="34" t="s">
        <v>3</v>
      </c>
      <c r="AN4" s="35"/>
      <c r="AO4" s="36" t="s">
        <v>4</v>
      </c>
      <c r="AP4" s="37"/>
      <c r="AQ4" s="38" t="s">
        <v>3</v>
      </c>
      <c r="AR4" s="33" t="s">
        <v>4</v>
      </c>
      <c r="AS4" s="38" t="s">
        <v>3</v>
      </c>
      <c r="AT4" s="33" t="s">
        <v>4</v>
      </c>
      <c r="AU4" s="32" t="s">
        <v>3</v>
      </c>
      <c r="AV4" s="33" t="s">
        <v>4</v>
      </c>
      <c r="AW4" s="32" t="s">
        <v>3</v>
      </c>
      <c r="AX4" s="33" t="s">
        <v>4</v>
      </c>
      <c r="AY4" s="32" t="s">
        <v>3</v>
      </c>
      <c r="AZ4" s="33" t="s">
        <v>4</v>
      </c>
      <c r="BA4" s="32" t="s">
        <v>3</v>
      </c>
      <c r="BB4" s="33" t="s">
        <v>4</v>
      </c>
      <c r="BC4" s="32" t="s">
        <v>3</v>
      </c>
      <c r="BD4" s="33" t="s">
        <v>4</v>
      </c>
      <c r="BE4" s="40" t="s">
        <v>3</v>
      </c>
      <c r="BF4" s="41"/>
      <c r="BG4" s="42" t="s">
        <v>4</v>
      </c>
      <c r="BH4" s="43"/>
      <c r="BI4" s="44" t="s">
        <v>3</v>
      </c>
      <c r="BJ4" s="42" t="s">
        <v>4</v>
      </c>
      <c r="BK4" s="44" t="s">
        <v>3</v>
      </c>
      <c r="BL4" s="42" t="s">
        <v>4</v>
      </c>
      <c r="BM4" s="44" t="s">
        <v>3</v>
      </c>
      <c r="BN4" s="42" t="s">
        <v>4</v>
      </c>
      <c r="BO4" s="45" t="s">
        <v>3</v>
      </c>
      <c r="BP4" s="46" t="s">
        <v>4</v>
      </c>
      <c r="BQ4" s="45" t="s">
        <v>3</v>
      </c>
      <c r="BR4" s="46" t="s">
        <v>4</v>
      </c>
      <c r="BS4" s="45" t="s">
        <v>3</v>
      </c>
      <c r="BT4" s="46" t="s">
        <v>4</v>
      </c>
      <c r="BU4" s="45" t="s">
        <v>3</v>
      </c>
      <c r="BV4" s="47" t="s">
        <v>4</v>
      </c>
      <c r="BW4" s="40" t="s">
        <v>3</v>
      </c>
      <c r="BX4" s="41"/>
      <c r="BY4" s="42" t="s">
        <v>4</v>
      </c>
      <c r="BZ4" s="43"/>
      <c r="CA4" s="38" t="s">
        <v>3</v>
      </c>
      <c r="CB4" s="33" t="s">
        <v>4</v>
      </c>
      <c r="CC4" s="32" t="s">
        <v>3</v>
      </c>
      <c r="CD4" s="33" t="s">
        <v>4</v>
      </c>
      <c r="CE4" s="32" t="s">
        <v>3</v>
      </c>
      <c r="CF4" s="33" t="s">
        <v>4</v>
      </c>
      <c r="CG4" s="32" t="s">
        <v>3</v>
      </c>
      <c r="CH4" s="33" t="s">
        <v>4</v>
      </c>
      <c r="CI4" s="32" t="s">
        <v>3</v>
      </c>
      <c r="CJ4" s="33" t="s">
        <v>4</v>
      </c>
      <c r="CK4" s="32" t="s">
        <v>3</v>
      </c>
      <c r="CL4" s="33" t="s">
        <v>4</v>
      </c>
      <c r="CM4" s="32" t="s">
        <v>3</v>
      </c>
      <c r="CN4" s="33" t="s">
        <v>4</v>
      </c>
      <c r="CO4" s="48" t="s">
        <v>3</v>
      </c>
      <c r="CP4" s="49"/>
      <c r="CQ4" s="50" t="s">
        <v>4</v>
      </c>
      <c r="CR4" s="43"/>
      <c r="CS4" s="38" t="s">
        <v>3</v>
      </c>
      <c r="CT4" s="33" t="s">
        <v>4</v>
      </c>
      <c r="CU4" s="32" t="s">
        <v>3</v>
      </c>
      <c r="CV4" s="33" t="s">
        <v>4</v>
      </c>
      <c r="CW4" s="32" t="s">
        <v>3</v>
      </c>
      <c r="CX4" s="33" t="s">
        <v>4</v>
      </c>
      <c r="CY4" s="32" t="s">
        <v>3</v>
      </c>
      <c r="CZ4" s="33" t="s">
        <v>4</v>
      </c>
      <c r="DA4" s="32" t="s">
        <v>3</v>
      </c>
      <c r="DB4" s="33" t="s">
        <v>4</v>
      </c>
      <c r="DC4" s="32" t="s">
        <v>3</v>
      </c>
      <c r="DD4" s="33" t="s">
        <v>4</v>
      </c>
      <c r="DE4" s="32" t="s">
        <v>3</v>
      </c>
      <c r="DF4" s="33" t="s">
        <v>4</v>
      </c>
      <c r="DG4" s="48" t="s">
        <v>3</v>
      </c>
      <c r="DH4" s="49"/>
      <c r="DI4" s="50" t="s">
        <v>4</v>
      </c>
      <c r="DJ4" s="43"/>
      <c r="DK4" s="42"/>
      <c r="DL4" s="42"/>
    </row>
    <row r="5" ht="3.75" customHeight="1">
      <c r="A5" s="29"/>
      <c r="B5" s="31"/>
      <c r="C5" s="51"/>
      <c r="D5" s="52"/>
      <c r="E5" s="9"/>
      <c r="F5" s="9"/>
      <c r="G5" s="53"/>
      <c r="H5" s="53"/>
      <c r="I5" s="9"/>
      <c r="J5" s="54"/>
      <c r="K5" s="55"/>
      <c r="L5" s="56"/>
      <c r="M5" s="55"/>
      <c r="N5" s="56"/>
      <c r="O5" s="55"/>
      <c r="P5" s="56"/>
      <c r="Q5" s="55"/>
      <c r="R5" s="56"/>
      <c r="S5" s="55"/>
      <c r="T5" s="56"/>
      <c r="U5" s="57"/>
      <c r="V5" s="41"/>
      <c r="W5" s="58"/>
      <c r="X5" s="43"/>
      <c r="Y5" s="41"/>
      <c r="Z5" s="56"/>
      <c r="AA5" s="41"/>
      <c r="AB5" s="56"/>
      <c r="AC5" s="55"/>
      <c r="AD5" s="56"/>
      <c r="AE5" s="55"/>
      <c r="AF5" s="56"/>
      <c r="AG5" s="55"/>
      <c r="AH5" s="56"/>
      <c r="AI5" s="55"/>
      <c r="AJ5" s="56"/>
      <c r="AK5" s="55"/>
      <c r="AL5" s="56"/>
      <c r="AM5" s="57"/>
      <c r="AN5" s="41"/>
      <c r="AO5" s="58"/>
      <c r="AP5" s="43"/>
      <c r="AQ5" s="41"/>
      <c r="AR5" s="56"/>
      <c r="AS5" s="41"/>
      <c r="AT5" s="56"/>
      <c r="AU5" s="55"/>
      <c r="AV5" s="56"/>
      <c r="AW5" s="55"/>
      <c r="AX5" s="56"/>
      <c r="AY5" s="55"/>
      <c r="AZ5" s="56"/>
      <c r="BA5" s="55"/>
      <c r="BB5" s="56"/>
      <c r="BC5" s="55"/>
      <c r="BD5" s="56"/>
      <c r="BE5" s="57"/>
      <c r="BF5" s="41"/>
      <c r="BH5" s="43"/>
      <c r="BI5" s="59"/>
      <c r="BK5" s="59"/>
      <c r="BM5" s="59"/>
      <c r="BO5" s="41"/>
      <c r="BP5" s="49"/>
      <c r="BQ5" s="41"/>
      <c r="BR5" s="49"/>
      <c r="BS5" s="41"/>
      <c r="BT5" s="49"/>
      <c r="BU5" s="41"/>
      <c r="BW5" s="57"/>
      <c r="BX5" s="41"/>
      <c r="BZ5" s="43"/>
      <c r="CA5" s="41"/>
      <c r="CB5" s="56"/>
      <c r="CC5" s="55"/>
      <c r="CD5" s="56"/>
      <c r="CE5" s="55"/>
      <c r="CF5" s="56"/>
      <c r="CG5" s="55"/>
      <c r="CH5" s="56"/>
      <c r="CI5" s="55"/>
      <c r="CJ5" s="56"/>
      <c r="CK5" s="55"/>
      <c r="CL5" s="56"/>
      <c r="CM5" s="55"/>
      <c r="CN5" s="56"/>
      <c r="CO5" s="57"/>
      <c r="CP5" s="49"/>
      <c r="CR5" s="43"/>
      <c r="CS5" s="41"/>
      <c r="CT5" s="56"/>
      <c r="CU5" s="55"/>
      <c r="CV5" s="56"/>
      <c r="CW5" s="55"/>
      <c r="CX5" s="56"/>
      <c r="CY5" s="55"/>
      <c r="CZ5" s="56"/>
      <c r="DA5" s="55"/>
      <c r="DB5" s="56"/>
      <c r="DC5" s="55"/>
      <c r="DD5" s="56"/>
      <c r="DE5" s="55"/>
      <c r="DF5" s="56"/>
      <c r="DG5" s="57"/>
      <c r="DH5" s="49"/>
      <c r="DJ5" s="43"/>
      <c r="DK5" s="42"/>
      <c r="DL5" s="42"/>
    </row>
    <row r="6">
      <c r="A6" s="60" t="s">
        <v>5</v>
      </c>
      <c r="B6" s="31" t="s">
        <v>85</v>
      </c>
      <c r="C6" s="51"/>
      <c r="D6" s="61">
        <v>0.4</v>
      </c>
      <c r="E6" s="9"/>
      <c r="F6" s="9"/>
      <c r="G6" s="62">
        <v>46143.0</v>
      </c>
      <c r="H6" s="63"/>
      <c r="I6" s="9"/>
      <c r="J6" s="54"/>
      <c r="K6" s="64"/>
      <c r="L6" s="65"/>
      <c r="M6" s="64"/>
      <c r="N6" s="65"/>
      <c r="O6" s="64"/>
      <c r="P6" s="65"/>
      <c r="Q6" s="64"/>
      <c r="R6" s="65"/>
      <c r="S6" s="64"/>
      <c r="T6" s="65"/>
      <c r="U6" s="66"/>
      <c r="V6" s="67"/>
      <c r="W6" s="68"/>
      <c r="X6" s="69"/>
      <c r="Y6" s="67"/>
      <c r="Z6" s="65"/>
      <c r="AA6" s="67"/>
      <c r="AB6" s="65"/>
      <c r="AC6" s="64"/>
      <c r="AD6" s="65"/>
      <c r="AE6" s="64"/>
      <c r="AF6" s="65"/>
      <c r="AG6" s="64"/>
      <c r="AH6" s="65"/>
      <c r="AI6" s="64"/>
      <c r="AJ6" s="65"/>
      <c r="AK6" s="64"/>
      <c r="AL6" s="65"/>
      <c r="AM6" s="66"/>
      <c r="AN6" s="67"/>
      <c r="AO6" s="68"/>
      <c r="AP6" s="69"/>
      <c r="AQ6" s="67"/>
      <c r="AR6" s="65"/>
      <c r="AS6" s="67"/>
      <c r="AT6" s="65"/>
      <c r="AU6" s="64"/>
      <c r="AV6" s="65"/>
      <c r="AW6" s="64"/>
      <c r="AX6" s="65"/>
      <c r="AY6" s="64"/>
      <c r="AZ6" s="65"/>
      <c r="BA6" s="64"/>
      <c r="BB6" s="65"/>
      <c r="BC6" s="64"/>
      <c r="BD6" s="65"/>
      <c r="BE6" s="66"/>
      <c r="BF6" s="67"/>
      <c r="BG6" s="70"/>
      <c r="BH6" s="69"/>
      <c r="BI6" s="71"/>
      <c r="BJ6" s="70"/>
      <c r="BK6" s="71"/>
      <c r="BL6" s="70"/>
      <c r="BM6" s="71"/>
      <c r="BN6" s="70"/>
      <c r="BO6" s="67"/>
      <c r="BP6" s="72"/>
      <c r="BQ6" s="67"/>
      <c r="BR6" s="72"/>
      <c r="BS6" s="67"/>
      <c r="BT6" s="72"/>
      <c r="BU6" s="67"/>
      <c r="BV6" s="70"/>
      <c r="BW6" s="66"/>
      <c r="BX6" s="67"/>
      <c r="BY6" s="70"/>
      <c r="BZ6" s="69"/>
      <c r="CA6" s="67"/>
      <c r="CB6" s="65"/>
      <c r="CC6" s="64"/>
      <c r="CD6" s="65"/>
      <c r="CE6" s="64"/>
      <c r="CF6" s="65"/>
      <c r="CG6" s="64"/>
      <c r="CH6" s="65"/>
      <c r="CI6" s="64"/>
      <c r="CJ6" s="65"/>
      <c r="CK6" s="64"/>
      <c r="CL6" s="65"/>
      <c r="CM6" s="64"/>
      <c r="CN6" s="65"/>
      <c r="CO6" s="66"/>
      <c r="CP6" s="72"/>
      <c r="CQ6" s="70"/>
      <c r="CR6" s="69"/>
      <c r="CS6" s="67"/>
      <c r="CT6" s="65"/>
      <c r="CU6" s="64"/>
      <c r="CV6" s="65"/>
      <c r="CW6" s="64"/>
      <c r="CX6" s="65"/>
      <c r="CY6" s="64"/>
      <c r="CZ6" s="65"/>
      <c r="DA6" s="64"/>
      <c r="DB6" s="65"/>
      <c r="DC6" s="64"/>
      <c r="DD6" s="65"/>
      <c r="DE6" s="64"/>
      <c r="DF6" s="65"/>
      <c r="DG6" s="66"/>
      <c r="DH6" s="72"/>
      <c r="DI6" s="70"/>
      <c r="DJ6" s="69"/>
      <c r="DK6" s="42"/>
      <c r="DL6" s="42"/>
    </row>
    <row r="7">
      <c r="A7" s="60" t="s">
        <v>7</v>
      </c>
      <c r="B7" s="73" t="s">
        <v>86</v>
      </c>
      <c r="C7" s="74"/>
      <c r="D7" s="75">
        <v>0.7</v>
      </c>
      <c r="E7" s="9"/>
      <c r="F7" s="9"/>
      <c r="G7" s="76"/>
      <c r="H7" s="77"/>
      <c r="I7" s="78"/>
      <c r="J7" s="79"/>
      <c r="K7" s="80" t="str">
        <f>IFERROR(L151/K151,"")</f>
        <v/>
      </c>
      <c r="L7" s="81" t="str">
        <f>IF(K12&lt;&gt;0,IF((L12-K12)&gt;0,"Не в плане","В плане"),)</f>
        <v/>
      </c>
      <c r="M7" s="80" t="str">
        <f>IFERROR(N151/M151,"")</f>
        <v/>
      </c>
      <c r="N7" s="81" t="str">
        <f>IF(M12&lt;&gt;0,IF((N12-M12)&gt;0,"Не в плане","В плане"),)</f>
        <v/>
      </c>
      <c r="O7" s="80" t="str">
        <f>IFERROR(P151/O151,"")</f>
        <v/>
      </c>
      <c r="P7" s="81" t="str">
        <f>IF(O12&lt;&gt;0,IF((P12-O12)&gt;0,"Не в плане","В плане"),)</f>
        <v>В плане</v>
      </c>
      <c r="Q7" s="80" t="str">
        <f>IFERROR(R151/Q151,"")</f>
        <v/>
      </c>
      <c r="R7" s="81" t="str">
        <f>IF(Q12&lt;&gt;0,IF((R12-Q12)&gt;0,"Не в плане","В плане"),)</f>
        <v>В плане</v>
      </c>
      <c r="S7" s="80" t="str">
        <f>IFERROR(T151/S151,"")</f>
        <v/>
      </c>
      <c r="T7" s="81" t="str">
        <f>IF(S12&lt;&gt;0,IF((T12-S12)&gt;0,"Не в плане","В плане"),)</f>
        <v>В плане</v>
      </c>
      <c r="U7" s="82" t="str">
        <f>IFERROR(V150/U150,"")</f>
        <v/>
      </c>
      <c r="V7" s="83"/>
      <c r="W7" s="84">
        <f>W12</f>
        <v>0.6613032489</v>
      </c>
      <c r="X7" s="85"/>
      <c r="Y7" s="80">
        <f>IFERROR(Z150/Y150,"")</f>
        <v>0</v>
      </c>
      <c r="Z7" s="81" t="str">
        <f>IF(Y12&lt;&gt;0,IF((Z12-Y12)&gt;0,"Не в плане","В плане"),)</f>
        <v>В плане</v>
      </c>
      <c r="AA7" s="80">
        <f>IFERROR(AB150/AA150,"")</f>
        <v>0</v>
      </c>
      <c r="AB7" s="81" t="str">
        <f>IF(AA12&lt;&gt;0,IF((AB12-AA12)&gt;0,"Не в плане","В плане"),)</f>
        <v>В плане</v>
      </c>
      <c r="AC7" s="80">
        <f>IFERROR(AD151/AC151,"")</f>
        <v>0</v>
      </c>
      <c r="AD7" s="81" t="str">
        <f>IF(AC12&lt;&gt;0,IF((AD12-AC12)&gt;0,"Не в плане","В плане"),)</f>
        <v>В плане</v>
      </c>
      <c r="AE7" s="80">
        <f>IFERROR(AF151/AE151,"")</f>
        <v>0</v>
      </c>
      <c r="AF7" s="81" t="str">
        <f>IF(AE12&lt;&gt;0,IF((AF12-AE12)&gt;0,"Не в плане","В плане"),)</f>
        <v>В плане</v>
      </c>
      <c r="AG7" s="80">
        <f>IFERROR(AH151/AG151,"")</f>
        <v>0</v>
      </c>
      <c r="AH7" s="81" t="str">
        <f>IF(AG12&lt;&gt;0,IF((AH12-AG12)&gt;0,"Не в плане","В плане"),)</f>
        <v>В плане</v>
      </c>
      <c r="AI7" s="80">
        <f>IFERROR(AJ151/AI151,"")</f>
        <v>0</v>
      </c>
      <c r="AJ7" s="81" t="str">
        <f>IF(AI12&lt;&gt;0,IF((AJ12-AI12)&gt;0,"Не в плане","В плане"),)</f>
        <v>В плане</v>
      </c>
      <c r="AK7" s="80">
        <f>IFERROR(AL151/AK151,"")</f>
        <v>0</v>
      </c>
      <c r="AL7" s="81" t="str">
        <f>IF(AK12&lt;&gt;0,IF((AL12-AK12)&gt;0,"Не в плане","В плане"),)</f>
        <v>В плане</v>
      </c>
      <c r="AM7" s="82">
        <f>IFERROR(AN150/AM150,"")</f>
        <v>0</v>
      </c>
      <c r="AN7" s="86"/>
      <c r="AO7" s="84">
        <f>AO12</f>
        <v>0.4184439421</v>
      </c>
      <c r="AP7" s="85"/>
      <c r="AQ7" s="87" t="str">
        <f>IFERROR(AR150/AQ150,"")</f>
        <v/>
      </c>
      <c r="AR7" s="81" t="str">
        <f>IF(AQ12&lt;&gt;0,IF((AR12-AQ12)&gt;0,"Не в плане","В плане"),)</f>
        <v>В плане</v>
      </c>
      <c r="AS7" s="80" t="str">
        <f>IFERROR(AT150/AS150,"")</f>
        <v/>
      </c>
      <c r="AT7" s="81" t="str">
        <f>IF(AS12&lt;&gt;0,IF((AT12-AS12)&gt;0,"Не в плане","В плане"),)</f>
        <v>В плане</v>
      </c>
      <c r="AU7" s="80" t="str">
        <f>IFERROR(AV151/AU151,"")</f>
        <v/>
      </c>
      <c r="AV7" s="81" t="str">
        <f>IF(AU12&lt;&gt;0,IF((AV12-AU12)&gt;0,"Не в плане","В плане"),)</f>
        <v>В плане</v>
      </c>
      <c r="AW7" s="80" t="str">
        <f>IFERROR(AX151/AW151,"")</f>
        <v/>
      </c>
      <c r="AX7" s="81" t="str">
        <f>IF(AW12&lt;&gt;0,IF((AX12-AW12)&gt;0,"Не в плане","В плане"),)</f>
        <v>В плане</v>
      </c>
      <c r="AY7" s="80" t="str">
        <f>IFERROR(AZ151/AY151,"")</f>
        <v/>
      </c>
      <c r="AZ7" s="81" t="str">
        <f>IF(AY12&lt;&gt;0,IF((AZ12-AY12)&gt;0,"Не в плане","В плане"),)</f>
        <v>В плане</v>
      </c>
      <c r="BA7" s="80" t="str">
        <f>IFERROR(BB151/BA151,"")</f>
        <v/>
      </c>
      <c r="BB7" s="81" t="str">
        <f>IF(BA12&lt;&gt;0,IF((BB12-BA12)&gt;0,"Не в плане","В плане"),)</f>
        <v>В плане</v>
      </c>
      <c r="BC7" s="80" t="str">
        <f>IFERROR(BD151/BC151,"")</f>
        <v/>
      </c>
      <c r="BD7" s="88" t="str">
        <f>IF(BC12&lt;&gt;0,IF((BD12-BC12)&gt;0,"Не в плане","В плане"),)</f>
        <v>В плане</v>
      </c>
      <c r="BE7" s="89" t="str">
        <f>IFERROR(BF150/BE150,"")</f>
        <v/>
      </c>
      <c r="BF7" s="90"/>
      <c r="BG7" s="91" t="str">
        <f>IFERROR(__xludf.DUMMYFUNCTION("BH12"),"")</f>
        <v/>
      </c>
      <c r="BH7" s="69"/>
      <c r="BI7" s="87" t="str">
        <f>IFERROR(BJ150/BI150,"")</f>
        <v/>
      </c>
      <c r="BJ7" s="81" t="str">
        <f>IF(BI12&lt;&gt;0,IF((BJ12-BI12)&gt;0,"Не в плане","В плане"),)</f>
        <v>В плане</v>
      </c>
      <c r="BK7" s="87" t="str">
        <f>IFERROR(BL150/BK150,"")</f>
        <v/>
      </c>
      <c r="BL7" s="81" t="str">
        <f>IF(BK12&lt;&gt;0,IF((BL12-BK12)&gt;0,"Не в плане","В плане"),)</f>
        <v>В плане</v>
      </c>
      <c r="BM7" s="87" t="str">
        <f>IFERROR(BN151/BM151,"")</f>
        <v/>
      </c>
      <c r="BN7" s="81" t="str">
        <f>IF(BM12&lt;&gt;0,IF((BN12-BM12)&gt;0,"Не в плане","В плане"),)</f>
        <v>В плане</v>
      </c>
      <c r="BO7" s="92" t="str">
        <f>IFERROR(BP151/BO151,"")</f>
        <v/>
      </c>
      <c r="BP7" s="81" t="str">
        <f>IF(BO12&lt;&gt;0,IF((BP12-BO12)&gt;0,"Не в плане","В плане"),)</f>
        <v>В плане</v>
      </c>
      <c r="BQ7" s="92" t="str">
        <f>IFERROR(BR151/BQ151,"")</f>
        <v/>
      </c>
      <c r="BR7" s="81" t="str">
        <f>IF(BQ12&lt;&gt;0,IF((BR12-BQ12)&gt;0,"Не в плане","В плане"),)</f>
        <v>В плане</v>
      </c>
      <c r="BS7" s="92" t="str">
        <f>IFERROR(BT151/BS151,"")</f>
        <v/>
      </c>
      <c r="BT7" s="81" t="str">
        <f>IF(BS12&lt;&gt;0,IF((BT12-BS12)&gt;0,"Не в плане","В плане"),)</f>
        <v>В плане</v>
      </c>
      <c r="BU7" s="92" t="str">
        <f>IFERROR(BV151/BU151,"")</f>
        <v/>
      </c>
      <c r="BV7" s="88" t="str">
        <f>IF(BU12&lt;&gt;0,IF((BV12-BU12)&gt;0,"Не в плане","В плане"),)</f>
        <v>В плане</v>
      </c>
      <c r="BW7" s="89" t="str">
        <f>IFERROR(BX150/BW150,"")</f>
        <v/>
      </c>
      <c r="BX7" s="90"/>
      <c r="BY7" s="91" t="str">
        <f>IFERROR(__xludf.DUMMYFUNCTION("BZ12"),"")</f>
        <v/>
      </c>
      <c r="BZ7" s="69"/>
      <c r="CA7" s="87" t="str">
        <f>IFERROR(CB150/CA150,"")</f>
        <v/>
      </c>
      <c r="CB7" s="81" t="str">
        <f>IF(CA12&lt;&gt;0,IF((CB12-CA12)&gt;0,"Не в плане","В плане"),)</f>
        <v>В плане</v>
      </c>
      <c r="CC7" s="80" t="str">
        <f>IFERROR(CD150/CC150,"")</f>
        <v/>
      </c>
      <c r="CD7" s="81" t="str">
        <f>IF(CC12&lt;&gt;0,IF((CD12-CC12)&gt;0,"Не в плане","В плане"),)</f>
        <v>В плане</v>
      </c>
      <c r="CE7" s="80" t="str">
        <f>IFERROR(CF151/CE151,"")</f>
        <v/>
      </c>
      <c r="CF7" s="81" t="str">
        <f>IF(CE12&lt;&gt;0,IF((CF12-CE12)&gt;0,"Не в плане","В плане"),)</f>
        <v>В плане</v>
      </c>
      <c r="CG7" s="80" t="str">
        <f>IFERROR(CH151/CG151,"")</f>
        <v/>
      </c>
      <c r="CH7" s="81" t="str">
        <f>IF(CG12&lt;&gt;0,IF((CH12-CG12)&gt;0,"Не в плане","В плане"),)</f>
        <v>В плане</v>
      </c>
      <c r="CI7" s="80" t="str">
        <f>IFERROR(CJ151/CI151,"")</f>
        <v/>
      </c>
      <c r="CJ7" s="81" t="str">
        <f>IF(CI12&lt;&gt;0,IF((CJ12-CI12)&gt;0,"Не в плане","В плане"),)</f>
        <v>В плане</v>
      </c>
      <c r="CK7" s="80" t="str">
        <f>IFERROR(CL151/CK151,"")</f>
        <v/>
      </c>
      <c r="CL7" s="81" t="str">
        <f>IF(CK12&lt;&gt;0,IF((CL12-CK12)&gt;0,"Не в плане","В плане"),)</f>
        <v>В плане</v>
      </c>
      <c r="CM7" s="80" t="str">
        <f>IFERROR(CN151/CM151,"")</f>
        <v/>
      </c>
      <c r="CN7" s="88" t="str">
        <f>IF(CM12&lt;&gt;0,IF((CN12-CM12)&gt;0,"Не в плане","В плане"),)</f>
        <v>В плане</v>
      </c>
      <c r="CO7" s="93" t="str">
        <f>IFERROR(CQ150/CP150,"")</f>
        <v/>
      </c>
      <c r="CP7" s="90"/>
      <c r="CQ7" s="94" t="str">
        <f>CS12</f>
        <v/>
      </c>
      <c r="CR7" s="69"/>
      <c r="CS7" s="87" t="str">
        <f>IFERROR(#REF!/#REF!,"")</f>
        <v/>
      </c>
      <c r="CT7" s="81" t="str">
        <f>IF(#REF!&lt;&gt;0,IF(abs(#REF!-#REF!)&gt;20%,"Не в плане","В плане"),)</f>
        <v>#REF!</v>
      </c>
      <c r="CU7" s="95" t="str">
        <f>IFERROR(#REF!/#REF!,"")</f>
        <v/>
      </c>
      <c r="CV7" s="81" t="str">
        <f>IF(#REF!&lt;&gt;0,IF(abs(#REF!-#REF!)&gt;20%,"Не в плане","В плане"),)</f>
        <v>#REF!</v>
      </c>
      <c r="CW7" s="95" t="str">
        <f>IFERROR(#REF!/#REF!,"")</f>
        <v/>
      </c>
      <c r="CX7" s="81" t="str">
        <f>IF(#REF!&lt;&gt;0,IF(abs(#REF!-#REF!)&gt;20%,"Не в плане","В плане"),)</f>
        <v>#REF!</v>
      </c>
      <c r="CY7" s="95" t="str">
        <f>IFERROR(#REF!/#REF!,"")</f>
        <v/>
      </c>
      <c r="CZ7" s="81" t="str">
        <f>IF(#REF!&lt;&gt;0,IF(abs(#REF!-#REF!)&gt;20%,"Не в плане","В плане"),)</f>
        <v>#REF!</v>
      </c>
      <c r="DA7" s="95" t="str">
        <f>IFERROR(#REF!/#REF!,"")</f>
        <v/>
      </c>
      <c r="DB7" s="81" t="str">
        <f>IF(#REF!&lt;&gt;0,IF(abs(#REF!-#REF!)&gt;20%,"Не в плане","В плане"),)</f>
        <v>#REF!</v>
      </c>
      <c r="DC7" s="95" t="str">
        <f>IFERROR(#REF!/#REF!,"")</f>
        <v/>
      </c>
      <c r="DD7" s="81" t="str">
        <f>IF(#REF!&lt;&gt;0,IF(abs(#REF!-#REF!)&gt;20%,"Не в плане","В плане"),)</f>
        <v>#REF!</v>
      </c>
      <c r="DE7" s="95" t="str">
        <f>IFERROR(#REF!/#REF!,"")</f>
        <v/>
      </c>
      <c r="DF7" s="81" t="str">
        <f>IF(#REF!&lt;&gt;0,IF(abs(#REF!-#REF!)&gt;20%,"Не в плане","В плане"),)</f>
        <v>#REF!</v>
      </c>
      <c r="DG7" s="93" t="str">
        <f>IFERROR(DI150/DH150,"")</f>
        <v/>
      </c>
      <c r="DH7" s="90"/>
      <c r="DI7" s="94" t="str">
        <f>DK12</f>
        <v/>
      </c>
      <c r="DJ7" s="69"/>
      <c r="DK7" s="96"/>
      <c r="DL7" s="96"/>
    </row>
    <row r="8">
      <c r="A8" s="60" t="s">
        <v>9</v>
      </c>
      <c r="B8" s="31" t="s">
        <v>87</v>
      </c>
      <c r="C8" s="97"/>
      <c r="D8" s="98">
        <v>0.9</v>
      </c>
      <c r="E8" s="9"/>
      <c r="F8" s="9"/>
      <c r="G8" s="99">
        <f>'Май'!date+8-WEEKDAY('Май'!date,2)</f>
        <v>46146</v>
      </c>
      <c r="H8" s="5">
        <f>MONTH(G7)</f>
        <v>12</v>
      </c>
      <c r="I8" s="9"/>
      <c r="J8" s="54"/>
      <c r="K8" s="100" t="str">
        <f>IFERROR(__xludf.DUMMYFUNCTION("IFERROR(SPARKLINE(K7,{""charttype"",""bar"";""color1"",IF(K7&gt;='Май'!green_percent,'Май'!green,IF(K7&gt;='Май'!yellow_percent,'Май'!yellow,IF(K7&gt;='Май'!orange_percent,'Май'!orange,'Май'!red)));""max"",1}))"),"")</f>
        <v/>
      </c>
      <c r="L8" s="101"/>
      <c r="M8" s="102" t="str">
        <f>IFERROR(__xludf.DUMMYFUNCTION("IFERROR(SPARKLINE(M7,{""charttype"",""bar"";""color1"",IF(M7&gt;='Май'!green_percent,'Май'!green,IF(M7&gt;='Май'!yellow_percent,'Май'!yellow,IF(M7&gt;='Май'!orange_percent,'Май'!orange,'Май'!red)));""max"",1}))"),"")</f>
        <v/>
      </c>
      <c r="N8" s="103"/>
      <c r="O8" s="102" t="str">
        <f>IFERROR(__xludf.DUMMYFUNCTION("IFERROR(SPARKLINE(O7,{""charttype"",""bar"";""color1"",IF(O7&gt;='Май'!green_percent,'Май'!green,IF(O7&gt;='Май'!yellow_percent,'Май'!yellow,IF(O7&gt;='Май'!orange_percent,'Май'!orange,'Май'!red)));""max"",1}))"),"")</f>
        <v/>
      </c>
      <c r="P8" s="103"/>
      <c r="Q8" s="102" t="str">
        <f>IFERROR(__xludf.DUMMYFUNCTION("IFERROR(SPARKLINE(Q7,{""charttype"",""bar"";""color1"",IF(Q7&gt;='Май'!green_percent,'Май'!green,IF(Q7&gt;='Май'!yellow_percent,'Май'!yellow,IF(Q7&gt;='Май'!orange_percent,'Май'!orange,'Май'!red)));""max"",1}))"),"")</f>
        <v/>
      </c>
      <c r="R8" s="103"/>
      <c r="S8" s="104" t="str">
        <f>IFERROR(__xludf.DUMMYFUNCTION("IFERROR(SPARKLINE(S7,{""charttype"",""bar"";""color1"",IF(S7&gt;='Май'!green_percent,'Май'!green,IF(S7&gt;='Май'!yellow_percent,'Май'!yellow,IF(S7&gt;='Май'!orange_percent,'Май'!orange,'Май'!red)));""max"",1}))"),"")</f>
        <v/>
      </c>
      <c r="T8" s="103"/>
      <c r="U8" s="102" t="str">
        <f>V151</f>
        <v>#REF!</v>
      </c>
      <c r="V8" s="105"/>
      <c r="W8" s="105"/>
      <c r="X8" s="106"/>
      <c r="Y8" s="100" t="str">
        <f>IFERROR(__xludf.DUMMYFUNCTION("IFERROR(SPARKLINE(Y7,{""charttype"",""bar"";""color1"",IF(Y7&gt;='Май'!green_percent,'Май'!green,IF(Y7&gt;='Май'!yellow_percent,'Май'!yellow,IF(Y7&gt;='Май'!orange_percent,'Май'!orange,'Май'!red)));""max"",1}))"),"")</f>
        <v/>
      </c>
      <c r="Z8" s="101"/>
      <c r="AA8" s="100" t="str">
        <f>IFERROR(__xludf.DUMMYFUNCTION("IFERROR(SPARKLINE(AA7,{""charttype"",""bar"";""color1"",IF(AA7&gt;='Май'!green_percent,'Май'!green,IF(AA7&gt;='Май'!yellow_percent,'Май'!yellow,IF(AA7&gt;='Май'!orange_percent,'Май'!orange,'Май'!red)));""max"",1}))"),"")</f>
        <v/>
      </c>
      <c r="AB8" s="101"/>
      <c r="AC8" s="100" t="str">
        <f>IFERROR(__xludf.DUMMYFUNCTION("IFERROR(SPARKLINE(AC7,{""charttype"",""bar"";""color1"",IF(AC7&gt;='Май'!green_percent,'Май'!green,IF(AC7&gt;='Май'!yellow_percent,'Май'!yellow,IF(AC7&gt;='Май'!orange_percent,'Май'!orange,'Май'!red)));""max"",1}))"),"")</f>
        <v/>
      </c>
      <c r="AD8" s="101"/>
      <c r="AE8" s="102" t="str">
        <f>IFERROR(__xludf.DUMMYFUNCTION("IFERROR(SPARKLINE(AE7,{""charttype"",""bar"";""color1"",IF(AE7&gt;='Май'!green_percent,'Май'!green,IF(AE7&gt;='Май'!yellow_percent,'Май'!yellow,IF(AE7&gt;='Май'!orange_percent,'Май'!orange,'Май'!red)));""max"",1}))"),"")</f>
        <v/>
      </c>
      <c r="AF8" s="103"/>
      <c r="AG8" s="102" t="str">
        <f>IFERROR(__xludf.DUMMYFUNCTION("IFERROR(SPARKLINE(AG7,{""charttype"",""bar"";""color1"",IF(AG7&gt;='Май'!green_percent,'Май'!green,IF(AG7&gt;='Май'!yellow_percent,'Май'!yellow,IF(AG7&gt;='Май'!orange_percent,'Май'!orange,'Май'!red)));""max"",1}))"),"")</f>
        <v/>
      </c>
      <c r="AH8" s="103"/>
      <c r="AI8" s="102" t="str">
        <f>IFERROR(__xludf.DUMMYFUNCTION("IFERROR(SPARKLINE(AI7,{""charttype"",""bar"";""color1"",IF(AI7&gt;='Май'!green_percent,'Май'!green,IF(AI7&gt;='Май'!yellow_percent,'Май'!yellow,IF(AI7&gt;='Май'!orange_percent,'Май'!orange,'Май'!red)));""max"",1}))"),"")</f>
        <v/>
      </c>
      <c r="AJ8" s="103"/>
      <c r="AK8" s="104" t="str">
        <f>IFERROR(__xludf.DUMMYFUNCTION("IFERROR(SPARKLINE(AK7,{""charttype"",""bar"";""color1"",IF(AK7&gt;='Май'!green_percent,'Май'!green,IF(AK7&gt;='Май'!yellow_percent,'Май'!yellow,IF(AK7&gt;='Май'!orange_percent,'Май'!orange,'Май'!red)));""max"",1}))"),"")</f>
        <v/>
      </c>
      <c r="AL8" s="103"/>
      <c r="AM8" s="102">
        <f>AN151</f>
        <v>0</v>
      </c>
      <c r="AN8" s="105"/>
      <c r="AO8" s="105"/>
      <c r="AP8" s="106"/>
      <c r="AQ8" s="100" t="str">
        <f>IFERROR(__xludf.DUMMYFUNCTION("IFERROR(SPARKLINE(AQ7,{""charttype"",""bar"";""color1"",IF(AQ7&gt;='Май'!green_percent,'Май'!green,IF(AQ7&gt;='Май'!yellow_percent,'Май'!yellow,IF(AQ7&gt;='Май'!orange_percent,'Май'!orange,'Май'!red)));""max"",1}))"),"")</f>
        <v/>
      </c>
      <c r="AR8" s="101"/>
      <c r="AS8" s="100" t="str">
        <f>IFERROR(__xludf.DUMMYFUNCTION("IFERROR(SPARKLINE(AS7,{""charttype"",""bar"";""color1"",IF(AS7&gt;='Май'!green_percent,'Май'!green,IF(AS7&gt;='Май'!yellow_percent,'Май'!yellow,IF(AS7&gt;='Май'!orange_percent,'Май'!orange,'Май'!red)));""max"",1}))"),"")</f>
        <v/>
      </c>
      <c r="AT8" s="101"/>
      <c r="AU8" s="100" t="str">
        <f>IFERROR(__xludf.DUMMYFUNCTION("IFERROR(SPARKLINE(AU7,{""charttype"",""bar"";""color1"",IF(AU7&gt;='Май'!green_percent,'Май'!green,IF(AU7&gt;='Май'!yellow_percent,'Май'!yellow,IF(AU7&gt;='Май'!orange_percent,'Май'!orange,'Май'!red)));""max"",1}))"),"")</f>
        <v/>
      </c>
      <c r="AV8" s="101"/>
      <c r="AW8" s="102" t="str">
        <f>IFERROR(__xludf.DUMMYFUNCTION("IFERROR(SPARKLINE(AW7,{""charttype"",""bar"";""color1"",IF(AW7&gt;='Май'!green_percent,'Май'!green,IF(AW7&gt;='Май'!yellow_percent,'Май'!yellow,IF(AW7&gt;='Май'!orange_percent,'Май'!orange,'Май'!red)));""max"",1}))"),"")</f>
        <v/>
      </c>
      <c r="AX8" s="103"/>
      <c r="AY8" s="102" t="str">
        <f>IFERROR(__xludf.DUMMYFUNCTION("IFERROR(SPARKLINE(AY7,{""charttype"",""bar"";""color1"",IF(AY7&gt;='Май'!green_percent,'Май'!green,IF(AY7&gt;='Май'!yellow_percent,'Май'!yellow,IF(AY7&gt;='Май'!orange_percent,'Май'!orange,'Май'!red)));""max"",1}))"),"")</f>
        <v/>
      </c>
      <c r="AZ8" s="103"/>
      <c r="BA8" s="102" t="str">
        <f>IFERROR(__xludf.DUMMYFUNCTION("IFERROR(SPARKLINE(BA7,{""charttype"",""bar"";""color1"",IF(BA7&gt;='Май'!green_percent,'Май'!green,IF(BA7&gt;='Май'!yellow_percent,'Май'!yellow,IF(BA7&gt;='Май'!orange_percent,'Май'!orange,'Май'!red)));""max"",1}))"),"")</f>
        <v/>
      </c>
      <c r="BB8" s="103"/>
      <c r="BC8" s="104" t="str">
        <f>IFERROR(__xludf.DUMMYFUNCTION("IFERROR(SPARKLINE(BC7,{""charttype"",""bar"";""color1"",IF(BC7&gt;='Май'!green_percent,'Май'!green,IF(BC7&gt;='Май'!yellow_percent,'Май'!yellow,IF(BC7&gt;='Май'!orange_percent,'Май'!orange,'Май'!red)));""max"",1}))"),"")</f>
        <v/>
      </c>
      <c r="BD8" s="103"/>
      <c r="BE8" s="102">
        <f>BF151</f>
        <v>0</v>
      </c>
      <c r="BF8" s="105"/>
      <c r="BG8" s="105"/>
      <c r="BH8" s="106"/>
      <c r="BI8" s="104" t="str">
        <f>IFERROR(__xludf.DUMMYFUNCTION("IFERROR(SPARKLINE(BI7,{""charttype"",""bar"";""color1"",IF(BI7&gt;='Май'!green_percent,'Май'!green,IF(BI7&gt;='Май'!yellow_percent,'Май'!yellow,IF(BI7&gt;='Май'!orange_percent,'Май'!orange,'Май'!red)));""max"",1}))"),"")</f>
        <v/>
      </c>
      <c r="BJ8" s="101"/>
      <c r="BK8" s="104" t="str">
        <f>IFERROR(__xludf.DUMMYFUNCTION("IFERROR(SPARKLINE(BK7,{""charttype"",""bar"";""color1"",IF(BK7&gt;='Май'!green_percent,'Май'!green,IF(BK7&gt;='Май'!yellow_percent,'Май'!yellow,IF(BK7&gt;='Май'!orange_percent,'Май'!orange,'Май'!red)));""max"",1}))"),"")</f>
        <v/>
      </c>
      <c r="BL8" s="101"/>
      <c r="BM8" s="104" t="str">
        <f>IFERROR(__xludf.DUMMYFUNCTION("IFERROR(SPARKLINE(BM7,{""charttype"",""bar"";""color1"",IF(BM7&gt;='Май'!green_percent,'Май'!green,IF(BM7&gt;='Май'!yellow_percent,'Май'!yellow,IF(BM7&gt;='Май'!orange_percent,'Май'!orange,'Май'!red)));""max"",1}))"),"")</f>
        <v/>
      </c>
      <c r="BN8" s="101"/>
      <c r="BO8" s="104" t="str">
        <f>IFERROR(__xludf.DUMMYFUNCTION("IFERROR(SPARKLINE(BO7,{""charttype"",""bar"";""color1"",IF(BO7&gt;='Май'!green_percent,'Май'!green,IF(BO7&gt;='Май'!yellow_percent,'Май'!yellow,IF(BO7&gt;='Май'!orange_percent,'Май'!orange,'Май'!red)));""max"",1}))"),"")</f>
        <v/>
      </c>
      <c r="BP8" s="103"/>
      <c r="BQ8" s="102" t="str">
        <f>IFERROR(__xludf.DUMMYFUNCTION("IFERROR(SPARKLINE(BQ7,{""charttype"",""bar"";""color1"",IF(BQ7&gt;='Май'!green_percent,'Май'!green,IF(BQ7&gt;='Май'!yellow_percent,'Май'!yellow,IF(BQ7&gt;='Май'!orange_percent,'Май'!orange,'Май'!red)));""max"",1}))"),"")</f>
        <v/>
      </c>
      <c r="BR8" s="103"/>
      <c r="BS8" s="102" t="str">
        <f>IFERROR(__xludf.DUMMYFUNCTION("IFERROR(SPARKLINE(BS7,{""charttype"",""bar"";""color1"",IF(BS7&gt;='Май'!green_percent,'Май'!green,IF(BS7&gt;='Май'!yellow_percent,'Май'!yellow,IF(BS7&gt;='Май'!orange_percent,'Май'!orange,'Май'!red)));""max"",1}))"),"")</f>
        <v/>
      </c>
      <c r="BT8" s="103"/>
      <c r="BU8" s="104" t="str">
        <f>IFERROR(__xludf.DUMMYFUNCTION("IFERROR(SPARKLINE(BU7,{""charttype"",""bar"";""color1"",IF(BU7&gt;='Май'!green_percent,'Май'!green,IF(BU7&gt;='Май'!yellow_percent,'Май'!yellow,IF(BU7&gt;='Май'!orange_percent,'Май'!orange,'Май'!red)));""max"",1}))"),"")</f>
        <v/>
      </c>
      <c r="BV8" s="103"/>
      <c r="BW8" s="102">
        <f>BX151</f>
        <v>0</v>
      </c>
      <c r="BX8" s="105"/>
      <c r="BY8" s="105"/>
      <c r="BZ8" s="106"/>
      <c r="CA8" s="104" t="str">
        <f>IFERROR(__xludf.DUMMYFUNCTION("IFERROR(SPARKLINE(CA7,{""charttype"",""bar"";""color1"",IF(CA7&gt;='Май'!green_percent,'Май'!green,IF(CA7&gt;='Май'!yellow_percent,'Май'!yellow,IF(CA7&gt;='Май'!orange_percent,'Май'!orange,'Май'!red)));""max"",1}))"),"")</f>
        <v/>
      </c>
      <c r="CB8" s="101"/>
      <c r="CC8" s="100" t="str">
        <f>IFERROR(__xludf.DUMMYFUNCTION("IFERROR(SPARKLINE(CC7,{""charttype"",""bar"";""color1"",IF(CC7&gt;='Май'!green_percent,'Май'!green,IF(CC7&gt;='Май'!yellow_percent,'Май'!yellow,IF(CC7&gt;='Май'!orange_percent,'Май'!orange,'Май'!red)));""max"",1}))"),"")</f>
        <v/>
      </c>
      <c r="CD8" s="101"/>
      <c r="CE8" s="100" t="str">
        <f>IFERROR(__xludf.DUMMYFUNCTION("IFERROR(SPARKLINE(CE7,{""charttype"",""bar"";""color1"",IF(CE7&gt;='Май'!green_percent,'Май'!green,IF(CE7&gt;='Май'!yellow_percent,'Май'!yellow,IF(CE7&gt;='Май'!orange_percent,'Май'!orange,'Май'!red)));""max"",1}))"),"")</f>
        <v/>
      </c>
      <c r="CF8" s="101"/>
      <c r="CG8" s="102" t="str">
        <f>IFERROR(__xludf.DUMMYFUNCTION("IFERROR(SPARKLINE(CG7,{""charttype"",""bar"";""color1"",IF(CG7&gt;='Май'!green_percent,'Май'!green,IF(CG7&gt;='Май'!yellow_percent,'Май'!yellow,IF(CG7&gt;='Май'!orange_percent,'Май'!orange,'Май'!red)));""max"",1}))"),"")</f>
        <v/>
      </c>
      <c r="CH8" s="103"/>
      <c r="CI8" s="102" t="str">
        <f>IFERROR(__xludf.DUMMYFUNCTION("IFERROR(SPARKLINE(CI7,{""charttype"",""bar"";""color1"",IF(CI7&gt;='Май'!green_percent,'Май'!green,IF(CI7&gt;='Май'!yellow_percent,'Май'!yellow,IF(CI7&gt;='Май'!orange_percent,'Май'!orange,'Май'!red)));""max"",1}))"),"")</f>
        <v/>
      </c>
      <c r="CJ8" s="103"/>
      <c r="CK8" s="102" t="str">
        <f>IFERROR(__xludf.DUMMYFUNCTION("IFERROR(SPARKLINE(CK7,{""charttype"",""bar"";""color1"",IF(CK7&gt;='Май'!green_percent,'Май'!green,IF(CK7&gt;='Май'!yellow_percent,'Май'!yellow,IF(CK7&gt;='Май'!orange_percent,'Май'!orange,'Май'!red)));""max"",1}))"),"")</f>
        <v/>
      </c>
      <c r="CL8" s="103"/>
      <c r="CM8" s="104" t="str">
        <f>IFERROR(__xludf.DUMMYFUNCTION("IFERROR(SPARKLINE(CM7,{""charttype"",""bar"";""color1"",IF(CM7&gt;='Май'!green_percent,'Май'!green,IF(CM7&gt;='Май'!yellow_percent,'Май'!yellow,IF(CM7&gt;='Май'!orange_percent,'Май'!orange,'Май'!red)));""max"",1}))"),"")</f>
        <v/>
      </c>
      <c r="CN8" s="103"/>
      <c r="CO8" s="107" t="str">
        <f>CS151</f>
        <v/>
      </c>
      <c r="CR8" s="43"/>
      <c r="CS8" s="104" t="str">
        <f>IFERROR(__xludf.DUMMYFUNCTION("IFERROR(SPARKLINE(CS7,{""charttype"",""bar"";""color1"",IF(CS7&gt;='Май'!green_percent,'Май'!green,IF(CS7&gt;='Май'!yellow_percent,'Май'!yellow,IF(CS7&gt;='Май'!orange_percent,'Май'!orange,'Май'!red)));""max"",1}))"),"")</f>
        <v/>
      </c>
      <c r="CT8" s="103"/>
      <c r="CU8" s="102" t="str">
        <f>IFERROR(__xludf.DUMMYFUNCTION("IFERROR(SPARKLINE(CU7,{""charttype"",""bar"";""color1"",IF(CU7&gt;='Май'!green_percent,'Май'!green,IF(CU7&gt;='Май'!yellow_percent,'Май'!yellow,IF(CU7&gt;='Май'!orange_percent,'Май'!orange,'Май'!red)));""max"",1}))"),"")</f>
        <v/>
      </c>
      <c r="CV8" s="103"/>
      <c r="CW8" s="102" t="str">
        <f>IFERROR(__xludf.DUMMYFUNCTION("IFERROR(SPARKLINE(CW7,{""charttype"",""bar"";""color1"",IF(CW7&gt;='Май'!green_percent,'Май'!green,IF(CW7&gt;='Май'!yellow_percent,'Май'!yellow,IF(CW7&gt;='Май'!orange_percent,'Май'!orange,'Май'!red)));""max"",1}))"),"")</f>
        <v/>
      </c>
      <c r="CX8" s="103"/>
      <c r="CY8" s="102" t="str">
        <f>IFERROR(__xludf.DUMMYFUNCTION("IFERROR(SPARKLINE(CY7,{""charttype"",""bar"";""color1"",IF(CY7&gt;='Май'!green_percent,'Май'!green,IF(CY7&gt;='Май'!yellow_percent,'Май'!yellow,IF(CY7&gt;='Май'!orange_percent,'Май'!orange,'Май'!red)));""max"",1}))"),"")</f>
        <v/>
      </c>
      <c r="CZ8" s="103"/>
      <c r="DA8" s="102" t="str">
        <f>IFERROR(__xludf.DUMMYFUNCTION("IFERROR(SPARKLINE(DA7,{""charttype"",""bar"";""color1"",IF(DA7&gt;='Май'!green_percent,'Май'!green,IF(DA7&gt;='Май'!yellow_percent,'Май'!yellow,IF(DA7&gt;='Май'!orange_percent,'Май'!orange,'Май'!red)));""max"",1}))"),"")</f>
        <v/>
      </c>
      <c r="DB8" s="103"/>
      <c r="DC8" s="102" t="str">
        <f>IFERROR(__xludf.DUMMYFUNCTION("IFERROR(SPARKLINE(DC7,{""charttype"",""bar"";""color1"",IF(DC7&gt;='Май'!green_percent,'Май'!green,IF(DC7&gt;='Май'!yellow_percent,'Май'!yellow,IF(DC7&gt;='Май'!orange_percent,'Май'!orange,'Май'!red)));""max"",1}))"),"")</f>
        <v/>
      </c>
      <c r="DD8" s="103"/>
      <c r="DE8" s="102" t="str">
        <f>IFERROR(__xludf.DUMMYFUNCTION("IFERROR(SPARKLINE(DE7,{""charttype"",""bar"";""color1"",IF(DE7&gt;='Май'!green_percent,'Май'!green,IF(DE7&gt;='Май'!yellow_percent,'Май'!yellow,IF(DE7&gt;='Май'!orange_percent,'Май'!orange,'Май'!red)));""max"",1}))"),"")</f>
        <v/>
      </c>
      <c r="DF8" s="103"/>
      <c r="DG8" s="107" t="str">
        <f>DK151</f>
        <v/>
      </c>
      <c r="DJ8" s="43"/>
      <c r="DK8" s="108"/>
      <c r="DL8" s="108"/>
    </row>
    <row r="9" ht="3.0" customHeight="1">
      <c r="A9" s="60" t="s">
        <v>11</v>
      </c>
      <c r="B9" s="109"/>
      <c r="C9" s="109"/>
      <c r="D9" s="109"/>
      <c r="E9" s="109"/>
      <c r="F9" s="78"/>
      <c r="G9" s="78"/>
      <c r="H9" s="78"/>
      <c r="I9" s="9"/>
      <c r="J9" s="54"/>
      <c r="K9" s="110"/>
      <c r="L9" s="111"/>
      <c r="M9" s="112"/>
      <c r="N9" s="113"/>
      <c r="O9" s="112"/>
      <c r="P9" s="113"/>
      <c r="Q9" s="112"/>
      <c r="R9" s="113"/>
      <c r="S9" s="114"/>
      <c r="T9" s="113"/>
      <c r="U9" s="112"/>
      <c r="V9" s="114"/>
      <c r="W9" s="114"/>
      <c r="X9" s="115"/>
      <c r="Y9" s="110"/>
      <c r="Z9" s="111"/>
      <c r="AA9" s="110"/>
      <c r="AB9" s="111"/>
      <c r="AC9" s="110"/>
      <c r="AD9" s="111"/>
      <c r="AE9" s="112"/>
      <c r="AF9" s="113"/>
      <c r="AG9" s="112"/>
      <c r="AH9" s="113"/>
      <c r="AI9" s="112"/>
      <c r="AJ9" s="113"/>
      <c r="AK9" s="114"/>
      <c r="AL9" s="113"/>
      <c r="AM9" s="112"/>
      <c r="AN9" s="114"/>
      <c r="AO9" s="114"/>
      <c r="AP9" s="115"/>
      <c r="AQ9" s="110"/>
      <c r="AR9" s="111"/>
      <c r="AS9" s="110"/>
      <c r="AT9" s="111"/>
      <c r="AU9" s="110"/>
      <c r="AV9" s="111"/>
      <c r="AW9" s="112"/>
      <c r="AX9" s="113"/>
      <c r="AY9" s="112"/>
      <c r="AZ9" s="113"/>
      <c r="BA9" s="112"/>
      <c r="BB9" s="113"/>
      <c r="BC9" s="114"/>
      <c r="BD9" s="113"/>
      <c r="BE9" s="112"/>
      <c r="BF9" s="114"/>
      <c r="BG9" s="114"/>
      <c r="BH9" s="115"/>
      <c r="BI9" s="114"/>
      <c r="BJ9" s="111"/>
      <c r="BK9" s="114"/>
      <c r="BL9" s="111"/>
      <c r="BM9" s="114"/>
      <c r="BN9" s="111"/>
      <c r="BO9" s="114"/>
      <c r="BP9" s="113"/>
      <c r="BQ9" s="112"/>
      <c r="BR9" s="113"/>
      <c r="BS9" s="112"/>
      <c r="BT9" s="113"/>
      <c r="BU9" s="114"/>
      <c r="BV9" s="113"/>
      <c r="BW9" s="112"/>
      <c r="BX9" s="114"/>
      <c r="BY9" s="114"/>
      <c r="BZ9" s="115"/>
      <c r="CA9" s="114"/>
      <c r="CB9" s="111"/>
      <c r="CC9" s="110"/>
      <c r="CD9" s="111"/>
      <c r="CE9" s="110"/>
      <c r="CF9" s="111"/>
      <c r="CG9" s="112"/>
      <c r="CH9" s="113"/>
      <c r="CI9" s="112"/>
      <c r="CJ9" s="113"/>
      <c r="CK9" s="112"/>
      <c r="CL9" s="113"/>
      <c r="CM9" s="114"/>
      <c r="CN9" s="113"/>
      <c r="CO9" s="112"/>
      <c r="CP9" s="114"/>
      <c r="CQ9" s="114"/>
      <c r="CR9" s="115"/>
      <c r="CS9" s="114"/>
      <c r="CT9" s="113"/>
      <c r="CU9" s="112"/>
      <c r="CV9" s="113"/>
      <c r="CW9" s="112"/>
      <c r="CX9" s="113"/>
      <c r="CY9" s="112"/>
      <c r="CZ9" s="113"/>
      <c r="DA9" s="112"/>
      <c r="DB9" s="113"/>
      <c r="DC9" s="112"/>
      <c r="DD9" s="113"/>
      <c r="DE9" s="112"/>
      <c r="DF9" s="113"/>
      <c r="DG9" s="112"/>
      <c r="DH9" s="114"/>
      <c r="DI9" s="114"/>
      <c r="DJ9" s="115"/>
      <c r="DK9" s="108"/>
      <c r="DL9" s="108"/>
    </row>
    <row r="10" ht="24.0" customHeight="1">
      <c r="A10" s="116" t="str">
        <f>IF(MONTH('Май'!date)=1,"Январь",IF(MONTH('Май'!date)=2,"Февраль",IF(MONTH('Май'!date)=3,"Март",IF(MONTH('Май'!date)=4,"Апрель",IF(MONTH('Май'!date)=5,"Май",IF(MONTH('Май'!date)=6,"Июнь",IF(MONTH('Май'!date)=7,"Июль",IF(MONTH('Май'!date)=8,"Август",IF(MONTH('Май'!date)=9,"Сентябрь",IF(MONTH('Май'!date)=10,"Октябрь",IF(MONTH('Май'!date)=11,"Ноябрь",IF(MONTH('Май'!date)=12,"Декабрь",))))))))))))</f>
        <v>Май</v>
      </c>
      <c r="B10" s="117"/>
      <c r="C10" s="117"/>
      <c r="D10" s="117"/>
      <c r="E10" s="118"/>
      <c r="F10" s="119" t="s">
        <v>12</v>
      </c>
      <c r="G10" s="120"/>
      <c r="H10" s="120"/>
      <c r="I10" s="121"/>
      <c r="J10" s="122" t="s">
        <v>13</v>
      </c>
      <c r="K10" s="123">
        <v>46111.0</v>
      </c>
      <c r="L10" s="124"/>
      <c r="M10" s="123">
        <f>K10+1</f>
        <v>46112</v>
      </c>
      <c r="N10" s="124"/>
      <c r="O10" s="123">
        <f>G6</f>
        <v>46143</v>
      </c>
      <c r="P10" s="124"/>
      <c r="Q10" s="125">
        <f>O10+1</f>
        <v>46144</v>
      </c>
      <c r="R10" s="126"/>
      <c r="S10" s="127">
        <f>Q10+1</f>
        <v>46145</v>
      </c>
      <c r="T10" s="128"/>
      <c r="U10" s="129" t="s">
        <v>88</v>
      </c>
      <c r="V10" s="130"/>
      <c r="W10" s="130"/>
      <c r="X10" s="131"/>
      <c r="Y10" s="132">
        <f>S10+1</f>
        <v>46146</v>
      </c>
      <c r="Z10" s="133"/>
      <c r="AA10" s="123">
        <f>Y10+1</f>
        <v>46147</v>
      </c>
      <c r="AB10" s="124"/>
      <c r="AC10" s="123">
        <f>AA10+1</f>
        <v>46148</v>
      </c>
      <c r="AD10" s="124"/>
      <c r="AE10" s="123">
        <f>AC10+1</f>
        <v>46149</v>
      </c>
      <c r="AF10" s="124"/>
      <c r="AG10" s="123">
        <f>AE10+1</f>
        <v>46150</v>
      </c>
      <c r="AH10" s="124"/>
      <c r="AI10" s="125">
        <f>AG10+1</f>
        <v>46151</v>
      </c>
      <c r="AJ10" s="126"/>
      <c r="AK10" s="125">
        <f>AI10+1</f>
        <v>46152</v>
      </c>
      <c r="AL10" s="124"/>
      <c r="AM10" s="134" t="str">
        <f>"Неделя "&amp;DAY(Y10)&amp;" - "&amp;DAY(AK10)</f>
        <v>Неделя 4 - 10</v>
      </c>
      <c r="AN10" s="130"/>
      <c r="AO10" s="130"/>
      <c r="AP10" s="131"/>
      <c r="AQ10" s="132">
        <f>AK10+1</f>
        <v>46153</v>
      </c>
      <c r="AR10" s="133"/>
      <c r="AS10" s="123">
        <f>AQ10+1</f>
        <v>46154</v>
      </c>
      <c r="AT10" s="124"/>
      <c r="AU10" s="123">
        <f>AS10+1</f>
        <v>46155</v>
      </c>
      <c r="AV10" s="124"/>
      <c r="AW10" s="123">
        <f>AU10+1</f>
        <v>46156</v>
      </c>
      <c r="AX10" s="124"/>
      <c r="AY10" s="123">
        <f>AW10+1</f>
        <v>46157</v>
      </c>
      <c r="AZ10" s="124"/>
      <c r="BA10" s="125">
        <f>AY10+1</f>
        <v>46158</v>
      </c>
      <c r="BB10" s="126"/>
      <c r="BC10" s="125">
        <f>BA10+1</f>
        <v>46159</v>
      </c>
      <c r="BD10" s="124"/>
      <c r="BE10" s="134" t="str">
        <f>"Неделя "&amp;DAY(AQ10)&amp;" - "&amp;DAY(BC10)</f>
        <v>Неделя 11 - 17</v>
      </c>
      <c r="BF10" s="130"/>
      <c r="BG10" s="130"/>
      <c r="BH10" s="131"/>
      <c r="BI10" s="135">
        <f>BC10+1</f>
        <v>46160</v>
      </c>
      <c r="BJ10" s="136"/>
      <c r="BK10" s="135">
        <f>BI10+1</f>
        <v>46161</v>
      </c>
      <c r="BL10" s="136"/>
      <c r="BM10" s="135">
        <f>BK10+1</f>
        <v>46162</v>
      </c>
      <c r="BN10" s="136"/>
      <c r="BO10" s="135">
        <f>BM10+1</f>
        <v>46163</v>
      </c>
      <c r="BP10" s="136"/>
      <c r="BQ10" s="135">
        <f>BO10+1</f>
        <v>46164</v>
      </c>
      <c r="BR10" s="136"/>
      <c r="BS10" s="137">
        <f>BQ10+1</f>
        <v>46165</v>
      </c>
      <c r="BT10" s="138"/>
      <c r="BU10" s="137">
        <f>BS10+1</f>
        <v>46166</v>
      </c>
      <c r="BV10" s="138"/>
      <c r="BW10" s="134" t="str">
        <f>"Неделя "&amp;DAY(BI10)&amp;" - "&amp;DAY(BU10)</f>
        <v>Неделя 18 - 24</v>
      </c>
      <c r="BX10" s="130"/>
      <c r="BY10" s="130"/>
      <c r="BZ10" s="131"/>
      <c r="CA10" s="135">
        <f>BU10+1</f>
        <v>46167</v>
      </c>
      <c r="CB10" s="138"/>
      <c r="CC10" s="135">
        <f>CA10+1</f>
        <v>46168</v>
      </c>
      <c r="CD10" s="138"/>
      <c r="CE10" s="135">
        <f>CC10+1</f>
        <v>46169</v>
      </c>
      <c r="CF10" s="138"/>
      <c r="CG10" s="135">
        <f>CE10+1</f>
        <v>46170</v>
      </c>
      <c r="CH10" s="138"/>
      <c r="CI10" s="135">
        <f>CG10+1</f>
        <v>46171</v>
      </c>
      <c r="CJ10" s="138"/>
      <c r="CK10" s="137">
        <f>CI10+1</f>
        <v>46172</v>
      </c>
      <c r="CL10" s="138"/>
      <c r="CM10" s="137">
        <f>CK10+1</f>
        <v>46173</v>
      </c>
      <c r="CN10" s="138"/>
      <c r="CO10" s="139" t="str">
        <f>"Неделя "&amp;DAY(CA10)&amp;" - "&amp;DAY(CM10)</f>
        <v>Неделя 25 - 31</v>
      </c>
      <c r="CP10" s="140"/>
      <c r="CQ10" s="140"/>
      <c r="CR10" s="141"/>
      <c r="CS10" s="135">
        <f>CM10+1</f>
        <v>46174</v>
      </c>
      <c r="CT10" s="138"/>
      <c r="CU10" s="135">
        <f>CS10+1</f>
        <v>46175</v>
      </c>
      <c r="CV10" s="138"/>
      <c r="CW10" s="135">
        <f>CU10+1</f>
        <v>46176</v>
      </c>
      <c r="CX10" s="138"/>
      <c r="CY10" s="135">
        <f>CW10+1</f>
        <v>46177</v>
      </c>
      <c r="CZ10" s="138"/>
      <c r="DA10" s="135">
        <f>CY10+1</f>
        <v>46178</v>
      </c>
      <c r="DB10" s="138"/>
      <c r="DC10" s="137">
        <f>DA10+1</f>
        <v>46179</v>
      </c>
      <c r="DD10" s="138"/>
      <c r="DE10" s="137">
        <f>DC10+1</f>
        <v>46180</v>
      </c>
      <c r="DF10" s="138"/>
      <c r="DG10" s="139" t="str">
        <f>"Неделя "&amp;DAY(CV10)&amp;" - "&amp;DAY(DH10)</f>
        <v>Неделя 30 - 30</v>
      </c>
      <c r="DH10" s="140"/>
      <c r="DI10" s="140"/>
      <c r="DJ10" s="141"/>
      <c r="DK10" s="142"/>
      <c r="DL10" s="142"/>
    </row>
    <row r="11">
      <c r="A11" s="114"/>
      <c r="B11" s="114"/>
      <c r="C11" s="114"/>
      <c r="D11" s="114"/>
      <c r="E11" s="143"/>
      <c r="F11" s="144" t="s">
        <v>15</v>
      </c>
      <c r="G11" s="145" t="s">
        <v>16</v>
      </c>
      <c r="H11" s="146" t="s">
        <v>17</v>
      </c>
      <c r="I11" s="147"/>
      <c r="J11" s="148"/>
      <c r="K11" s="149" t="s">
        <v>15</v>
      </c>
      <c r="L11" s="150" t="s">
        <v>16</v>
      </c>
      <c r="M11" s="149" t="s">
        <v>15</v>
      </c>
      <c r="N11" s="150" t="s">
        <v>16</v>
      </c>
      <c r="O11" s="149" t="s">
        <v>15</v>
      </c>
      <c r="P11" s="150" t="s">
        <v>16</v>
      </c>
      <c r="Q11" s="151" t="s">
        <v>15</v>
      </c>
      <c r="R11" s="152" t="s">
        <v>16</v>
      </c>
      <c r="S11" s="153" t="s">
        <v>15</v>
      </c>
      <c r="T11" s="154" t="s">
        <v>16</v>
      </c>
      <c r="U11" s="155" t="s">
        <v>15</v>
      </c>
      <c r="V11" s="156" t="s">
        <v>16</v>
      </c>
      <c r="W11" s="157" t="s">
        <v>17</v>
      </c>
      <c r="X11" s="158"/>
      <c r="Y11" s="149" t="s">
        <v>15</v>
      </c>
      <c r="Z11" s="150" t="s">
        <v>16</v>
      </c>
      <c r="AA11" s="149" t="s">
        <v>15</v>
      </c>
      <c r="AB11" s="150" t="s">
        <v>16</v>
      </c>
      <c r="AC11" s="149" t="s">
        <v>15</v>
      </c>
      <c r="AD11" s="150" t="s">
        <v>16</v>
      </c>
      <c r="AE11" s="149" t="s">
        <v>15</v>
      </c>
      <c r="AF11" s="150" t="s">
        <v>16</v>
      </c>
      <c r="AG11" s="149" t="s">
        <v>15</v>
      </c>
      <c r="AH11" s="150" t="s">
        <v>16</v>
      </c>
      <c r="AI11" s="151" t="s">
        <v>15</v>
      </c>
      <c r="AJ11" s="159" t="s">
        <v>16</v>
      </c>
      <c r="AK11" s="160" t="s">
        <v>15</v>
      </c>
      <c r="AL11" s="161" t="s">
        <v>16</v>
      </c>
      <c r="AM11" s="162" t="s">
        <v>15</v>
      </c>
      <c r="AN11" s="163" t="s">
        <v>16</v>
      </c>
      <c r="AO11" s="157" t="s">
        <v>17</v>
      </c>
      <c r="AP11" s="158"/>
      <c r="AQ11" s="149" t="s">
        <v>15</v>
      </c>
      <c r="AR11" s="150" t="s">
        <v>16</v>
      </c>
      <c r="AS11" s="149" t="s">
        <v>15</v>
      </c>
      <c r="AT11" s="150" t="s">
        <v>16</v>
      </c>
      <c r="AU11" s="149" t="s">
        <v>15</v>
      </c>
      <c r="AV11" s="150" t="s">
        <v>16</v>
      </c>
      <c r="AW11" s="149" t="s">
        <v>15</v>
      </c>
      <c r="AX11" s="150" t="s">
        <v>16</v>
      </c>
      <c r="AY11" s="149" t="s">
        <v>15</v>
      </c>
      <c r="AZ11" s="150" t="s">
        <v>16</v>
      </c>
      <c r="BA11" s="151" t="s">
        <v>15</v>
      </c>
      <c r="BB11" s="159" t="s">
        <v>16</v>
      </c>
      <c r="BC11" s="160" t="s">
        <v>15</v>
      </c>
      <c r="BD11" s="161" t="s">
        <v>16</v>
      </c>
      <c r="BE11" s="162" t="s">
        <v>15</v>
      </c>
      <c r="BF11" s="163" t="s">
        <v>16</v>
      </c>
      <c r="BG11" s="157" t="s">
        <v>17</v>
      </c>
      <c r="BH11" s="158"/>
      <c r="BI11" s="164" t="s">
        <v>15</v>
      </c>
      <c r="BJ11" s="165" t="s">
        <v>16</v>
      </c>
      <c r="BK11" s="164" t="s">
        <v>15</v>
      </c>
      <c r="BL11" s="165" t="s">
        <v>16</v>
      </c>
      <c r="BM11" s="164" t="s">
        <v>15</v>
      </c>
      <c r="BN11" s="165" t="s">
        <v>16</v>
      </c>
      <c r="BO11" s="164" t="s">
        <v>15</v>
      </c>
      <c r="BP11" s="165" t="s">
        <v>16</v>
      </c>
      <c r="BQ11" s="164" t="s">
        <v>15</v>
      </c>
      <c r="BR11" s="165" t="s">
        <v>16</v>
      </c>
      <c r="BS11" s="166" t="s">
        <v>15</v>
      </c>
      <c r="BT11" s="167" t="s">
        <v>16</v>
      </c>
      <c r="BU11" s="166" t="s">
        <v>15</v>
      </c>
      <c r="BV11" s="167" t="s">
        <v>16</v>
      </c>
      <c r="BW11" s="162" t="s">
        <v>15</v>
      </c>
      <c r="BX11" s="163" t="s">
        <v>16</v>
      </c>
      <c r="BY11" s="157" t="s">
        <v>17</v>
      </c>
      <c r="BZ11" s="158"/>
      <c r="CA11" s="168" t="s">
        <v>15</v>
      </c>
      <c r="CB11" s="169" t="s">
        <v>16</v>
      </c>
      <c r="CC11" s="170" t="s">
        <v>15</v>
      </c>
      <c r="CD11" s="169" t="s">
        <v>16</v>
      </c>
      <c r="CE11" s="170" t="s">
        <v>15</v>
      </c>
      <c r="CF11" s="169" t="s">
        <v>16</v>
      </c>
      <c r="CG11" s="170" t="s">
        <v>15</v>
      </c>
      <c r="CH11" s="169" t="s">
        <v>16</v>
      </c>
      <c r="CI11" s="170" t="s">
        <v>15</v>
      </c>
      <c r="CJ11" s="169" t="s">
        <v>16</v>
      </c>
      <c r="CK11" s="160" t="s">
        <v>15</v>
      </c>
      <c r="CL11" s="159" t="s">
        <v>16</v>
      </c>
      <c r="CM11" s="160" t="s">
        <v>15</v>
      </c>
      <c r="CN11" s="159" t="s">
        <v>16</v>
      </c>
      <c r="CO11" s="171" t="s">
        <v>15</v>
      </c>
      <c r="CP11" s="172" t="s">
        <v>16</v>
      </c>
      <c r="CQ11" s="173" t="s">
        <v>17</v>
      </c>
      <c r="CR11" s="49"/>
      <c r="CS11" s="174" t="s">
        <v>15</v>
      </c>
      <c r="CT11" s="175" t="s">
        <v>16</v>
      </c>
      <c r="CU11" s="176" t="s">
        <v>15</v>
      </c>
      <c r="CV11" s="175" t="s">
        <v>16</v>
      </c>
      <c r="CW11" s="176" t="s">
        <v>15</v>
      </c>
      <c r="CX11" s="175" t="s">
        <v>16</v>
      </c>
      <c r="CY11" s="176" t="s">
        <v>15</v>
      </c>
      <c r="CZ11" s="175" t="s">
        <v>16</v>
      </c>
      <c r="DA11" s="176" t="s">
        <v>15</v>
      </c>
      <c r="DB11" s="175" t="s">
        <v>16</v>
      </c>
      <c r="DC11" s="177" t="s">
        <v>15</v>
      </c>
      <c r="DD11" s="178" t="s">
        <v>16</v>
      </c>
      <c r="DE11" s="177" t="s">
        <v>15</v>
      </c>
      <c r="DF11" s="178" t="s">
        <v>16</v>
      </c>
      <c r="DG11" s="179" t="s">
        <v>15</v>
      </c>
      <c r="DH11" s="180" t="s">
        <v>16</v>
      </c>
      <c r="DI11" s="181" t="s">
        <v>17</v>
      </c>
      <c r="DJ11" s="113"/>
      <c r="DK11" s="182"/>
      <c r="DL11" s="182"/>
    </row>
    <row r="12">
      <c r="A12" s="183" t="s">
        <v>18</v>
      </c>
      <c r="B12" s="184" t="s">
        <v>19</v>
      </c>
      <c r="C12" s="185"/>
      <c r="D12" s="185"/>
      <c r="E12" s="186"/>
      <c r="F12" s="187">
        <f t="shared" ref="F12:G12" si="8">F24+F41+F58+F79+F100+F117</f>
        <v>790000</v>
      </c>
      <c r="G12" s="187">
        <f t="shared" si="8"/>
        <v>320937.7</v>
      </c>
      <c r="H12" s="188">
        <f>IFERROR(G12/F12,"")</f>
        <v>0.4062502532</v>
      </c>
      <c r="I12" s="189" t="str">
        <f>IFERROR(__xludf.DUMMYFUNCTION("IFERROR(SPARKLINE(H12,{""charttype"",""bar"";""color1"",IF(H12&gt;='Май'!green_percent,'Май'!green,IF(H12&gt;='Май'!yellow_percent,'Май'!yellow,IF(H12&gt;='Май'!orange_percent,'Май'!orange,'Май'!red)));""max"",1}))"),"")</f>
        <v/>
      </c>
      <c r="J12" s="190"/>
      <c r="K12" s="191"/>
      <c r="L12" s="191"/>
      <c r="M12" s="192"/>
      <c r="N12" s="193"/>
      <c r="O12" s="196">
        <f>F12/31</f>
        <v>25483.87097</v>
      </c>
      <c r="P12" s="195">
        <f>P24+P41+P58+P79+P100+P117</f>
        <v>7444.9</v>
      </c>
      <c r="Q12" s="196">
        <v>25483.870967741936</v>
      </c>
      <c r="R12" s="195">
        <f>R24+R41+R58+R79+R100+R117</f>
        <v>6249.9</v>
      </c>
      <c r="S12" s="196">
        <v>25483.870967741936</v>
      </c>
      <c r="T12" s="195">
        <f>T24+T41+T58+T79+T100+T117</f>
        <v>6862.9</v>
      </c>
      <c r="U12" s="198">
        <f>O12+Q12+S12</f>
        <v>76451.6129</v>
      </c>
      <c r="V12" s="199">
        <f>V24+V41+V58+V79+V100+V117</f>
        <v>50557.7</v>
      </c>
      <c r="W12" s="200">
        <f>IFERROR(V12/U12,"")</f>
        <v>0.6613032489</v>
      </c>
      <c r="X12" s="201" t="str">
        <f>IFERROR(__xludf.DUMMYFUNCTION("IFERROR(SPARKLINE(W12,{""charttype"",""bar"";""color1"",IF(W12&gt;='Май'!green_percent,'Май'!green,IF(W12&gt;='Май'!yellow_percent,'Май'!yellow,IF(W12&gt;='Май'!orange_percent,'Май'!orange,'Май'!red)));""max"",1}))"),"")</f>
        <v/>
      </c>
      <c r="Y12" s="196">
        <v>25483.870967741936</v>
      </c>
      <c r="Z12" s="195">
        <f>Z24+Z41+Z58+Z79+Z100+Z117</f>
        <v>1613</v>
      </c>
      <c r="AA12" s="196">
        <v>25483.870967741936</v>
      </c>
      <c r="AB12" s="195">
        <f>AB24+AB41+AB58+AB79+AB100+AB117</f>
        <v>7958</v>
      </c>
      <c r="AC12" s="196">
        <v>25483.870967741936</v>
      </c>
      <c r="AD12" s="195">
        <f>AD24+AD41+AD58+AD79+AD100+AD117</f>
        <v>9356</v>
      </c>
      <c r="AE12" s="196">
        <v>25483.870967741936</v>
      </c>
      <c r="AF12" s="195">
        <f>AF24+AF41+AF58+AF79+AF100+AF117</f>
        <v>9818</v>
      </c>
      <c r="AG12" s="196">
        <v>25483.870967741936</v>
      </c>
      <c r="AH12" s="195">
        <f>AH24+AH41+AH58+AH79+AH100+AH117</f>
        <v>9018</v>
      </c>
      <c r="AI12" s="196">
        <v>25483.870967741936</v>
      </c>
      <c r="AJ12" s="195">
        <f>AJ24+AJ41+AJ58+AJ79+AJ100+AJ117</f>
        <v>2945</v>
      </c>
      <c r="AK12" s="196">
        <v>25483.870967741936</v>
      </c>
      <c r="AL12" s="195">
        <f>AL24+AL41+AL58+AL79+AL100+AL117</f>
        <v>3937</v>
      </c>
      <c r="AM12" s="198">
        <f>Y12+AA12+AC12+AE12+AG12+AI12+AK12</f>
        <v>178387.0968</v>
      </c>
      <c r="AN12" s="199">
        <f>AN24+AN41+AN58+AN79+AN100+AN117</f>
        <v>74645</v>
      </c>
      <c r="AO12" s="202">
        <f>IFERROR(AN12/AM12,"")</f>
        <v>0.4184439421</v>
      </c>
      <c r="AP12" s="203" t="str">
        <f>IFERROR(__xludf.DUMMYFUNCTION("IFERROR(SPARKLINE(AO12,{""charttype"",""bar"";""color1"",IF(AO12&gt;='Май'!green_percent,'Май'!green,IF(AO12&gt;='Май'!yellow_percent,'Май'!yellow,IF(AO12&gt;='Май'!orange_percent,'Май'!orange,'Май'!red)));""max"",1}))"),"")</f>
        <v/>
      </c>
      <c r="AQ12" s="196">
        <v>25483.870967741936</v>
      </c>
      <c r="AR12" s="195">
        <f>AR24+AR41+AR58+AR79+AR100+AR117</f>
        <v>6942</v>
      </c>
      <c r="AS12" s="196">
        <v>25483.870967741936</v>
      </c>
      <c r="AT12" s="195">
        <f>AT24+AT41+AT58+AT79+AT100+AT117</f>
        <v>9329</v>
      </c>
      <c r="AU12" s="196">
        <v>25483.870967741936</v>
      </c>
      <c r="AV12" s="195">
        <f>AV24+AV41+AV58+AV79+AV100+AV117</f>
        <v>5847</v>
      </c>
      <c r="AW12" s="196">
        <v>25483.870967741936</v>
      </c>
      <c r="AX12" s="195">
        <f>AX24+AX41+AX58+AX79+AX100+AX117</f>
        <v>7475</v>
      </c>
      <c r="AY12" s="196">
        <v>25483.870967741936</v>
      </c>
      <c r="AZ12" s="195">
        <f>AZ24+AZ41+AZ58+AZ79+AZ100+AZ117</f>
        <v>7527</v>
      </c>
      <c r="BA12" s="196">
        <v>25483.870967741936</v>
      </c>
      <c r="BB12" s="195">
        <f>BB24+BB41+BB58+BB79+BB100+BB117</f>
        <v>1220</v>
      </c>
      <c r="BC12" s="196">
        <v>25483.870967741936</v>
      </c>
      <c r="BD12" s="195">
        <f>BD24+BD41+BD58+BD79+BD100+BD117</f>
        <v>1871</v>
      </c>
      <c r="BE12" s="198">
        <f>AQ12+AS12+AU12+AW12+AY12+BA12+BC12</f>
        <v>178387.0968</v>
      </c>
      <c r="BF12" s="199">
        <f>BF24+BF41+BF58+BF79+BF100+BF117</f>
        <v>130211</v>
      </c>
      <c r="BG12" s="202">
        <f>IFERROR(BF12/BE12,"")</f>
        <v>0.7299350814</v>
      </c>
      <c r="BH12" s="203" t="str">
        <f>IFERROR(__xludf.DUMMYFUNCTION("IFERROR(SPARKLINE(BG12,{""charttype"",""bar"";""color1"",IF(BG12&gt;='Май'!green_percent,'Май'!green,IF(BG12&gt;='Май'!yellow_percent,'Май'!yellow,IF(BG12&gt;='Май'!orange_percent,'Май'!orange,'Май'!red)));""max"",1}))"),"")</f>
        <v/>
      </c>
      <c r="BI12" s="196">
        <v>25483.870967741936</v>
      </c>
      <c r="BJ12" s="195">
        <f>BJ24+BJ41+BJ58+BJ79+BJ100+BJ117</f>
        <v>6677</v>
      </c>
      <c r="BK12" s="196">
        <v>25483.870967741936</v>
      </c>
      <c r="BL12" s="195">
        <f>BL24+BL41+BL58+BL79+BL100+BL117</f>
        <v>8462</v>
      </c>
      <c r="BM12" s="196">
        <v>25483.870967741936</v>
      </c>
      <c r="BN12" s="195">
        <f>BN24+BN41+BN58+BN79+BN100+BN117</f>
        <v>6480</v>
      </c>
      <c r="BO12" s="196">
        <v>25483.870967741936</v>
      </c>
      <c r="BP12" s="195">
        <f>BP24+BP41+BP58+BP79+BP100+BP117</f>
        <v>6292</v>
      </c>
      <c r="BQ12" s="196">
        <v>25483.870967741936</v>
      </c>
      <c r="BR12" s="195">
        <f>BR24+BR41+BR58+BR79+BR100+BR117</f>
        <v>6253</v>
      </c>
      <c r="BS12" s="196">
        <v>25483.870967741936</v>
      </c>
      <c r="BT12" s="195">
        <f>BT24+BT41+BT58+BT79+BT100+BT117</f>
        <v>256</v>
      </c>
      <c r="BU12" s="196">
        <v>25483.870967741936</v>
      </c>
      <c r="BV12" s="195">
        <f>BV24+BV41+BV58+BV79+BV100+BV117</f>
        <v>1259</v>
      </c>
      <c r="BW12" s="198">
        <f>BI12+BK12+BM12+BO12+BQ12+BS12+BU12</f>
        <v>178387.0968</v>
      </c>
      <c r="BX12" s="199">
        <f>BX24+BX41+BX58+BX79+BX100+BX117</f>
        <v>35679</v>
      </c>
      <c r="BY12" s="202">
        <f>IFERROR(BX12/BW12,"")</f>
        <v>0.2000088608</v>
      </c>
      <c r="BZ12" s="203" t="str">
        <f>IFERROR(__xludf.DUMMYFUNCTION("IFERROR(SPARKLINE(BY12,{""charttype"",""bar"";""color1"",IF(BY12&gt;='Май'!green_percent,'Май'!green,IF(BY12&gt;='Май'!yellow_percent,'Май'!yellow,IF(BY12&gt;='Май'!orange_percent,'Май'!orange,'Май'!red)));""max"",1}))"),"")</f>
        <v/>
      </c>
      <c r="CA12" s="196">
        <v>25483.870967741936</v>
      </c>
      <c r="CB12" s="195">
        <f>CB24+CB41+CB58+CB79+CB100+CB117</f>
        <v>6076</v>
      </c>
      <c r="CC12" s="196">
        <v>25483.870967741936</v>
      </c>
      <c r="CD12" s="195">
        <f>CD24+CD41+CD58+CD79+CD100+CD117</f>
        <v>9836</v>
      </c>
      <c r="CE12" s="196">
        <v>25483.870967741936</v>
      </c>
      <c r="CF12" s="195">
        <f>CF24+CF41+CF58+CF79+CF100+CF117</f>
        <v>7924</v>
      </c>
      <c r="CG12" s="196">
        <v>25483.870967741936</v>
      </c>
      <c r="CH12" s="195">
        <f>CH24+CH41+CH58+CH79+CH100+CH117</f>
        <v>6009</v>
      </c>
      <c r="CI12" s="196">
        <v>25483.870967741936</v>
      </c>
      <c r="CJ12" s="195">
        <f>CJ24+CJ41+CJ58+CJ79+CJ100+CJ117</f>
        <v>8247</v>
      </c>
      <c r="CK12" s="196">
        <v>25483.870967741936</v>
      </c>
      <c r="CL12" s="195">
        <f>CL24+CL41+CL58+CL79+CL100+CL117</f>
        <v>1492</v>
      </c>
      <c r="CM12" s="196">
        <v>25483.870967741936</v>
      </c>
      <c r="CN12" s="195">
        <f>CN24+CN41+CN58+CN79+CN100+CN117</f>
        <v>1811</v>
      </c>
      <c r="CO12" s="205">
        <f>CA12+CC12+CE12+CG12+CI12+CK12+CM12</f>
        <v>178387.0968</v>
      </c>
      <c r="CP12" s="206">
        <f>CB12+CD12+CF12+CH12</f>
        <v>29845</v>
      </c>
      <c r="CQ12" s="207">
        <f t="shared" ref="CQ12:CQ35" si="11">IFERROR(CP12/CO12,"")</f>
        <v>0.1673047016</v>
      </c>
      <c r="CR12" s="208" t="str">
        <f>IFERROR(__xludf.DUMMYFUNCTION("IFERROR(SPARKLINE(CQ12,{""charttype"",""bar"";""color1"",IF(CQ12&gt;='Май'!green_percent,'Май'!green,IF(CQ12&gt;='Май'!yellow_percent,'Май'!yellow,IF(CQ12&gt;='Май'!orange_percent,'Май'!orange,'Май'!red)));""max"",1}))"),"")</f>
        <v/>
      </c>
      <c r="CS12" s="209"/>
      <c r="CT12" s="191"/>
      <c r="CU12" s="191"/>
      <c r="CV12" s="191"/>
      <c r="CW12" s="192"/>
      <c r="CX12" s="191"/>
      <c r="CY12" s="192"/>
      <c r="CZ12" s="191"/>
      <c r="DA12" s="192"/>
      <c r="DB12" s="191"/>
      <c r="DC12" s="192"/>
      <c r="DD12" s="191"/>
      <c r="DE12" s="192"/>
      <c r="DF12" s="191"/>
      <c r="DG12" s="210">
        <f t="shared" ref="DG12:DH12" si="9">CS12+CU12+CW12+CY12+DA12+DC12+DE12</f>
        <v>0</v>
      </c>
      <c r="DH12" s="211">
        <f t="shared" si="9"/>
        <v>0</v>
      </c>
      <c r="DI12" s="212" t="str">
        <f>IFERROR(DH12/DG12,"")</f>
        <v/>
      </c>
      <c r="DJ12" s="213" t="str">
        <f>IFERROR(__xludf.DUMMYFUNCTION("IFERROR(SPARKLINE(DI12,{""charttype"",""bar"";""color1"",IF(DI12&gt;='Май'!green_percent,'Май'!green,IF(DI12&gt;='Май'!yellow_percent,'Май'!yellow,IF(DI12&gt;='Май'!orange_percent,'Май'!orange,'Май'!red)));""max"",1}))"),"")</f>
        <v/>
      </c>
      <c r="DK12" s="214"/>
      <c r="DL12" s="214"/>
    </row>
    <row r="13">
      <c r="A13" s="215"/>
      <c r="B13" s="216" t="s">
        <v>20</v>
      </c>
      <c r="C13" s="217"/>
      <c r="D13" s="217"/>
      <c r="E13" s="218"/>
      <c r="F13" s="219">
        <f t="shared" ref="F13:G13" si="10">F12/F22</f>
        <v>0.395</v>
      </c>
      <c r="G13" s="220">
        <f t="shared" si="10"/>
        <v>0.1527765507</v>
      </c>
      <c r="H13" s="221" t="str">
        <f>IF(F13&lt;&gt;0,IF(G13&gt;F13*1.04,"Не в плане","В плане"),)</f>
        <v>В плане</v>
      </c>
      <c r="I13" s="222"/>
      <c r="J13" s="223"/>
      <c r="K13" s="219"/>
      <c r="L13" s="219"/>
      <c r="M13" s="224"/>
      <c r="N13" s="225"/>
      <c r="O13" s="226">
        <f>O12/O22</f>
        <v>0.395</v>
      </c>
      <c r="P13" s="227"/>
      <c r="Q13" s="226">
        <v>0.39499999999999996</v>
      </c>
      <c r="R13" s="227"/>
      <c r="S13" s="226">
        <v>0.39499999999999996</v>
      </c>
      <c r="T13" s="227"/>
      <c r="U13" s="219">
        <f>U12/U22</f>
        <v>0.395</v>
      </c>
      <c r="V13" s="219"/>
      <c r="W13" s="225" t="str">
        <f>IF(U13&lt;&gt;0,IF(V13&gt;U13,"Не в плане","В плане"),)</f>
        <v>В плане</v>
      </c>
      <c r="X13" s="222"/>
      <c r="Y13" s="226">
        <v>0.39499999999999996</v>
      </c>
      <c r="Z13" s="227"/>
      <c r="AA13" s="226">
        <v>0.39499999999999996</v>
      </c>
      <c r="AB13" s="227"/>
      <c r="AC13" s="226">
        <v>0.39499999999999996</v>
      </c>
      <c r="AD13" s="227"/>
      <c r="AE13" s="226">
        <v>0.39499999999999996</v>
      </c>
      <c r="AF13" s="227"/>
      <c r="AG13" s="226">
        <v>0.39499999999999996</v>
      </c>
      <c r="AH13" s="227"/>
      <c r="AI13" s="226">
        <v>0.39499999999999996</v>
      </c>
      <c r="AJ13" s="227"/>
      <c r="AK13" s="226">
        <v>0.39499999999999996</v>
      </c>
      <c r="AL13" s="227"/>
      <c r="AM13" s="219">
        <f>AM12/AM22</f>
        <v>0.395</v>
      </c>
      <c r="AN13" s="219"/>
      <c r="AO13" s="221" t="str">
        <f>IF(AM13&lt;&gt;0,IF(AN13&gt;AM13,"Не в плане","В плане"),)</f>
        <v>В плане</v>
      </c>
      <c r="AP13" s="222"/>
      <c r="AQ13" s="226">
        <v>0.39499999999999996</v>
      </c>
      <c r="AR13" s="227"/>
      <c r="AS13" s="226">
        <v>0.39499999999999996</v>
      </c>
      <c r="AT13" s="227"/>
      <c r="AU13" s="226">
        <v>0.39499999999999996</v>
      </c>
      <c r="AV13" s="227"/>
      <c r="AW13" s="226">
        <v>0.39499999999999996</v>
      </c>
      <c r="AX13" s="227"/>
      <c r="AY13" s="226">
        <v>0.39499999999999996</v>
      </c>
      <c r="AZ13" s="227"/>
      <c r="BA13" s="226">
        <v>0.39499999999999996</v>
      </c>
      <c r="BB13" s="227"/>
      <c r="BC13" s="226">
        <v>0.39499999999999996</v>
      </c>
      <c r="BD13" s="227"/>
      <c r="BE13" s="219">
        <f>BE12/BE22</f>
        <v>0.395</v>
      </c>
      <c r="BF13" s="219"/>
      <c r="BG13" s="221" t="str">
        <f>IF(BE13&lt;&gt;0,IF(BF13&gt;BE13,"Не в плане","В плане"),)</f>
        <v>В плане</v>
      </c>
      <c r="BH13" s="222"/>
      <c r="BI13" s="226">
        <v>0.39499999999999996</v>
      </c>
      <c r="BJ13" s="227"/>
      <c r="BK13" s="226">
        <v>0.39499999999999996</v>
      </c>
      <c r="BL13" s="227"/>
      <c r="BM13" s="226">
        <v>0.39499999999999996</v>
      </c>
      <c r="BN13" s="227"/>
      <c r="BO13" s="226">
        <v>0.39499999999999996</v>
      </c>
      <c r="BP13" s="227"/>
      <c r="BQ13" s="226">
        <v>0.39499999999999996</v>
      </c>
      <c r="BR13" s="227"/>
      <c r="BS13" s="226">
        <v>0.39499999999999996</v>
      </c>
      <c r="BT13" s="227"/>
      <c r="BU13" s="226">
        <v>0.39499999999999996</v>
      </c>
      <c r="BV13" s="227"/>
      <c r="BW13" s="219">
        <f>BW12/BW22</f>
        <v>0.395</v>
      </c>
      <c r="BX13" s="219"/>
      <c r="BY13" s="219" t="str">
        <f>IF(BW13&lt;&gt;0,IF(BX13&gt;BW13,"Не в плане","В плане"),)</f>
        <v>В плане</v>
      </c>
      <c r="BZ13" s="227"/>
      <c r="CA13" s="226">
        <v>0.39499999999999996</v>
      </c>
      <c r="CB13" s="227"/>
      <c r="CC13" s="226">
        <v>0.39499999999999996</v>
      </c>
      <c r="CD13" s="227"/>
      <c r="CE13" s="226">
        <v>0.39499999999999996</v>
      </c>
      <c r="CF13" s="227"/>
      <c r="CG13" s="226">
        <v>0.39499999999999996</v>
      </c>
      <c r="CH13" s="227"/>
      <c r="CI13" s="226">
        <v>0.39499999999999996</v>
      </c>
      <c r="CJ13" s="227"/>
      <c r="CK13" s="226">
        <v>0.39499999999999996</v>
      </c>
      <c r="CL13" s="227"/>
      <c r="CM13" s="226">
        <v>0.39499999999999996</v>
      </c>
      <c r="CN13" s="227"/>
      <c r="CO13" s="228">
        <f>CO12/CO22</f>
        <v>0.395</v>
      </c>
      <c r="CP13" s="230" t="str">
        <f>IF(#REF!=0,0,CP12/#REF!)</f>
        <v>#REF!</v>
      </c>
      <c r="CQ13" s="231" t="str">
        <f t="shared" si="11"/>
        <v/>
      </c>
      <c r="CR13" s="232" t="str">
        <f>IFERROR(__xludf.DUMMYFUNCTION("IFERROR(SPARKLINE(CQ13,{""charttype"",""bar"";""color1"",IF(CQ13&gt;='Май'!green_percent,'Май'!green,IF(CQ13&gt;='Май'!yellow_percent,'Май'!yellow,IF(CQ13&gt;='Май'!orange_percent,'Май'!orange,'Май'!red)));""max"",1}))"),"")</f>
        <v/>
      </c>
      <c r="CS13" s="233"/>
      <c r="CT13" s="225"/>
      <c r="CU13" s="228"/>
      <c r="CV13" s="225"/>
      <c r="CW13" s="228" t="str">
        <f>$J$13</f>
        <v/>
      </c>
      <c r="CX13" s="225" t="str">
        <f>IF(#REF!=0,0,CX12/#REF!)</f>
        <v>#REF!</v>
      </c>
      <c r="CY13" s="228" t="str">
        <f>$J$13</f>
        <v/>
      </c>
      <c r="CZ13" s="225" t="str">
        <f>IF(#REF!=0,0,CZ12/#REF!)</f>
        <v>#REF!</v>
      </c>
      <c r="DA13" s="228" t="str">
        <f>$J$13</f>
        <v/>
      </c>
      <c r="DB13" s="225" t="str">
        <f>IF(#REF!=0,0,DB12/#REF!)</f>
        <v>#REF!</v>
      </c>
      <c r="DC13" s="228" t="str">
        <f>$J$13</f>
        <v/>
      </c>
      <c r="DD13" s="225" t="str">
        <f>IF(#REF!=0,0,DD12/#REF!)</f>
        <v>#REF!</v>
      </c>
      <c r="DE13" s="228" t="str">
        <f>$J$13</f>
        <v/>
      </c>
      <c r="DF13" s="225" t="str">
        <f>IF(#REF!=0,0,DF12/#REF!)</f>
        <v>#REF!</v>
      </c>
      <c r="DG13" s="234">
        <v>0.29</v>
      </c>
      <c r="DH13" s="235" t="str">
        <f>IF(#REF!=0,0,DH12/#REF!)</f>
        <v>#REF!</v>
      </c>
      <c r="DI13" s="236" t="str">
        <f>IF(DH13&lt;&gt;0,IF(DI13&gt;DH13,"Не в плане","В плане"),)</f>
        <v>#REF!</v>
      </c>
      <c r="DJ13" s="237"/>
      <c r="DK13" s="238"/>
      <c r="DL13" s="239"/>
    </row>
    <row r="14">
      <c r="A14" s="240"/>
      <c r="B14" s="241" t="s">
        <v>21</v>
      </c>
      <c r="C14" s="242"/>
      <c r="D14" s="242"/>
      <c r="E14" s="243"/>
      <c r="F14" s="244">
        <f t="shared" ref="F14:G14" si="12">F26+F43+F64+F85+F106+F119</f>
        <v>125</v>
      </c>
      <c r="G14" s="244">
        <f t="shared" si="12"/>
        <v>128</v>
      </c>
      <c r="H14" s="245">
        <f t="shared" ref="H14:H20" si="15">IFERROR(G14/F14,"")</f>
        <v>1.024</v>
      </c>
      <c r="I14" s="246" t="str">
        <f>IFERROR(__xludf.DUMMYFUNCTION("IFERROR(SPARKLINE(H14,{""charttype"",""bar"";""color1"",IF(H14&gt;='Май'!green_percent,'Май'!green,IF(H14&gt;='Май'!yellow_percent,'Май'!yellow,IF(H14&gt;='Май'!orange_percent,'Май'!orange,'Май'!red)));""max"",1}))"),"")</f>
        <v/>
      </c>
      <c r="J14" s="247"/>
      <c r="K14" s="248"/>
      <c r="L14" s="248"/>
      <c r="M14" s="248"/>
      <c r="N14" s="249"/>
      <c r="O14" s="250">
        <f>F14/31</f>
        <v>4.032258065</v>
      </c>
      <c r="P14" s="246">
        <f>P26+P43+P64+P85+P107+P119</f>
        <v>0</v>
      </c>
      <c r="Q14" s="250">
        <v>4.032258064516129</v>
      </c>
      <c r="R14" s="246">
        <f>R26+R43+R64+R85+R107+R119</f>
        <v>0</v>
      </c>
      <c r="S14" s="250">
        <v>4.032258064516129</v>
      </c>
      <c r="T14" s="246">
        <f>T26+T43+T64+T85+T107+T119</f>
        <v>0</v>
      </c>
      <c r="U14" s="250">
        <f>O14+Q14+S14</f>
        <v>12.09677419</v>
      </c>
      <c r="V14" s="248">
        <f>V26+V43+V64+V85+V107+V119</f>
        <v>0</v>
      </c>
      <c r="W14" s="245">
        <f t="shared" ref="W14:W20" si="18">IFERROR(V14/U14,"")</f>
        <v>0</v>
      </c>
      <c r="X14" s="246" t="str">
        <f>IFERROR(__xludf.DUMMYFUNCTION("IFERROR(SPARKLINE(W14,{""charttype"",""bar"";""color1"",IF(W14&gt;='Май'!green_percent,'Май'!green,IF(W14&gt;='Май'!yellow_percent,'Май'!yellow,IF(W14&gt;='Май'!orange_percent,'Май'!orange,'Май'!red)));""max"",1}))"),"")</f>
        <v/>
      </c>
      <c r="Y14" s="250">
        <v>4.032258064516129</v>
      </c>
      <c r="Z14" s="246">
        <f>Z26+Z43+Z64+Z85+Z107+Z119</f>
        <v>7</v>
      </c>
      <c r="AA14" s="250">
        <v>4.032258064516129</v>
      </c>
      <c r="AB14" s="246">
        <f>AB26+AB43+AB64+AB85+AB107+AB119</f>
        <v>5</v>
      </c>
      <c r="AC14" s="250">
        <v>4.032258064516129</v>
      </c>
      <c r="AD14" s="246">
        <f>AD26+AD43+AD64+AD85+AD107+AD119</f>
        <v>1</v>
      </c>
      <c r="AE14" s="250">
        <v>4.032258064516129</v>
      </c>
      <c r="AF14" s="246">
        <f>AF26+AF43+AF64+AF85+AF107+AF119</f>
        <v>10</v>
      </c>
      <c r="AG14" s="250">
        <v>4.032258064516129</v>
      </c>
      <c r="AH14" s="246">
        <f>AH26+AH43+AH64+AH85+AH107+AH119</f>
        <v>1</v>
      </c>
      <c r="AI14" s="250">
        <v>4.032258064516129</v>
      </c>
      <c r="AJ14" s="246">
        <f>AJ26+AJ43+AJ64+AJ85+AJ107+AJ119</f>
        <v>0</v>
      </c>
      <c r="AK14" s="250">
        <v>4.032258064516129</v>
      </c>
      <c r="AL14" s="246">
        <f>AL26+AL43+AL64+AL85+AL107+AL119</f>
        <v>0</v>
      </c>
      <c r="AM14" s="250">
        <f>Y14+AA14+AC14+AE14+AG14+AI14+AK14</f>
        <v>28.22580645</v>
      </c>
      <c r="AN14" s="248">
        <f>AN26+AN43+AN64+AN85+AN107+AN119</f>
        <v>25</v>
      </c>
      <c r="AO14" s="253">
        <f t="shared" ref="AO14:AO20" si="20">IFERROR(AN14/AM14,"")</f>
        <v>0.8857142857</v>
      </c>
      <c r="AP14" s="254" t="str">
        <f>IFERROR(__xludf.DUMMYFUNCTION("IFERROR(SPARKLINE(AO14,{""charttype"",""bar"";""color1"",IF(AO14&gt;='Май'!green_percent,'Май'!green,IF(AO14&gt;='Май'!yellow_percent,'Май'!yellow,IF(AO14&gt;='Май'!orange_percent,'Май'!orange,'Май'!red)));""max"",1}))"),"")</f>
        <v/>
      </c>
      <c r="AQ14" s="250">
        <v>4.032258064516129</v>
      </c>
      <c r="AR14" s="246">
        <f>AR26+AR43+AR64+AR85+AR107+AR119</f>
        <v>2</v>
      </c>
      <c r="AS14" s="250">
        <v>4.032258064516129</v>
      </c>
      <c r="AT14" s="246">
        <f>AT26+AT43+AT64+AT85+AT107+AT119</f>
        <v>10</v>
      </c>
      <c r="AU14" s="250">
        <v>4.032258064516129</v>
      </c>
      <c r="AV14" s="246">
        <f>AV26+AV43+AV64+AV85+AV107+AV119</f>
        <v>4</v>
      </c>
      <c r="AW14" s="250">
        <v>4.032258064516129</v>
      </c>
      <c r="AX14" s="246">
        <f>AX26+AX43+AX64+AX85+AX107+AX119</f>
        <v>9</v>
      </c>
      <c r="AY14" s="250">
        <v>4.032258064516129</v>
      </c>
      <c r="AZ14" s="246">
        <f>AZ26+AZ43+AZ64+AZ85+AZ107+AZ119</f>
        <v>4</v>
      </c>
      <c r="BA14" s="250">
        <v>4.032258064516129</v>
      </c>
      <c r="BB14" s="246">
        <f>BB26+BB43+BB64+BB85+BB107+BB119</f>
        <v>5</v>
      </c>
      <c r="BC14" s="250">
        <v>4.032258064516129</v>
      </c>
      <c r="BD14" s="246">
        <f>BD26+BD43+BD64+BD85+BD107+BD119</f>
        <v>0</v>
      </c>
      <c r="BE14" s="250">
        <f>AQ14+AS14+AU14+AW14+AY14+BA14+BC14</f>
        <v>28.22580645</v>
      </c>
      <c r="BF14" s="248">
        <f>BF26+BF43+BF64+BF85+BF107+BF119</f>
        <v>35</v>
      </c>
      <c r="BG14" s="253">
        <f t="shared" ref="BG14:BG20" si="22">IFERROR(BF14/BE14,"")</f>
        <v>1.24</v>
      </c>
      <c r="BH14" s="254" t="str">
        <f>IFERROR(__xludf.DUMMYFUNCTION("IFERROR(SPARKLINE(BG14,{""charttype"",""bar"";""color1"",IF(BG14&gt;='Май'!green_percent,'Май'!green,IF(BG14&gt;='Май'!yellow_percent,'Май'!yellow,IF(BG14&gt;='Май'!orange_percent,'Май'!orange,'Май'!red)));""max"",1}))"),"")</f>
        <v/>
      </c>
      <c r="BI14" s="250">
        <v>4.032258064516129</v>
      </c>
      <c r="BJ14" s="246">
        <f>BJ26+BJ43+BJ64+BJ85+BJ107+BJ119</f>
        <v>6</v>
      </c>
      <c r="BK14" s="250">
        <v>4.032258064516129</v>
      </c>
      <c r="BL14" s="246">
        <f>BL26+BL43+BL64+BL85+BL107+BL119</f>
        <v>7</v>
      </c>
      <c r="BM14" s="250">
        <v>4.032258064516129</v>
      </c>
      <c r="BN14" s="246">
        <f>BN26+BN43+BN64+BN85+BN107+BN119</f>
        <v>5</v>
      </c>
      <c r="BO14" s="250">
        <v>4.032258064516129</v>
      </c>
      <c r="BP14" s="246">
        <f>BP26+BP43+BP64+BP85+BP107+BP119</f>
        <v>5</v>
      </c>
      <c r="BQ14" s="250">
        <v>4.032258064516129</v>
      </c>
      <c r="BR14" s="246">
        <f>BR26+BR43+BR64+BR85+BR107+BR119</f>
        <v>7</v>
      </c>
      <c r="BS14" s="250">
        <v>4.032258064516129</v>
      </c>
      <c r="BT14" s="246">
        <f>BT26+BT43+BT64+BT85+BT107+BT119</f>
        <v>0</v>
      </c>
      <c r="BU14" s="250">
        <v>4.032258064516129</v>
      </c>
      <c r="BV14" s="246">
        <f>BV26+BV43+BV64+BV85+BV107+BV119</f>
        <v>1</v>
      </c>
      <c r="BW14" s="255">
        <f>BI14+BK14+BM14+BO14+BQ14+BS14+BU14</f>
        <v>28.22580645</v>
      </c>
      <c r="BX14" s="248">
        <f>BX26+BX43+BX64+BX85+BX107+BX119</f>
        <v>33</v>
      </c>
      <c r="BY14" s="253">
        <f t="shared" ref="BY14:BY20" si="24">IFERROR(BX14/BW14,"")</f>
        <v>1.169142857</v>
      </c>
      <c r="BZ14" s="254" t="str">
        <f>IFERROR(__xludf.DUMMYFUNCTION("IFERROR(SPARKLINE(BY14,{""charttype"",""bar"";""color1"",IF(BY14&gt;='Май'!green_percent,'Май'!green,IF(BY14&gt;='Май'!yellow_percent,'Май'!yellow,IF(BY14&gt;='Май'!orange_percent,'Май'!orange,'Май'!red)));""max"",1}))"),"")</f>
        <v/>
      </c>
      <c r="CA14" s="250">
        <v>4.032258064516129</v>
      </c>
      <c r="CB14" s="246">
        <f>CB26+CB43+CB64+CB85+CB107+CB119</f>
        <v>8</v>
      </c>
      <c r="CC14" s="250">
        <v>4.032258064516129</v>
      </c>
      <c r="CD14" s="246">
        <f>CD26+CD43+CD64+CD85+CD107+CD119</f>
        <v>7</v>
      </c>
      <c r="CE14" s="250">
        <v>4.032258064516129</v>
      </c>
      <c r="CF14" s="246">
        <f>CF26+CF43+CF64+CF85+CF107+CF119</f>
        <v>6</v>
      </c>
      <c r="CG14" s="250">
        <v>4.032258064516129</v>
      </c>
      <c r="CH14" s="246">
        <f>CH26+CH43+CH64+CH85+CH107+CH119</f>
        <v>12</v>
      </c>
      <c r="CI14" s="250">
        <v>4.032258064516129</v>
      </c>
      <c r="CJ14" s="246">
        <f>CJ26+CJ43+CJ64+CJ85+CJ107+CJ119</f>
        <v>9</v>
      </c>
      <c r="CK14" s="250">
        <v>4.032258064516129</v>
      </c>
      <c r="CL14" s="246">
        <f>CL26+CL43+CL64+CL85+CL107+CL119</f>
        <v>1</v>
      </c>
      <c r="CM14" s="250">
        <v>4.032258064516129</v>
      </c>
      <c r="CN14" s="246">
        <f>CN26+CN43+CN64+CN85+CN107+CN119</f>
        <v>1</v>
      </c>
      <c r="CO14" s="257">
        <f>CA14+CC14+CE14+CG14+CI14+CK14+CM14</f>
        <v>28.22580645</v>
      </c>
      <c r="CP14" s="258">
        <f>CB14+CD14+CF14+CH14</f>
        <v>33</v>
      </c>
      <c r="CQ14" s="259">
        <f t="shared" si="11"/>
        <v>1.169142857</v>
      </c>
      <c r="CR14" s="260" t="str">
        <f>IFERROR(__xludf.DUMMYFUNCTION("IFERROR(SPARKLINE(CQ14,{""charttype"",""bar"";""color1"",IF(CQ14&gt;='Май'!green_percent,'Май'!green,IF(CQ14&gt;='Май'!yellow_percent,'Май'!yellow,IF(CQ14&gt;='Май'!orange_percent,'Май'!orange,'Май'!red)));""max"",1}))"),"")</f>
        <v/>
      </c>
      <c r="CS14" s="261"/>
      <c r="CT14" s="248"/>
      <c r="CU14" s="261"/>
      <c r="CV14" s="248"/>
      <c r="CW14" s="262"/>
      <c r="CX14" s="262"/>
      <c r="CY14" s="262"/>
      <c r="CZ14" s="262"/>
      <c r="DA14" s="262"/>
      <c r="DB14" s="262"/>
      <c r="DC14" s="262"/>
      <c r="DD14" s="262"/>
      <c r="DE14" s="262"/>
      <c r="DF14" s="262"/>
      <c r="DG14" s="263">
        <f t="shared" ref="DG14:DH14" si="13">CS14+CU14+CW14+CY14+DA14+DC14+DE14</f>
        <v>0</v>
      </c>
      <c r="DH14" s="264">
        <f t="shared" si="13"/>
        <v>0</v>
      </c>
      <c r="DI14" s="265" t="str">
        <f>IFERROR(DH14/DG14,"")</f>
        <v/>
      </c>
      <c r="DJ14" s="266" t="str">
        <f>IFERROR(__xludf.DUMMYFUNCTION("IFERROR(SPARKLINE(DI14,{""charttype"",""bar"";""color1"",IF(DI14&gt;='Май'!green_percent,'Май'!green,IF(DI14&gt;='Май'!yellow_percent,'Май'!yellow,IF(DI14&gt;='Май'!orange_percent,'Май'!orange,'Май'!red)));""max"",1}))"),"")</f>
        <v/>
      </c>
      <c r="DK14" s="267"/>
      <c r="DL14" s="268"/>
    </row>
    <row r="15">
      <c r="A15" s="215"/>
      <c r="B15" s="269" t="s">
        <v>22</v>
      </c>
      <c r="C15" s="217"/>
      <c r="D15" s="217"/>
      <c r="E15" s="218"/>
      <c r="F15" s="270">
        <f t="shared" ref="F15:G15" si="14">F12/F14</f>
        <v>6320</v>
      </c>
      <c r="G15" s="270">
        <f t="shared" si="14"/>
        <v>2507.325781</v>
      </c>
      <c r="H15" s="219">
        <f t="shared" si="15"/>
        <v>0.3967287629</v>
      </c>
      <c r="I15" s="271" t="str">
        <f>IFERROR(__xludf.DUMMYFUNCTION("IFERROR(SPARKLINE(H15,{""charttype"",""bar"";""color1"",IF(H15&gt;='Май'!green_percent,'Май'!green,IF(H15&gt;='Май'!yellow_percent,'Май'!yellow,IF(H15&gt;='Май'!orange_percent,'Май'!orange,'Май'!red)));""max"",1}))"),"")</f>
        <v/>
      </c>
      <c r="J15" s="223"/>
      <c r="K15" s="272"/>
      <c r="L15" s="272"/>
      <c r="M15" s="272"/>
      <c r="N15" s="273"/>
      <c r="O15" s="270">
        <f t="shared" ref="O15:P15" si="16">O12/O14</f>
        <v>6320</v>
      </c>
      <c r="P15" s="275" t="str">
        <f t="shared" si="16"/>
        <v>#DIV/0!</v>
      </c>
      <c r="Q15" s="1623">
        <v>6320.0</v>
      </c>
      <c r="R15" s="275" t="str">
        <f>R12/R14</f>
        <v>#DIV/0!</v>
      </c>
      <c r="S15" s="1623">
        <v>6320.0</v>
      </c>
      <c r="T15" s="275" t="str">
        <f t="shared" ref="T15:V15" si="17">T12/T14</f>
        <v>#DIV/0!</v>
      </c>
      <c r="U15" s="277">
        <f t="shared" si="17"/>
        <v>6320</v>
      </c>
      <c r="V15" s="272" t="str">
        <f t="shared" si="17"/>
        <v>#DIV/0!</v>
      </c>
      <c r="W15" s="219" t="str">
        <f t="shared" si="18"/>
        <v/>
      </c>
      <c r="X15" s="271" t="str">
        <f>IFERROR(__xludf.DUMMYFUNCTION("IFERROR(SPARKLINE(W15,{""charttype"",""bar"";""color1"",IF(W15&gt;='Май'!green_percent,'Май'!green,IF(W15&gt;='Май'!yellow_percent,'Май'!yellow,IF(W15&gt;='Май'!orange_percent,'Май'!orange,'Май'!red)));""max"",1}))"),"")</f>
        <v/>
      </c>
      <c r="Y15" s="1623">
        <v>6320.0</v>
      </c>
      <c r="Z15" s="275">
        <f>Z12/Z14</f>
        <v>230.4285714</v>
      </c>
      <c r="AA15" s="1623">
        <v>6320.0</v>
      </c>
      <c r="AB15" s="275">
        <f>AB12/AB14</f>
        <v>1591.6</v>
      </c>
      <c r="AC15" s="1623">
        <v>6320.0</v>
      </c>
      <c r="AD15" s="275">
        <f>AD12/AD14</f>
        <v>9356</v>
      </c>
      <c r="AE15" s="1623">
        <v>6320.0</v>
      </c>
      <c r="AF15" s="275">
        <f>AF12/AF14</f>
        <v>981.8</v>
      </c>
      <c r="AG15" s="1623">
        <v>6320.0</v>
      </c>
      <c r="AH15" s="275">
        <f>AH12/AH14</f>
        <v>9018</v>
      </c>
      <c r="AI15" s="1623">
        <v>6320.0</v>
      </c>
      <c r="AJ15" s="275" t="str">
        <f>AJ12/AJ14</f>
        <v>#DIV/0!</v>
      </c>
      <c r="AK15" s="1623">
        <v>6320.0</v>
      </c>
      <c r="AL15" s="275" t="str">
        <f t="shared" ref="AL15:AN15" si="19">AL12/AL14</f>
        <v>#DIV/0!</v>
      </c>
      <c r="AM15" s="277">
        <f t="shared" si="19"/>
        <v>6320</v>
      </c>
      <c r="AN15" s="272">
        <f t="shared" si="19"/>
        <v>2985.8</v>
      </c>
      <c r="AO15" s="279">
        <f t="shared" si="20"/>
        <v>0.4724367089</v>
      </c>
      <c r="AP15" s="280" t="str">
        <f>IFERROR(__xludf.DUMMYFUNCTION("IFERROR(SPARKLINE(AO15,{""charttype"",""bar"";""color1"",IF(AO15&gt;='Май'!green_percent,'Май'!green,IF(AO15&gt;='Май'!yellow_percent,'Май'!yellow,IF(AO15&gt;='Май'!orange_percent,'Май'!orange,'Май'!red)));""max"",1}))"),"")</f>
        <v/>
      </c>
      <c r="AQ15" s="1623">
        <v>6320.0</v>
      </c>
      <c r="AR15" s="275">
        <f>AR12/AR14</f>
        <v>3471</v>
      </c>
      <c r="AS15" s="1623">
        <v>6320.0</v>
      </c>
      <c r="AT15" s="275">
        <f>AT12/AT14</f>
        <v>932.9</v>
      </c>
      <c r="AU15" s="1623">
        <v>6320.0</v>
      </c>
      <c r="AV15" s="275">
        <f>AV12/AV14</f>
        <v>1461.75</v>
      </c>
      <c r="AW15" s="1623">
        <v>6320.0</v>
      </c>
      <c r="AX15" s="275">
        <f>AX12/AX14</f>
        <v>830.5555556</v>
      </c>
      <c r="AY15" s="1623">
        <v>6320.0</v>
      </c>
      <c r="AZ15" s="275">
        <f>AZ12/AZ14</f>
        <v>1881.75</v>
      </c>
      <c r="BA15" s="1623">
        <v>6320.0</v>
      </c>
      <c r="BB15" s="275">
        <f>BB12/BB14</f>
        <v>244</v>
      </c>
      <c r="BC15" s="1623">
        <v>6320.0</v>
      </c>
      <c r="BD15" s="275" t="str">
        <f t="shared" ref="BD15:BF15" si="21">BD12/BD14</f>
        <v>#DIV/0!</v>
      </c>
      <c r="BE15" s="277">
        <f t="shared" si="21"/>
        <v>6320</v>
      </c>
      <c r="BF15" s="272">
        <f t="shared" si="21"/>
        <v>3720.314286</v>
      </c>
      <c r="BG15" s="279">
        <f t="shared" si="22"/>
        <v>0.5886573237</v>
      </c>
      <c r="BH15" s="280" t="str">
        <f>IFERROR(__xludf.DUMMYFUNCTION("IFERROR(SPARKLINE(BG15,{""charttype"",""bar"";""color1"",IF(BG15&gt;='Май'!green_percent,'Май'!green,IF(BG15&gt;='Май'!yellow_percent,'Май'!yellow,IF(BG15&gt;='Май'!orange_percent,'Май'!orange,'Май'!red)));""max"",1}))"),"")</f>
        <v/>
      </c>
      <c r="BI15" s="1623">
        <v>6320.0</v>
      </c>
      <c r="BJ15" s="275">
        <f>BJ12/BJ14</f>
        <v>1112.833333</v>
      </c>
      <c r="BK15" s="1623">
        <v>6320.0</v>
      </c>
      <c r="BL15" s="275">
        <f>BL12/BL14</f>
        <v>1208.857143</v>
      </c>
      <c r="BM15" s="1623">
        <v>6320.0</v>
      </c>
      <c r="BN15" s="275">
        <f>BN12/BN14</f>
        <v>1296</v>
      </c>
      <c r="BO15" s="1623">
        <v>6320.0</v>
      </c>
      <c r="BP15" s="275">
        <f>BP12/BP14</f>
        <v>1258.4</v>
      </c>
      <c r="BQ15" s="1623">
        <v>6320.0</v>
      </c>
      <c r="BR15" s="275">
        <f>BR12/BR14</f>
        <v>893.2857143</v>
      </c>
      <c r="BS15" s="1623">
        <v>6320.0</v>
      </c>
      <c r="BT15" s="275" t="str">
        <f>BT12/BT14</f>
        <v>#DIV/0!</v>
      </c>
      <c r="BU15" s="1623">
        <v>6320.0</v>
      </c>
      <c r="BV15" s="275">
        <f t="shared" ref="BV15:BX15" si="23">BV12/BV14</f>
        <v>1259</v>
      </c>
      <c r="BW15" s="281">
        <f t="shared" si="23"/>
        <v>6320</v>
      </c>
      <c r="BX15" s="272">
        <f t="shared" si="23"/>
        <v>1081.181818</v>
      </c>
      <c r="BY15" s="279">
        <f t="shared" si="24"/>
        <v>0.1710730725</v>
      </c>
      <c r="BZ15" s="280" t="str">
        <f>IFERROR(__xludf.DUMMYFUNCTION("IFERROR(SPARKLINE(BY15,{""charttype"",""bar"";""color1"",IF(BY15&gt;='Май'!green_percent,'Май'!green,IF(BY15&gt;='Май'!yellow_percent,'Май'!yellow,IF(BY15&gt;='Май'!orange_percent,'Май'!orange,'Май'!red)));""max"",1}))"),"")</f>
        <v/>
      </c>
      <c r="CA15" s="1623">
        <v>6320.0</v>
      </c>
      <c r="CB15" s="275">
        <f>CB12/CB14</f>
        <v>759.5</v>
      </c>
      <c r="CC15" s="1623">
        <v>6320.0</v>
      </c>
      <c r="CD15" s="275">
        <f>CD12/CD14</f>
        <v>1405.142857</v>
      </c>
      <c r="CE15" s="1623">
        <v>6320.0</v>
      </c>
      <c r="CF15" s="275">
        <f>CF12/CF14</f>
        <v>1320.666667</v>
      </c>
      <c r="CG15" s="1623">
        <v>6320.0</v>
      </c>
      <c r="CH15" s="275">
        <f>CH12/CH14</f>
        <v>500.75</v>
      </c>
      <c r="CI15" s="1623">
        <v>6320.0</v>
      </c>
      <c r="CJ15" s="275">
        <f>CJ12/CJ14</f>
        <v>916.3333333</v>
      </c>
      <c r="CK15" s="1623">
        <v>6320.0</v>
      </c>
      <c r="CL15" s="275">
        <f>CL12/CL14</f>
        <v>1492</v>
      </c>
      <c r="CM15" s="1623">
        <v>6320.0</v>
      </c>
      <c r="CN15" s="275">
        <f t="shared" ref="CN15:CP15" si="25">CN12/CN14</f>
        <v>1811</v>
      </c>
      <c r="CO15" s="284">
        <f t="shared" si="25"/>
        <v>6320</v>
      </c>
      <c r="CP15" s="285">
        <f t="shared" si="25"/>
        <v>904.3939394</v>
      </c>
      <c r="CQ15" s="231">
        <f t="shared" si="11"/>
        <v>0.1431003069</v>
      </c>
      <c r="CR15" s="232" t="str">
        <f>IFERROR(__xludf.DUMMYFUNCTION("IFERROR(SPARKLINE(CQ15,{""charttype"",""bar"";""color1"",IF(CQ15&gt;='Май'!green_percent,'Май'!green,IF(CQ15&gt;='Май'!yellow_percent,'Май'!yellow,IF(CQ15&gt;='Май'!orange_percent,'Май'!orange,'Май'!red)));""max"",1}))"),"")</f>
        <v/>
      </c>
      <c r="CS15" s="286"/>
      <c r="CT15" s="287"/>
      <c r="CU15" s="286"/>
      <c r="CV15" s="287"/>
      <c r="CW15" s="288"/>
      <c r="CX15" s="288"/>
      <c r="CY15" s="288"/>
      <c r="CZ15" s="288"/>
      <c r="DA15" s="288"/>
      <c r="DB15" s="288"/>
      <c r="DC15" s="288"/>
      <c r="DD15" s="288"/>
      <c r="DE15" s="288"/>
      <c r="DF15" s="288"/>
      <c r="DG15" s="289"/>
      <c r="DH15" s="290"/>
      <c r="DI15" s="235"/>
      <c r="DJ15" s="291"/>
      <c r="DK15" s="292"/>
      <c r="DL15" s="293"/>
    </row>
    <row r="16">
      <c r="A16" s="240"/>
      <c r="B16" s="216" t="s">
        <v>23</v>
      </c>
      <c r="C16" s="242"/>
      <c r="D16" s="242"/>
      <c r="E16" s="243"/>
      <c r="F16" s="244">
        <f>F29+F46+F67+F88+F109</f>
        <v>56</v>
      </c>
      <c r="G16" s="244">
        <f>G29+G46+G67+G88+G109+G122</f>
        <v>47</v>
      </c>
      <c r="H16" s="245">
        <f t="shared" si="15"/>
        <v>0.8392857143</v>
      </c>
      <c r="I16" s="246" t="str">
        <f>IFERROR(__xludf.DUMMYFUNCTION("IFERROR(SPARKLINE(H16,{""charttype"",""bar"";""color1"",IF(H16&gt;='Май'!green_percent,'Май'!green,IF(H16&gt;='Май'!yellow_percent,'Май'!yellow,IF(H16&gt;='Май'!orange_percent,'Май'!orange,'Май'!red)));""max"",1}))"),"")</f>
        <v/>
      </c>
      <c r="J16" s="247"/>
      <c r="K16" s="248"/>
      <c r="L16" s="248"/>
      <c r="M16" s="248"/>
      <c r="N16" s="249"/>
      <c r="O16" s="250">
        <f>F16/31</f>
        <v>1.806451613</v>
      </c>
      <c r="P16" s="246">
        <f>P29+P46+P67+P88+P109+P122</f>
        <v>0</v>
      </c>
      <c r="Q16" s="250">
        <v>1.8064516129032258</v>
      </c>
      <c r="R16" s="246">
        <f>R29+R46+R67+R88+R109+R122</f>
        <v>0</v>
      </c>
      <c r="S16" s="250">
        <v>1.8064516129032258</v>
      </c>
      <c r="T16" s="246">
        <f>T29+T46+T67+T88+T109+T122</f>
        <v>0</v>
      </c>
      <c r="U16" s="255">
        <f>O16+Q16+S16</f>
        <v>5.419354839</v>
      </c>
      <c r="V16" s="248">
        <f>V29+V46+V67+V88+V109+V122</f>
        <v>0</v>
      </c>
      <c r="W16" s="245">
        <f t="shared" si="18"/>
        <v>0</v>
      </c>
      <c r="X16" s="246" t="str">
        <f>IFERROR(__xludf.DUMMYFUNCTION("IFERROR(SPARKLINE(W16,{""charttype"",""bar"";""color1"",IF(W16&gt;='Май'!green_percent,'Май'!green,IF(W16&gt;='Май'!yellow_percent,'Май'!yellow,IF(W16&gt;='Май'!orange_percent,'Май'!orange,'Май'!red)));""max"",1}))"),"")</f>
        <v/>
      </c>
      <c r="Y16" s="250">
        <v>1.8064516129032258</v>
      </c>
      <c r="Z16" s="246">
        <f>Z29+Z46+Z67+Z88+Z109+Z122</f>
        <v>2</v>
      </c>
      <c r="AA16" s="250">
        <v>1.8064516129032258</v>
      </c>
      <c r="AB16" s="246">
        <f>AB29+AB46+AB67+AB88+AB109+AB122</f>
        <v>2</v>
      </c>
      <c r="AC16" s="250">
        <v>1.8064516129032258</v>
      </c>
      <c r="AD16" s="246">
        <f>AD29+AD46+AD67+AD88+AD109+AD122</f>
        <v>1</v>
      </c>
      <c r="AE16" s="250">
        <v>1.8064516129032258</v>
      </c>
      <c r="AF16" s="246">
        <f>AF29+AF46+AF67+AF88+AF109+AF122</f>
        <v>4</v>
      </c>
      <c r="AG16" s="250">
        <v>1.8064516129032258</v>
      </c>
      <c r="AH16" s="246">
        <f>AH29+AH46+AH67+AH88+AH109+AH122</f>
        <v>1</v>
      </c>
      <c r="AI16" s="250">
        <v>1.8064516129032258</v>
      </c>
      <c r="AJ16" s="246">
        <f>AJ29+AJ46+AJ67+AJ88+AJ109+AJ122</f>
        <v>0</v>
      </c>
      <c r="AK16" s="250">
        <v>1.8064516129032258</v>
      </c>
      <c r="AL16" s="246">
        <f>AL29+AL46+AL67+AL88+AL109+AL122</f>
        <v>0</v>
      </c>
      <c r="AM16" s="255">
        <f>Y16+AA16+AC16+AE16+AG16+AI16+AK16</f>
        <v>12.64516129</v>
      </c>
      <c r="AN16" s="248">
        <f>AN29+AN46+AN67+AN88+AN109+AN122</f>
        <v>11</v>
      </c>
      <c r="AO16" s="253">
        <f t="shared" si="20"/>
        <v>0.8698979592</v>
      </c>
      <c r="AP16" s="254" t="str">
        <f>IFERROR(__xludf.DUMMYFUNCTION("IFERROR(SPARKLINE(AO16,{""charttype"",""bar"";""color1"",IF(AO16&gt;='Май'!green_percent,'Май'!green,IF(AO16&gt;='Май'!yellow_percent,'Май'!yellow,IF(AO16&gt;='Май'!orange_percent,'Май'!orange,'Май'!red)));""max"",1}))"),"")</f>
        <v/>
      </c>
      <c r="AQ16" s="250">
        <v>1.8064516129032258</v>
      </c>
      <c r="AR16" s="246">
        <f>AR29+AR46+AR67+AR88+AR109+AR122</f>
        <v>0</v>
      </c>
      <c r="AS16" s="250">
        <v>1.8064516129032258</v>
      </c>
      <c r="AT16" s="246">
        <f>AT29+AT46+AT67+AT88+AT109+AT122</f>
        <v>5</v>
      </c>
      <c r="AU16" s="250">
        <v>1.8064516129032258</v>
      </c>
      <c r="AV16" s="246">
        <f>AV29+AV46+AV67+AV88+AV109+AV122</f>
        <v>2</v>
      </c>
      <c r="AW16" s="250">
        <v>1.8064516129032258</v>
      </c>
      <c r="AX16" s="246">
        <f>AX29+AX46+AX67+AX88+AX109+AX122</f>
        <v>0</v>
      </c>
      <c r="AY16" s="250">
        <v>1.8064516129032258</v>
      </c>
      <c r="AZ16" s="246">
        <f>AZ29+AZ46+AZ67+AZ88+AZ109+AZ122</f>
        <v>2</v>
      </c>
      <c r="BA16" s="250">
        <v>1.8064516129032258</v>
      </c>
      <c r="BB16" s="246">
        <f>BB29+BB46+BB67+BB88+BB109+BB122</f>
        <v>0</v>
      </c>
      <c r="BC16" s="250">
        <v>1.8064516129032258</v>
      </c>
      <c r="BD16" s="246">
        <f>BD29+BD46+BD67+BD88+BD109+BD122</f>
        <v>0</v>
      </c>
      <c r="BE16" s="255">
        <f>AQ16+AS16+AU16+AW16+AY16+BA16+BC16</f>
        <v>12.64516129</v>
      </c>
      <c r="BF16" s="248">
        <f>BF29+BF46+BF67+BF88+BF109+BF122</f>
        <v>9</v>
      </c>
      <c r="BG16" s="253">
        <f t="shared" si="22"/>
        <v>0.7117346939</v>
      </c>
      <c r="BH16" s="254" t="str">
        <f>IFERROR(__xludf.DUMMYFUNCTION("IFERROR(SPARKLINE(BG16,{""charttype"",""bar"";""color1"",IF(BG16&gt;='Май'!green_percent,'Май'!green,IF(BG16&gt;='Май'!yellow_percent,'Май'!yellow,IF(BG16&gt;='Май'!orange_percent,'Май'!orange,'Май'!red)));""max"",1}))"),"")</f>
        <v/>
      </c>
      <c r="BI16" s="250">
        <v>1.8064516129032258</v>
      </c>
      <c r="BJ16" s="246">
        <f>BJ29+BJ46+BJ67+BJ88+BJ109+BJ122</f>
        <v>2</v>
      </c>
      <c r="BK16" s="250">
        <v>1.8064516129032258</v>
      </c>
      <c r="BL16" s="246">
        <f>BL29+BL46+BL67+BL88+BL109+BL122</f>
        <v>3</v>
      </c>
      <c r="BM16" s="250">
        <v>1.8064516129032258</v>
      </c>
      <c r="BN16" s="246">
        <f>BN29+BN46+BN67+BN88+BN109+BN122</f>
        <v>1</v>
      </c>
      <c r="BO16" s="250">
        <v>1.8064516129032258</v>
      </c>
      <c r="BP16" s="246">
        <f>BP29+BP46+BP67+BP88+BP109+BP122</f>
        <v>5</v>
      </c>
      <c r="BQ16" s="250">
        <v>1.8064516129032258</v>
      </c>
      <c r="BR16" s="246">
        <f>BR29+BR46+BR67+BR88+BR109+BR122</f>
        <v>1</v>
      </c>
      <c r="BS16" s="250">
        <v>1.8064516129032258</v>
      </c>
      <c r="BT16" s="246">
        <f>BT29+BT46+BT67+BT88+BT109+BT122</f>
        <v>0</v>
      </c>
      <c r="BU16" s="250">
        <v>1.8064516129032258</v>
      </c>
      <c r="BV16" s="246">
        <f>BV29+BV46+BV67+BV88+BV109+BV122</f>
        <v>0</v>
      </c>
      <c r="BW16" s="255">
        <f>BI16+BK16+BM16+BO16+BQ16+BS16+BU16</f>
        <v>12.64516129</v>
      </c>
      <c r="BX16" s="248">
        <f>BX29+BX46+BX67+BX88+BX109+BX122</f>
        <v>12</v>
      </c>
      <c r="BY16" s="253">
        <f t="shared" si="24"/>
        <v>0.9489795918</v>
      </c>
      <c r="BZ16" s="254" t="str">
        <f>IFERROR(__xludf.DUMMYFUNCTION("IFERROR(SPARKLINE(BY16,{""charttype"",""bar"";""color1"",IF(BY16&gt;='Май'!green_percent,'Май'!green,IF(BY16&gt;='Май'!yellow_percent,'Май'!yellow,IF(BY16&gt;='Май'!orange_percent,'Май'!orange,'Май'!red)));""max"",1}))"),"")</f>
        <v/>
      </c>
      <c r="CA16" s="250">
        <v>1.8064516129032258</v>
      </c>
      <c r="CB16" s="246">
        <f>CB29+CB46+CB67+CB88+CB109+CB122</f>
        <v>2</v>
      </c>
      <c r="CC16" s="250">
        <v>1.8064516129032258</v>
      </c>
      <c r="CD16" s="246">
        <f>CD29+CD46+CD67+CD88+CD109+CD122</f>
        <v>3</v>
      </c>
      <c r="CE16" s="250">
        <v>1.8064516129032258</v>
      </c>
      <c r="CF16" s="246">
        <f>CF29+CF46+CF67+CF88+CF109+CF122</f>
        <v>2</v>
      </c>
      <c r="CG16" s="250">
        <v>1.8064516129032258</v>
      </c>
      <c r="CH16" s="246">
        <f>CH29+CH46+CH67+CH88+CH109+CH122</f>
        <v>8</v>
      </c>
      <c r="CI16" s="250">
        <v>1.8064516129032258</v>
      </c>
      <c r="CJ16" s="246">
        <f>CJ29+CJ46+CJ67+CJ88+CJ109+CJ122</f>
        <v>2</v>
      </c>
      <c r="CK16" s="250">
        <v>1.8064516129032258</v>
      </c>
      <c r="CL16" s="246">
        <f>CL29+CL46+CL67+CL88+CL109+CL122</f>
        <v>0</v>
      </c>
      <c r="CM16" s="250">
        <v>1.8064516129032258</v>
      </c>
      <c r="CN16" s="246">
        <f>CN29+CN46+CN67+CN88+CN109+CN122</f>
        <v>0</v>
      </c>
      <c r="CO16" s="257">
        <f t="shared" ref="CO16:CP16" si="26">CA16+CC16+CE16+CG16+CI16+CK16+CM16</f>
        <v>12.64516129</v>
      </c>
      <c r="CP16" s="258">
        <f t="shared" si="26"/>
        <v>17</v>
      </c>
      <c r="CQ16" s="259">
        <f t="shared" si="11"/>
        <v>1.344387755</v>
      </c>
      <c r="CR16" s="260" t="str">
        <f>IFERROR(__xludf.DUMMYFUNCTION("IFERROR(SPARKLINE(CQ16,{""charttype"",""bar"";""color1"",IF(CQ16&gt;='Май'!green_percent,'Май'!green,IF(CQ16&gt;='Май'!yellow_percent,'Май'!yellow,IF(CQ16&gt;='Май'!orange_percent,'Май'!orange,'Май'!red)));""max"",1}))"),"")</f>
        <v/>
      </c>
      <c r="CS16" s="286"/>
      <c r="CT16" s="295"/>
      <c r="CU16" s="296"/>
      <c r="CV16" s="295"/>
      <c r="CW16" s="297"/>
      <c r="CX16" s="298"/>
      <c r="CY16" s="297"/>
      <c r="CZ16" s="298"/>
      <c r="DA16" s="297"/>
      <c r="DB16" s="298"/>
      <c r="DC16" s="297"/>
      <c r="DD16" s="298"/>
      <c r="DE16" s="297"/>
      <c r="DF16" s="298"/>
      <c r="DG16" s="299">
        <f t="shared" ref="DG16:DH16" si="27">CS16+CU16+CW16+CY16+DA16+DC16+DE16</f>
        <v>0</v>
      </c>
      <c r="DH16" s="264">
        <f t="shared" si="27"/>
        <v>0</v>
      </c>
      <c r="DI16" s="300" t="str">
        <f>IFERROR(DH16/DG16,"")</f>
        <v/>
      </c>
      <c r="DJ16" s="266" t="str">
        <f>IFERROR(__xludf.DUMMYFUNCTION("IFERROR(SPARKLINE(DI16,{""charttype"",""bar"";""color1"",IF(DI16&gt;='Май'!green_percent,'Май'!green,IF(DI16&gt;='Май'!yellow_percent,'Май'!yellow,IF(DI16&gt;='Май'!orange_percent,'Май'!orange,'Май'!red)));""max"",1}))"),"")</f>
        <v/>
      </c>
      <c r="DK16" s="301"/>
      <c r="DL16" s="302"/>
    </row>
    <row r="17">
      <c r="A17" s="215"/>
      <c r="B17" s="269" t="s">
        <v>24</v>
      </c>
      <c r="C17" s="217"/>
      <c r="D17" s="217"/>
      <c r="E17" s="218"/>
      <c r="F17" s="270">
        <f t="shared" ref="F17:G17" si="28">F12/F16</f>
        <v>14107.14286</v>
      </c>
      <c r="G17" s="270">
        <f t="shared" si="28"/>
        <v>6828.461702</v>
      </c>
      <c r="H17" s="219">
        <f t="shared" si="15"/>
        <v>0.4840428548</v>
      </c>
      <c r="I17" s="271" t="str">
        <f>IFERROR(__xludf.DUMMYFUNCTION("IFERROR(SPARKLINE(H17,{""charttype"",""bar"";""color1"",IF(H17&gt;='Май'!green_percent,'Май'!green,IF(H17&gt;='Май'!yellow_percent,'Май'!yellow,IF(H17&gt;='Май'!orange_percent,'Май'!orange,'Май'!red)));""max"",1}))"),"")</f>
        <v/>
      </c>
      <c r="J17" s="223"/>
      <c r="K17" s="272"/>
      <c r="L17" s="272"/>
      <c r="M17" s="272"/>
      <c r="N17" s="273"/>
      <c r="O17" s="1623">
        <v>14107.142857142857</v>
      </c>
      <c r="P17" s="275" t="str">
        <f>P12/P16</f>
        <v>#DIV/0!</v>
      </c>
      <c r="Q17" s="1623">
        <v>14107.142857142857</v>
      </c>
      <c r="R17" s="275" t="str">
        <f>R12/R16</f>
        <v>#DIV/0!</v>
      </c>
      <c r="S17" s="1623">
        <v>14107.142857142857</v>
      </c>
      <c r="T17" s="275" t="str">
        <f t="shared" ref="T17:V17" si="29">T12/T16</f>
        <v>#DIV/0!</v>
      </c>
      <c r="U17" s="276">
        <f t="shared" si="29"/>
        <v>14107.14286</v>
      </c>
      <c r="V17" s="272" t="str">
        <f t="shared" si="29"/>
        <v>#DIV/0!</v>
      </c>
      <c r="W17" s="219" t="str">
        <f t="shared" si="18"/>
        <v/>
      </c>
      <c r="X17" s="271" t="str">
        <f>IFERROR(__xludf.DUMMYFUNCTION("IFERROR(SPARKLINE(W17,{""charttype"",""bar"";""color1"",IF(W17&gt;='Май'!green_percent,'Май'!green,IF(W17&gt;='Май'!yellow_percent,'Май'!yellow,IF(W17&gt;='Май'!orange_percent,'Май'!orange,'Май'!red)));""max"",1}))"),"")</f>
        <v/>
      </c>
      <c r="Y17" s="1623">
        <v>14107.142857142857</v>
      </c>
      <c r="Z17" s="275">
        <f>Z12/Z16</f>
        <v>806.5</v>
      </c>
      <c r="AA17" s="1623">
        <v>14107.142857142857</v>
      </c>
      <c r="AB17" s="275">
        <f>AB12/AB16</f>
        <v>3979</v>
      </c>
      <c r="AC17" s="1623">
        <v>14107.142857142857</v>
      </c>
      <c r="AD17" s="275">
        <f>AD12/AD16</f>
        <v>9356</v>
      </c>
      <c r="AE17" s="1623">
        <v>14107.142857142857</v>
      </c>
      <c r="AF17" s="275">
        <f>AF12/AF16</f>
        <v>2454.5</v>
      </c>
      <c r="AG17" s="1623">
        <v>14107.142857142857</v>
      </c>
      <c r="AH17" s="275">
        <f>AH12/AH16</f>
        <v>9018</v>
      </c>
      <c r="AI17" s="1623">
        <v>14107.142857142857</v>
      </c>
      <c r="AJ17" s="275" t="str">
        <f>AJ12/AJ16</f>
        <v>#DIV/0!</v>
      </c>
      <c r="AK17" s="1623">
        <v>14107.142857142857</v>
      </c>
      <c r="AL17" s="275" t="str">
        <f t="shared" ref="AL17:AN17" si="30">AL12/AL16</f>
        <v>#DIV/0!</v>
      </c>
      <c r="AM17" s="277">
        <f t="shared" si="30"/>
        <v>14107.14286</v>
      </c>
      <c r="AN17" s="272">
        <f t="shared" si="30"/>
        <v>6785.909091</v>
      </c>
      <c r="AO17" s="279">
        <f t="shared" si="20"/>
        <v>0.4810264672</v>
      </c>
      <c r="AP17" s="280" t="str">
        <f>IFERROR(__xludf.DUMMYFUNCTION("IFERROR(SPARKLINE(AO17,{""charttype"",""bar"";""color1"",IF(AO17&gt;='Май'!green_percent,'Май'!green,IF(AO17&gt;='Май'!yellow_percent,'Май'!yellow,IF(AO17&gt;='Май'!orange_percent,'Май'!orange,'Май'!red)));""max"",1}))"),"")</f>
        <v/>
      </c>
      <c r="AQ17" s="1623">
        <v>14107.142857142857</v>
      </c>
      <c r="AR17" s="275" t="str">
        <f>AR12/AR16</f>
        <v>#DIV/0!</v>
      </c>
      <c r="AS17" s="1623">
        <v>14107.142857142857</v>
      </c>
      <c r="AT17" s="275">
        <f>AT12/AT16</f>
        <v>1865.8</v>
      </c>
      <c r="AU17" s="1623">
        <v>14107.142857142857</v>
      </c>
      <c r="AV17" s="275">
        <f>AV12/AV16</f>
        <v>2923.5</v>
      </c>
      <c r="AW17" s="1623">
        <v>14107.142857142857</v>
      </c>
      <c r="AX17" s="275" t="str">
        <f>AX12/AX16</f>
        <v>#DIV/0!</v>
      </c>
      <c r="AY17" s="1623">
        <v>14107.142857142857</v>
      </c>
      <c r="AZ17" s="275">
        <f>AZ12/AZ16</f>
        <v>3763.5</v>
      </c>
      <c r="BA17" s="1623">
        <v>14107.142857142857</v>
      </c>
      <c r="BB17" s="275" t="str">
        <f>BB12/BB16</f>
        <v>#DIV/0!</v>
      </c>
      <c r="BC17" s="1623">
        <v>14107.142857142857</v>
      </c>
      <c r="BD17" s="275" t="str">
        <f t="shared" ref="BD17:BF17" si="31">BD12/BD16</f>
        <v>#DIV/0!</v>
      </c>
      <c r="BE17" s="277">
        <f t="shared" si="31"/>
        <v>14107.14286</v>
      </c>
      <c r="BF17" s="272">
        <f t="shared" si="31"/>
        <v>14467.88889</v>
      </c>
      <c r="BG17" s="279">
        <f t="shared" si="22"/>
        <v>1.025571871</v>
      </c>
      <c r="BH17" s="280" t="str">
        <f>IFERROR(__xludf.DUMMYFUNCTION("IFERROR(SPARKLINE(BG17,{""charttype"",""bar"";""color1"",IF(BG17&gt;='Май'!green_percent,'Май'!green,IF(BG17&gt;='Май'!yellow_percent,'Май'!yellow,IF(BG17&gt;='Май'!orange_percent,'Май'!orange,'Май'!red)));""max"",1}))"),"")</f>
        <v/>
      </c>
      <c r="BI17" s="1623">
        <v>14107.142857142857</v>
      </c>
      <c r="BJ17" s="275">
        <f>BJ12/BJ16</f>
        <v>3338.5</v>
      </c>
      <c r="BK17" s="1623">
        <v>14107.142857142857</v>
      </c>
      <c r="BL17" s="275">
        <f>BL12/BL16</f>
        <v>2820.666667</v>
      </c>
      <c r="BM17" s="1623">
        <v>14107.142857142857</v>
      </c>
      <c r="BN17" s="275">
        <f>BN12/BN16</f>
        <v>6480</v>
      </c>
      <c r="BO17" s="1623">
        <v>14107.142857142857</v>
      </c>
      <c r="BP17" s="275">
        <f>BP12/BP16</f>
        <v>1258.4</v>
      </c>
      <c r="BQ17" s="1623">
        <v>14107.142857142857</v>
      </c>
      <c r="BR17" s="275">
        <f>BR12/BR16</f>
        <v>6253</v>
      </c>
      <c r="BS17" s="1623">
        <v>14107.142857142857</v>
      </c>
      <c r="BT17" s="275" t="str">
        <f>BT12/BT16</f>
        <v>#DIV/0!</v>
      </c>
      <c r="BU17" s="1623">
        <v>14107.142857142857</v>
      </c>
      <c r="BV17" s="275" t="str">
        <f t="shared" ref="BV17:BX17" si="32">BV12/BV16</f>
        <v>#DIV/0!</v>
      </c>
      <c r="BW17" s="281">
        <f t="shared" si="32"/>
        <v>14107.14286</v>
      </c>
      <c r="BX17" s="272">
        <f t="shared" si="32"/>
        <v>2973.25</v>
      </c>
      <c r="BY17" s="279">
        <f t="shared" si="24"/>
        <v>0.2107620253</v>
      </c>
      <c r="BZ17" s="280" t="str">
        <f>IFERROR(__xludf.DUMMYFUNCTION("IFERROR(SPARKLINE(BY17,{""charttype"",""bar"";""color1"",IF(BY17&gt;='Май'!green_percent,'Май'!green,IF(BY17&gt;='Май'!yellow_percent,'Май'!yellow,IF(BY17&gt;='Май'!orange_percent,'Май'!orange,'Май'!red)));""max"",1}))"),"")</f>
        <v/>
      </c>
      <c r="CA17" s="1623">
        <v>14107.142857142857</v>
      </c>
      <c r="CB17" s="275">
        <f>CB12/CB16</f>
        <v>3038</v>
      </c>
      <c r="CC17" s="1623">
        <v>14107.142857142857</v>
      </c>
      <c r="CD17" s="275">
        <f>CD12/CD16</f>
        <v>3278.666667</v>
      </c>
      <c r="CE17" s="1623">
        <v>14107.142857142857</v>
      </c>
      <c r="CF17" s="275">
        <f>CF12/CF16</f>
        <v>3962</v>
      </c>
      <c r="CG17" s="1623">
        <v>14107.142857142857</v>
      </c>
      <c r="CH17" s="275">
        <f>CH12/CH16</f>
        <v>751.125</v>
      </c>
      <c r="CI17" s="1623">
        <v>14107.142857142857</v>
      </c>
      <c r="CJ17" s="275">
        <f>CJ12/CJ16</f>
        <v>4123.5</v>
      </c>
      <c r="CK17" s="1623">
        <v>14107.142857142857</v>
      </c>
      <c r="CL17" s="275" t="str">
        <f>CL12/CL16</f>
        <v>#DIV/0!</v>
      </c>
      <c r="CM17" s="1623">
        <v>14107.142857142857</v>
      </c>
      <c r="CN17" s="275" t="str">
        <f t="shared" ref="CN17:CP17" si="33">CN12/CN16</f>
        <v>#DIV/0!</v>
      </c>
      <c r="CO17" s="284">
        <f t="shared" si="33"/>
        <v>14107.14286</v>
      </c>
      <c r="CP17" s="304">
        <f t="shared" si="33"/>
        <v>1755.588235</v>
      </c>
      <c r="CQ17" s="231">
        <f t="shared" si="11"/>
        <v>0.124446761</v>
      </c>
      <c r="CR17" s="232" t="str">
        <f>IFERROR(__xludf.DUMMYFUNCTION("IFERROR(SPARKLINE(CQ17,{""charttype"",""bar"";""color1"",IF(CQ17&gt;='Май'!green_percent,'Май'!green,IF(CQ17&gt;='Май'!yellow_percent,'Май'!yellow,IF(CQ17&gt;='Май'!orange_percent,'Май'!orange,'Май'!red)));""max"",1}))"),"")</f>
        <v/>
      </c>
      <c r="CS17" s="261"/>
      <c r="CT17" s="305"/>
      <c r="CU17" s="306"/>
      <c r="CV17" s="305"/>
      <c r="CW17" s="307"/>
      <c r="CX17" s="308"/>
      <c r="CY17" s="307"/>
      <c r="CZ17" s="308"/>
      <c r="DA17" s="307"/>
      <c r="DB17" s="308"/>
      <c r="DC17" s="307"/>
      <c r="DD17" s="308"/>
      <c r="DE17" s="307"/>
      <c r="DF17" s="308"/>
      <c r="DG17" s="309"/>
      <c r="DH17" s="310"/>
      <c r="DI17" s="235"/>
      <c r="DJ17" s="291"/>
      <c r="DK17" s="292"/>
      <c r="DL17" s="293"/>
    </row>
    <row r="18">
      <c r="A18" s="240"/>
      <c r="B18" s="216" t="s">
        <v>25</v>
      </c>
      <c r="C18" s="242"/>
      <c r="D18" s="242"/>
      <c r="E18" s="243"/>
      <c r="F18" s="245">
        <f t="shared" ref="F18:G18" si="34">F16/F14</f>
        <v>0.448</v>
      </c>
      <c r="G18" s="245">
        <f t="shared" si="34"/>
        <v>0.3671875</v>
      </c>
      <c r="H18" s="311">
        <f t="shared" si="15"/>
        <v>0.8196149554</v>
      </c>
      <c r="I18" s="246" t="str">
        <f>IFERROR(__xludf.DUMMYFUNCTION("IFERROR(SPARKLINE(H18,{""charttype"",""bar"";""color1"",IF(H18&gt;='Май'!green_percent,'Май'!green,IF(H18&gt;='Май'!yellow_percent,'Май'!yellow,IF(H18&gt;='Май'!orange_percent,'Май'!orange,'Май'!red)));""max"",1}))"),"")</f>
        <v/>
      </c>
      <c r="J18" s="247"/>
      <c r="K18" s="245"/>
      <c r="L18" s="245"/>
      <c r="M18" s="245"/>
      <c r="N18" s="312"/>
      <c r="O18" s="313">
        <f t="shared" ref="O18:P18" si="35">O16/O14</f>
        <v>0.448</v>
      </c>
      <c r="P18" s="314" t="str">
        <f t="shared" si="35"/>
        <v>#DIV/0!</v>
      </c>
      <c r="Q18" s="313">
        <v>0.448</v>
      </c>
      <c r="R18" s="314" t="str">
        <f>R16/R14</f>
        <v>#DIV/0!</v>
      </c>
      <c r="S18" s="313">
        <v>0.448</v>
      </c>
      <c r="T18" s="314" t="str">
        <f t="shared" ref="T18:V18" si="36">T16/T14</f>
        <v>#DIV/0!</v>
      </c>
      <c r="U18" s="316">
        <f t="shared" si="36"/>
        <v>0.448</v>
      </c>
      <c r="V18" s="245" t="str">
        <f t="shared" si="36"/>
        <v>#DIV/0!</v>
      </c>
      <c r="W18" s="245" t="str">
        <f t="shared" si="18"/>
        <v/>
      </c>
      <c r="X18" s="246" t="str">
        <f>IFERROR(__xludf.DUMMYFUNCTION("IFERROR(SPARKLINE(W18,{""charttype"",""bar"";""color1"",IF(W18&gt;='Май'!green_percent,'Май'!green,IF(W18&gt;='Май'!yellow_percent,'Май'!yellow,IF(W18&gt;='Май'!orange_percent,'Май'!orange,'Май'!red)));""max"",1}))"),"")</f>
        <v/>
      </c>
      <c r="Y18" s="313">
        <v>0.448</v>
      </c>
      <c r="Z18" s="314">
        <f>Z16/Z14</f>
        <v>0.2857142857</v>
      </c>
      <c r="AA18" s="313">
        <v>0.448</v>
      </c>
      <c r="AB18" s="314">
        <f>AB16/AB14</f>
        <v>0.4</v>
      </c>
      <c r="AC18" s="313">
        <v>0.448</v>
      </c>
      <c r="AD18" s="314">
        <f>AD16/AD14</f>
        <v>1</v>
      </c>
      <c r="AE18" s="313">
        <v>0.448</v>
      </c>
      <c r="AF18" s="314">
        <f>AF16/AF14</f>
        <v>0.4</v>
      </c>
      <c r="AG18" s="313">
        <v>0.448</v>
      </c>
      <c r="AH18" s="314">
        <f>AH16/AH14</f>
        <v>1</v>
      </c>
      <c r="AI18" s="313">
        <v>0.448</v>
      </c>
      <c r="AJ18" s="314" t="str">
        <f>AJ16/AJ14</f>
        <v>#DIV/0!</v>
      </c>
      <c r="AK18" s="313">
        <v>0.448</v>
      </c>
      <c r="AL18" s="314" t="str">
        <f t="shared" ref="AL18:AN18" si="37">AL16/AL14</f>
        <v>#DIV/0!</v>
      </c>
      <c r="AM18" s="316">
        <f t="shared" si="37"/>
        <v>0.448</v>
      </c>
      <c r="AN18" s="245">
        <f t="shared" si="37"/>
        <v>0.44</v>
      </c>
      <c r="AO18" s="253">
        <f t="shared" si="20"/>
        <v>0.9821428571</v>
      </c>
      <c r="AP18" s="254" t="str">
        <f>IFERROR(__xludf.DUMMYFUNCTION("IFERROR(SPARKLINE(AO18,{""charttype"",""bar"";""color1"",IF(AO18&gt;='Май'!green_percent,'Май'!green,IF(AO18&gt;='Май'!yellow_percent,'Май'!yellow,IF(AO18&gt;='Май'!orange_percent,'Май'!orange,'Май'!red)));""max"",1}))"),"")</f>
        <v/>
      </c>
      <c r="AQ18" s="313">
        <v>0.448</v>
      </c>
      <c r="AR18" s="314">
        <f>AR16/AR14</f>
        <v>0</v>
      </c>
      <c r="AS18" s="313">
        <v>0.448</v>
      </c>
      <c r="AT18" s="314">
        <f>AT16/AT14</f>
        <v>0.5</v>
      </c>
      <c r="AU18" s="313">
        <v>0.448</v>
      </c>
      <c r="AV18" s="314">
        <f>AV16/AV14</f>
        <v>0.5</v>
      </c>
      <c r="AW18" s="313">
        <v>0.448</v>
      </c>
      <c r="AX18" s="314">
        <f>AX16/AX14</f>
        <v>0</v>
      </c>
      <c r="AY18" s="313">
        <v>0.448</v>
      </c>
      <c r="AZ18" s="314">
        <f>AZ16/AZ14</f>
        <v>0.5</v>
      </c>
      <c r="BA18" s="313">
        <v>0.448</v>
      </c>
      <c r="BB18" s="314">
        <f>BB16/BB14</f>
        <v>0</v>
      </c>
      <c r="BC18" s="313">
        <v>0.448</v>
      </c>
      <c r="BD18" s="314" t="str">
        <f t="shared" ref="BD18:BF18" si="38">BD16/BD14</f>
        <v>#DIV/0!</v>
      </c>
      <c r="BE18" s="316">
        <f t="shared" si="38"/>
        <v>0.448</v>
      </c>
      <c r="BF18" s="245">
        <f t="shared" si="38"/>
        <v>0.2571428571</v>
      </c>
      <c r="BG18" s="253">
        <f t="shared" si="22"/>
        <v>0.5739795918</v>
      </c>
      <c r="BH18" s="318" t="str">
        <f>IFERROR(__xludf.DUMMYFUNCTION("IFERROR(SPARKLINE(BG18,{""charttype"",""bar"";""color1"",IF(BG18&gt;='Май'!green_percent,'Май'!green,IF(BG18&gt;='Май'!yellow_percent,'Май'!yellow,IF(BG18&gt;='Май'!orange_percent,'Май'!orange,'Май'!red)));""max"",1}))"),"")</f>
        <v/>
      </c>
      <c r="BI18" s="313">
        <v>0.448</v>
      </c>
      <c r="BJ18" s="314">
        <f>BJ16/BJ14</f>
        <v>0.3333333333</v>
      </c>
      <c r="BK18" s="313">
        <v>0.448</v>
      </c>
      <c r="BL18" s="314">
        <f>BL16/BL14</f>
        <v>0.4285714286</v>
      </c>
      <c r="BM18" s="313">
        <v>0.448</v>
      </c>
      <c r="BN18" s="314">
        <f>BN16/BN14</f>
        <v>0.2</v>
      </c>
      <c r="BO18" s="313">
        <v>0.448</v>
      </c>
      <c r="BP18" s="314">
        <f>BP16/BP14</f>
        <v>1</v>
      </c>
      <c r="BQ18" s="313">
        <v>0.448</v>
      </c>
      <c r="BR18" s="314">
        <f>BR16/BR14</f>
        <v>0.1428571429</v>
      </c>
      <c r="BS18" s="313">
        <v>0.448</v>
      </c>
      <c r="BT18" s="314" t="str">
        <f>BT16/BT14</f>
        <v>#DIV/0!</v>
      </c>
      <c r="BU18" s="313">
        <v>0.448</v>
      </c>
      <c r="BV18" s="314">
        <f t="shared" ref="BV18:BX18" si="39">BV16/BV14</f>
        <v>0</v>
      </c>
      <c r="BW18" s="316">
        <f t="shared" si="39"/>
        <v>0.448</v>
      </c>
      <c r="BX18" s="245">
        <f t="shared" si="39"/>
        <v>0.3636363636</v>
      </c>
      <c r="BY18" s="253">
        <f t="shared" si="24"/>
        <v>0.8116883117</v>
      </c>
      <c r="BZ18" s="254" t="str">
        <f>IFERROR(__xludf.DUMMYFUNCTION("IFERROR(SPARKLINE(BY18,{""charttype"",""bar"";""color1"",IF(BY18&gt;='Май'!green_percent,'Май'!green,IF(BY18&gt;='Май'!yellow_percent,'Май'!yellow,IF(BY18&gt;='Май'!orange_percent,'Май'!orange,'Май'!red)));""max"",1}))"),"")</f>
        <v/>
      </c>
      <c r="CA18" s="313">
        <v>0.448</v>
      </c>
      <c r="CB18" s="314">
        <f>CB16/CB14</f>
        <v>0.25</v>
      </c>
      <c r="CC18" s="313">
        <v>0.448</v>
      </c>
      <c r="CD18" s="314">
        <f>CD16/CD14</f>
        <v>0.4285714286</v>
      </c>
      <c r="CE18" s="313">
        <v>0.448</v>
      </c>
      <c r="CF18" s="314">
        <f>CF16/CF14</f>
        <v>0.3333333333</v>
      </c>
      <c r="CG18" s="313">
        <v>0.448</v>
      </c>
      <c r="CH18" s="314">
        <f>CH16/CH14</f>
        <v>0.6666666667</v>
      </c>
      <c r="CI18" s="313">
        <v>0.448</v>
      </c>
      <c r="CJ18" s="314">
        <f>CJ16/CJ14</f>
        <v>0.2222222222</v>
      </c>
      <c r="CK18" s="313">
        <v>0.448</v>
      </c>
      <c r="CL18" s="314">
        <f>CL16/CL14</f>
        <v>0</v>
      </c>
      <c r="CM18" s="313">
        <v>0.448</v>
      </c>
      <c r="CN18" s="314">
        <f t="shared" ref="CN18:CP18" si="40">CN16/CN14</f>
        <v>0</v>
      </c>
      <c r="CO18" s="319">
        <f t="shared" si="40"/>
        <v>0.448</v>
      </c>
      <c r="CP18" s="320">
        <f t="shared" si="40"/>
        <v>0.5151515152</v>
      </c>
      <c r="CQ18" s="259">
        <f t="shared" si="11"/>
        <v>1.149891775</v>
      </c>
      <c r="CR18" s="260" t="str">
        <f>IFERROR(__xludf.DUMMYFUNCTION("IFERROR(SPARKLINE(CQ18,{""charttype"",""bar"";""color1"",IF(CQ18&gt;='Май'!green_percent,'Май'!green,IF(CQ18&gt;='Май'!yellow_percent,'Май'!yellow,IF(CQ18&gt;='Май'!orange_percent,'Май'!orange,'Май'!red)));""max"",1}))"),"")</f>
        <v/>
      </c>
      <c r="CS18" s="321"/>
      <c r="CT18" s="322"/>
      <c r="CU18" s="323"/>
      <c r="CV18" s="322"/>
      <c r="CW18" s="324"/>
      <c r="CX18" s="325"/>
      <c r="CY18" s="324"/>
      <c r="CZ18" s="325"/>
      <c r="DA18" s="324"/>
      <c r="DB18" s="325"/>
      <c r="DC18" s="324"/>
      <c r="DD18" s="325"/>
      <c r="DE18" s="324"/>
      <c r="DF18" s="325"/>
      <c r="DG18" s="326">
        <f t="shared" ref="DG18:DH18" si="41">CS18+CU18+CW18+CY18+DA18+DC18+DE18</f>
        <v>0</v>
      </c>
      <c r="DH18" s="327">
        <f t="shared" si="41"/>
        <v>0</v>
      </c>
      <c r="DI18" s="328" t="str">
        <f>IFERROR(DH18/DG18,"")</f>
        <v/>
      </c>
      <c r="DJ18" s="329" t="str">
        <f>IFERROR(__xludf.DUMMYFUNCTION("IFERROR(SPARKLINE(DI18,{""charttype"",""bar"";""color1"",IF(DI18&gt;='Май'!green_percent,'Май'!green,IF(DI18&gt;='Май'!yellow_percent,'Май'!yellow,IF(DI18&gt;='Май'!orange_percent,'Май'!orange,'Май'!red)));""max"",1}))"),"")</f>
        <v/>
      </c>
      <c r="DK18" s="301"/>
      <c r="DL18" s="302"/>
    </row>
    <row r="19">
      <c r="A19" s="215"/>
      <c r="B19" s="216" t="s">
        <v>26</v>
      </c>
      <c r="C19" s="217"/>
      <c r="D19" s="217"/>
      <c r="E19" s="218"/>
      <c r="F19" s="330">
        <f>F34+F51+F72+F93+F112</f>
        <v>7</v>
      </c>
      <c r="G19" s="330">
        <f>G34+G51+G72+G93+G112+G138</f>
        <v>2</v>
      </c>
      <c r="H19" s="331">
        <f t="shared" si="15"/>
        <v>0.2857142857</v>
      </c>
      <c r="I19" s="271" t="str">
        <f>IFERROR(__xludf.DUMMYFUNCTION("IFERROR(SPARKLINE(H19,{""charttype"",""bar"";""color1"",IF(H19&gt;='Май'!green_percent,'Май'!green,IF(H19&gt;='Май'!yellow_percent,'Май'!yellow,IF(H19&gt;='Май'!orange_percent,'Май'!orange,'Май'!red)));""max"",1}))"),"")</f>
        <v/>
      </c>
      <c r="J19" s="223"/>
      <c r="K19" s="219"/>
      <c r="L19" s="219"/>
      <c r="M19" s="219"/>
      <c r="N19" s="221"/>
      <c r="O19" s="332">
        <v>0.3279569892473118</v>
      </c>
      <c r="P19" s="271">
        <f>P34+P51+P72+P93+P112</f>
        <v>0</v>
      </c>
      <c r="Q19" s="332">
        <v>0.3279569892473118</v>
      </c>
      <c r="R19" s="271">
        <f>R34+R51+R72+R93+R112</f>
        <v>0</v>
      </c>
      <c r="S19" s="332">
        <v>0.3279569892473118</v>
      </c>
      <c r="T19" s="271">
        <f>T34+T51+T72+T93+T112</f>
        <v>0</v>
      </c>
      <c r="U19" s="333">
        <f>U34+U51+U72+U93+U112+U138</f>
        <v>0.8451612903</v>
      </c>
      <c r="V19" s="330">
        <f>V34+V51+V72+V93+V112</f>
        <v>0</v>
      </c>
      <c r="W19" s="219">
        <f t="shared" si="18"/>
        <v>0</v>
      </c>
      <c r="X19" s="271" t="str">
        <f>IFERROR(__xludf.DUMMYFUNCTION("IFERROR(SPARKLINE(W19,{""charttype"",""bar"";""color1"",IF(W19&gt;='Май'!green_percent,'Май'!green,IF(W19&gt;='Май'!yellow_percent,'Май'!yellow,IF(W19&gt;='Май'!orange_percent,'Май'!orange,'Май'!red)));""max"",1}))"),"")</f>
        <v/>
      </c>
      <c r="Y19" s="332">
        <v>0.3279569892473118</v>
      </c>
      <c r="Z19" s="271">
        <f>Z34+Z51+Z72+Z93+Z112</f>
        <v>1</v>
      </c>
      <c r="AA19" s="332">
        <v>0.3279569892473118</v>
      </c>
      <c r="AB19" s="271">
        <f>AB34+AB51+AB72+AB93+AB112</f>
        <v>0</v>
      </c>
      <c r="AC19" s="332">
        <v>0.3279569892473118</v>
      </c>
      <c r="AD19" s="271">
        <f>AD34+AD51+AD72+AD93+AD112</f>
        <v>0</v>
      </c>
      <c r="AE19" s="332">
        <v>0.3279569892473118</v>
      </c>
      <c r="AF19" s="271">
        <f>AF34+AF51+AF72+AF93+AF112</f>
        <v>0</v>
      </c>
      <c r="AG19" s="332">
        <v>0.3279569892473118</v>
      </c>
      <c r="AH19" s="271">
        <f>AH34+AH51+AH72+AH93+AH112</f>
        <v>0</v>
      </c>
      <c r="AI19" s="332">
        <v>0.3279569892473118</v>
      </c>
      <c r="AJ19" s="271">
        <f>AJ34+AJ51+AJ72+AJ93+AJ112</f>
        <v>0</v>
      </c>
      <c r="AK19" s="332">
        <v>0.3279569892473118</v>
      </c>
      <c r="AL19" s="271">
        <f>AL34+AL51+AL72+AL93+AL112</f>
        <v>0</v>
      </c>
      <c r="AM19" s="333">
        <f>AM34+AM51+AM72+AM93+AM112+AM138</f>
        <v>2.047311828</v>
      </c>
      <c r="AN19" s="330">
        <f>AN34+AN51+AN72+AN93+AN112</f>
        <v>1</v>
      </c>
      <c r="AO19" s="279">
        <f t="shared" si="20"/>
        <v>0.4884453782</v>
      </c>
      <c r="AP19" s="280" t="str">
        <f>IFERROR(__xludf.DUMMYFUNCTION("IFERROR(SPARKLINE(AO19,{""charttype"",""bar"";""color1"",IF(AO19&gt;='Май'!green_percent,'Май'!green,IF(AO19&gt;='Май'!yellow_percent,'Май'!yellow,IF(AO19&gt;='Май'!orange_percent,'Май'!orange,'Май'!red)));""max"",1}))"),"")</f>
        <v/>
      </c>
      <c r="AQ19" s="332">
        <v>0.3279569892473118</v>
      </c>
      <c r="AR19" s="271">
        <f>AR34+AR51+AR72+AR93+AR112</f>
        <v>0</v>
      </c>
      <c r="AS19" s="332">
        <v>0.3279569892473118</v>
      </c>
      <c r="AT19" s="271">
        <f>AT34+AT51+AT72+AT93+AT112</f>
        <v>0</v>
      </c>
      <c r="AU19" s="332">
        <v>0.3279569892473118</v>
      </c>
      <c r="AV19" s="271">
        <f>AV34+AV51+AV72+AV93+AV112</f>
        <v>0</v>
      </c>
      <c r="AW19" s="332">
        <v>0.3279569892473118</v>
      </c>
      <c r="AX19" s="271">
        <f>AX34+AX51+AX72+AX93+AX112</f>
        <v>0</v>
      </c>
      <c r="AY19" s="332">
        <v>0.3279569892473118</v>
      </c>
      <c r="AZ19" s="271">
        <f>AZ34+AZ51+AZ72+AZ93+AZ112</f>
        <v>0</v>
      </c>
      <c r="BA19" s="332">
        <v>0.3279569892473118</v>
      </c>
      <c r="BB19" s="271">
        <f>BB34+BB51+BB72+BB93+BB112</f>
        <v>0</v>
      </c>
      <c r="BC19" s="332">
        <v>0.3279569892473118</v>
      </c>
      <c r="BD19" s="271">
        <f>BD34+BD51+BD72+BD93+BD112</f>
        <v>0</v>
      </c>
      <c r="BE19" s="332">
        <f>BE34+BE51+BE72+BE93+BE112+BE138</f>
        <v>2.069892473</v>
      </c>
      <c r="BF19" s="330">
        <f>BF34+BF51+BF72+BF93+BF112</f>
        <v>0</v>
      </c>
      <c r="BG19" s="279">
        <f t="shared" si="22"/>
        <v>0</v>
      </c>
      <c r="BH19" s="334" t="str">
        <f>IFERROR(__xludf.DUMMYFUNCTION("IFERROR(SPARKLINE(BG19,{""charttype"",""bar"";""color1"",IF(BG19&gt;='Май'!green_percent,'Май'!green,IF(BG19&gt;='Май'!yellow_percent,'Май'!yellow,IF(BG19&gt;='Май'!orange_percent,'Май'!orange,'Май'!red)));""max"",1}))"),"")</f>
        <v/>
      </c>
      <c r="BI19" s="332">
        <v>0.3279569892473118</v>
      </c>
      <c r="BJ19" s="271">
        <f>BJ34+BJ51+BJ72+BJ93+BJ112</f>
        <v>0</v>
      </c>
      <c r="BK19" s="332">
        <v>0.3279569892473118</v>
      </c>
      <c r="BL19" s="271">
        <f>BL34+BL51+BL72+BL93+BL112</f>
        <v>0</v>
      </c>
      <c r="BM19" s="332">
        <v>0.3279569892473118</v>
      </c>
      <c r="BN19" s="271">
        <f>BN34+BN51+BN72+BN93+BN112</f>
        <v>0</v>
      </c>
      <c r="BO19" s="332">
        <v>0.3279569892473118</v>
      </c>
      <c r="BP19" s="271">
        <f>BP34+BP51+BP72+BP93+BP112</f>
        <v>0</v>
      </c>
      <c r="BQ19" s="332">
        <v>0.3279569892473118</v>
      </c>
      <c r="BR19" s="271">
        <f>BR34+BR51+BR72+BR93+BR112</f>
        <v>0</v>
      </c>
      <c r="BS19" s="332">
        <v>0.3279569892473118</v>
      </c>
      <c r="BT19" s="271">
        <f>BT34+BT51+BT72+BT93+BT112</f>
        <v>0</v>
      </c>
      <c r="BU19" s="332">
        <v>0.3279569892473118</v>
      </c>
      <c r="BV19" s="271">
        <f>BV34+BV51+BV72+BV93+BV112</f>
        <v>0</v>
      </c>
      <c r="BW19" s="332">
        <f>BW34+BW51+BW72+BW93+BW112+BW138</f>
        <v>2.069892473</v>
      </c>
      <c r="BX19" s="330">
        <f>BX34+BX51+BX72+BX93+BX112</f>
        <v>0</v>
      </c>
      <c r="BY19" s="279">
        <f t="shared" si="24"/>
        <v>0</v>
      </c>
      <c r="BZ19" s="280" t="str">
        <f>IFERROR(__xludf.DUMMYFUNCTION("IFERROR(SPARKLINE(BY19,{""charttype"",""bar"";""color1"",IF(BY19&gt;='Май'!green_percent,'Май'!green,IF(BY19&gt;='Май'!yellow_percent,'Май'!yellow,IF(BY19&gt;='Май'!orange_percent,'Май'!orange,'Май'!red)));""max"",1}))"),"")</f>
        <v/>
      </c>
      <c r="CA19" s="332">
        <v>0.3279569892473118</v>
      </c>
      <c r="CB19" s="271">
        <f>CB34+CB51+CB72+CB93+CB112</f>
        <v>0</v>
      </c>
      <c r="CC19" s="332">
        <v>0.3279569892473118</v>
      </c>
      <c r="CD19" s="271">
        <f>CD34+CD51+CD72+CD93+CD112</f>
        <v>0</v>
      </c>
      <c r="CE19" s="332">
        <v>0.3279569892473118</v>
      </c>
      <c r="CF19" s="271">
        <f>CF34+CF51+CF72+CF93+CF112</f>
        <v>0</v>
      </c>
      <c r="CG19" s="332">
        <v>0.3279569892473118</v>
      </c>
      <c r="CH19" s="271">
        <f>CH34+CH51+CH72+CH93+CH112</f>
        <v>1</v>
      </c>
      <c r="CI19" s="332">
        <v>0.3279569892473118</v>
      </c>
      <c r="CJ19" s="271">
        <f>CJ34+CJ51+CJ72+CJ93+CJ112</f>
        <v>0</v>
      </c>
      <c r="CK19" s="332">
        <v>0.3279569892473118</v>
      </c>
      <c r="CL19" s="271">
        <f>CL34+CL51+CL72+CL93+CL112</f>
        <v>0</v>
      </c>
      <c r="CM19" s="332">
        <v>0.3279569892473118</v>
      </c>
      <c r="CN19" s="271">
        <f>CN34+CN51+CN72+CN93+CN112</f>
        <v>0</v>
      </c>
      <c r="CO19" s="335">
        <f t="shared" ref="CO19:CP19" si="42">CA19+CC19+CE19+CG19+CI19+CK19+CM19</f>
        <v>2.295698925</v>
      </c>
      <c r="CP19" s="336">
        <f t="shared" si="42"/>
        <v>1</v>
      </c>
      <c r="CQ19" s="231">
        <f t="shared" si="11"/>
        <v>0.4355971897</v>
      </c>
      <c r="CR19" s="232" t="str">
        <f>IFERROR(__xludf.DUMMYFUNCTION("IFERROR(SPARKLINE(CQ19,{""charttype"",""bar"";""color1"",IF(CQ19&gt;='Май'!green_percent,'Май'!green,IF(CQ19&gt;='Май'!yellow_percent,'Май'!yellow,IF(CQ19&gt;='Май'!orange_percent,'Май'!orange,'Май'!red)));""max"",1}))"),"")</f>
        <v/>
      </c>
      <c r="CS19" s="321"/>
      <c r="CT19" s="337"/>
      <c r="CU19" s="321"/>
      <c r="CV19" s="238"/>
      <c r="CW19" s="288"/>
      <c r="CX19" s="288"/>
      <c r="CY19" s="288"/>
      <c r="CZ19" s="288"/>
      <c r="DA19" s="288"/>
      <c r="DB19" s="288"/>
      <c r="DC19" s="288"/>
      <c r="DD19" s="288"/>
      <c r="DE19" s="288"/>
      <c r="DF19" s="288"/>
      <c r="DG19" s="289"/>
      <c r="DH19" s="310"/>
      <c r="DI19" s="338"/>
      <c r="DJ19" s="339"/>
      <c r="DK19" s="292"/>
      <c r="DL19" s="293"/>
    </row>
    <row r="20">
      <c r="A20" s="240"/>
      <c r="B20" s="216" t="s">
        <v>27</v>
      </c>
      <c r="C20" s="242"/>
      <c r="D20" s="242"/>
      <c r="E20" s="243"/>
      <c r="F20" s="340">
        <f t="shared" ref="F20:G20" si="43">F12/F19</f>
        <v>112857.1429</v>
      </c>
      <c r="G20" s="340">
        <f t="shared" si="43"/>
        <v>160468.85</v>
      </c>
      <c r="H20" s="311">
        <f t="shared" si="15"/>
        <v>1.421875886</v>
      </c>
      <c r="I20" s="246" t="str">
        <f>IFERROR(__xludf.DUMMYFUNCTION("IFERROR(SPARKLINE(H20,{""charttype"",""bar"";""color1"",IF(H20&gt;='Май'!green_percent,'Май'!green,IF(H20&gt;='Май'!yellow_percent,'Май'!yellow,IF(H20&gt;='Май'!orange_percent,'Май'!orange,'Май'!red)));""max"",1}))"),"")</f>
        <v/>
      </c>
      <c r="J20" s="247"/>
      <c r="K20" s="245"/>
      <c r="L20" s="245"/>
      <c r="M20" s="245"/>
      <c r="N20" s="312"/>
      <c r="O20" s="341">
        <f>F20</f>
        <v>112857.1429</v>
      </c>
      <c r="P20" s="342" t="str">
        <f>P12/P19</f>
        <v>#DIV/0!</v>
      </c>
      <c r="Q20" s="341">
        <v>112857.14285714286</v>
      </c>
      <c r="R20" s="342" t="str">
        <f>R12/R19</f>
        <v>#DIV/0!</v>
      </c>
      <c r="S20" s="341">
        <v>112857.14285714286</v>
      </c>
      <c r="T20" s="342" t="str">
        <f>T12/T19</f>
        <v>#DIV/0!</v>
      </c>
      <c r="U20" s="341">
        <v>112857.14285714286</v>
      </c>
      <c r="V20" s="340" t="str">
        <f>V12/V19</f>
        <v>#DIV/0!</v>
      </c>
      <c r="W20" s="245" t="str">
        <f t="shared" si="18"/>
        <v/>
      </c>
      <c r="X20" s="246" t="str">
        <f>IFERROR(__xludf.DUMMYFUNCTION("IFERROR(SPARKLINE(W20,{""charttype"",""bar"";""color1"",IF(W20&gt;='Май'!green_percent,'Май'!green,IF(W20&gt;='Май'!yellow_percent,'Май'!yellow,IF(W20&gt;='Май'!orange_percent,'Май'!orange,'Май'!red)));""max"",1}))"),"")</f>
        <v/>
      </c>
      <c r="Y20" s="341">
        <v>112857.14285714286</v>
      </c>
      <c r="Z20" s="342">
        <f>Z12/Z19</f>
        <v>1613</v>
      </c>
      <c r="AA20" s="341">
        <v>112857.14285714286</v>
      </c>
      <c r="AB20" s="342" t="str">
        <f>AB12/AB19</f>
        <v>#DIV/0!</v>
      </c>
      <c r="AC20" s="341">
        <v>112857.14285714286</v>
      </c>
      <c r="AD20" s="342" t="str">
        <f>AD12/AD19</f>
        <v>#DIV/0!</v>
      </c>
      <c r="AE20" s="341">
        <v>112857.14285714286</v>
      </c>
      <c r="AF20" s="342" t="str">
        <f>AF12/AF19</f>
        <v>#DIV/0!</v>
      </c>
      <c r="AG20" s="341">
        <v>112857.14285714286</v>
      </c>
      <c r="AH20" s="342" t="str">
        <f>AH12/AH19</f>
        <v>#DIV/0!</v>
      </c>
      <c r="AI20" s="341">
        <v>112857.14285714286</v>
      </c>
      <c r="AJ20" s="342" t="str">
        <f>AJ12/AJ19</f>
        <v>#DIV/0!</v>
      </c>
      <c r="AK20" s="341">
        <v>112857.14285714286</v>
      </c>
      <c r="AL20" s="342" t="str">
        <f>AL12/AL19</f>
        <v>#DIV/0!</v>
      </c>
      <c r="AM20" s="343">
        <v>112857.14285714286</v>
      </c>
      <c r="AN20" s="340">
        <f>AN12/AN19</f>
        <v>74645</v>
      </c>
      <c r="AO20" s="253">
        <f t="shared" si="20"/>
        <v>0.6614113924</v>
      </c>
      <c r="AP20" s="254" t="str">
        <f>IFERROR(__xludf.DUMMYFUNCTION("IFERROR(SPARKLINE(AO20,{""charttype"",""bar"";""color1"",IF(AO20&gt;='Май'!green_percent,'Май'!green,IF(AO20&gt;='Май'!yellow_percent,'Май'!yellow,IF(AO20&gt;='Май'!orange_percent,'Май'!orange,'Май'!red)));""max"",1}))"),"")</f>
        <v/>
      </c>
      <c r="AQ20" s="341">
        <v>112857.14285714286</v>
      </c>
      <c r="AR20" s="342" t="str">
        <f>AR12/AR19</f>
        <v>#DIV/0!</v>
      </c>
      <c r="AS20" s="341">
        <v>112857.14285714286</v>
      </c>
      <c r="AT20" s="342" t="str">
        <f>AT12/AT19</f>
        <v>#DIV/0!</v>
      </c>
      <c r="AU20" s="341">
        <v>112857.14285714286</v>
      </c>
      <c r="AV20" s="342" t="str">
        <f>AV12/AV19</f>
        <v>#DIV/0!</v>
      </c>
      <c r="AW20" s="341">
        <v>112857.14285714286</v>
      </c>
      <c r="AX20" s="342" t="str">
        <f>AX12/AX19</f>
        <v>#DIV/0!</v>
      </c>
      <c r="AY20" s="341">
        <v>112857.14285714286</v>
      </c>
      <c r="AZ20" s="342" t="str">
        <f>AZ12/AZ19</f>
        <v>#DIV/0!</v>
      </c>
      <c r="BA20" s="341">
        <v>112857.14285714286</v>
      </c>
      <c r="BB20" s="342" t="str">
        <f>BB12/BB19</f>
        <v>#DIV/0!</v>
      </c>
      <c r="BC20" s="341">
        <v>112857.14285714286</v>
      </c>
      <c r="BD20" s="342" t="str">
        <f>BD12/BD19</f>
        <v>#DIV/0!</v>
      </c>
      <c r="BE20" s="341">
        <v>112857.14285714286</v>
      </c>
      <c r="BF20" s="340" t="str">
        <f>BF12/BF19</f>
        <v>#DIV/0!</v>
      </c>
      <c r="BG20" s="253" t="str">
        <f t="shared" si="22"/>
        <v/>
      </c>
      <c r="BH20" s="318" t="str">
        <f>IFERROR(__xludf.DUMMYFUNCTION("IFERROR(SPARKLINE(BG20,{""charttype"",""bar"";""color1"",IF(BG20&gt;='Май'!green_percent,'Май'!green,IF(BG20&gt;='Май'!yellow_percent,'Май'!yellow,IF(BG20&gt;='Май'!orange_percent,'Май'!orange,'Май'!red)));""max"",1}))"),"")</f>
        <v/>
      </c>
      <c r="BI20" s="341">
        <v>112857.14285714286</v>
      </c>
      <c r="BJ20" s="342" t="str">
        <f>BJ12/BJ19</f>
        <v>#DIV/0!</v>
      </c>
      <c r="BK20" s="341">
        <v>112857.14285714286</v>
      </c>
      <c r="BL20" s="342" t="str">
        <f>BL12/BL19</f>
        <v>#DIV/0!</v>
      </c>
      <c r="BM20" s="341">
        <v>112857.14285714286</v>
      </c>
      <c r="BN20" s="342" t="str">
        <f>BN12/BN19</f>
        <v>#DIV/0!</v>
      </c>
      <c r="BO20" s="341">
        <v>112857.14285714286</v>
      </c>
      <c r="BP20" s="342" t="str">
        <f>BP12/BP19</f>
        <v>#DIV/0!</v>
      </c>
      <c r="BQ20" s="341">
        <v>112857.14285714286</v>
      </c>
      <c r="BR20" s="342" t="str">
        <f>BR12/BR19</f>
        <v>#DIV/0!</v>
      </c>
      <c r="BS20" s="341">
        <v>112857.14285714286</v>
      </c>
      <c r="BT20" s="342" t="str">
        <f>BT12/BT19</f>
        <v>#DIV/0!</v>
      </c>
      <c r="BU20" s="341">
        <v>112857.14285714286</v>
      </c>
      <c r="BV20" s="342" t="str">
        <f>BV12/BV19</f>
        <v>#DIV/0!</v>
      </c>
      <c r="BW20" s="343">
        <v>112857.14285714286</v>
      </c>
      <c r="BX20" s="340" t="str">
        <f>BX12/BX19</f>
        <v>#DIV/0!</v>
      </c>
      <c r="BY20" s="253" t="str">
        <f t="shared" si="24"/>
        <v/>
      </c>
      <c r="BZ20" s="254" t="str">
        <f>IFERROR(__xludf.DUMMYFUNCTION("IFERROR(SPARKLINE(BY20,{""charttype"",""bar"";""color1"",IF(BY20&gt;='Май'!green_percent,'Май'!green,IF(BY20&gt;='Май'!yellow_percent,'Май'!yellow,IF(BY20&gt;='Май'!orange_percent,'Май'!orange,'Май'!red)));""max"",1}))"),"")</f>
        <v/>
      </c>
      <c r="CA20" s="341">
        <v>112857.14285714286</v>
      </c>
      <c r="CB20" s="342" t="str">
        <f>CB12/CB19</f>
        <v>#DIV/0!</v>
      </c>
      <c r="CC20" s="341">
        <v>112857.14285714286</v>
      </c>
      <c r="CD20" s="342" t="str">
        <f>CD12/CD19</f>
        <v>#DIV/0!</v>
      </c>
      <c r="CE20" s="341">
        <v>112857.14285714286</v>
      </c>
      <c r="CF20" s="342" t="str">
        <f>CF12/CF19</f>
        <v>#DIV/0!</v>
      </c>
      <c r="CG20" s="341">
        <v>112857.14285714286</v>
      </c>
      <c r="CH20" s="342">
        <f>CH12/CH19</f>
        <v>6009</v>
      </c>
      <c r="CI20" s="341">
        <v>112857.14285714286</v>
      </c>
      <c r="CJ20" s="342" t="str">
        <f>CJ12/CJ19</f>
        <v>#DIV/0!</v>
      </c>
      <c r="CK20" s="341">
        <v>112857.14285714286</v>
      </c>
      <c r="CL20" s="342" t="str">
        <f>CL12/CL19</f>
        <v>#DIV/0!</v>
      </c>
      <c r="CM20" s="341">
        <v>112857.14285714286</v>
      </c>
      <c r="CN20" s="342" t="str">
        <f>CN12/CN19</f>
        <v>#DIV/0!</v>
      </c>
      <c r="CO20" s="341">
        <v>112857.14285714286</v>
      </c>
      <c r="CP20" s="344">
        <f>CP12/CP19</f>
        <v>29845</v>
      </c>
      <c r="CQ20" s="259">
        <f t="shared" si="11"/>
        <v>0.2644493671</v>
      </c>
      <c r="CR20" s="260" t="str">
        <f>IFERROR(__xludf.DUMMYFUNCTION("IFERROR(SPARKLINE(CQ20,{""charttype"",""bar"";""color1"",IF(CQ20&gt;='Май'!green_percent,'Май'!green,IF(CQ20&gt;='Май'!yellow_percent,'Май'!yellow,IF(CQ20&gt;='Май'!orange_percent,'Май'!orange,'Май'!red)));""max"",1}))"),"")</f>
        <v/>
      </c>
      <c r="CS20" s="321"/>
      <c r="CT20" s="345"/>
      <c r="CU20" s="321"/>
      <c r="CV20" s="346"/>
      <c r="CW20" s="262"/>
      <c r="CX20" s="262"/>
      <c r="CY20" s="262"/>
      <c r="CZ20" s="262"/>
      <c r="DA20" s="262"/>
      <c r="DB20" s="262"/>
      <c r="DC20" s="262"/>
      <c r="DD20" s="262"/>
      <c r="DE20" s="262"/>
      <c r="DF20" s="262"/>
      <c r="DG20" s="326"/>
      <c r="DH20" s="327"/>
      <c r="DI20" s="328"/>
      <c r="DJ20" s="329"/>
      <c r="DK20" s="301"/>
      <c r="DL20" s="302"/>
    </row>
    <row r="21">
      <c r="A21" s="215"/>
      <c r="B21" s="216" t="s">
        <v>28</v>
      </c>
      <c r="C21" s="217"/>
      <c r="D21" s="217"/>
      <c r="E21" s="218"/>
      <c r="F21" s="219"/>
      <c r="G21" s="330">
        <f>G38+G55+G76+G97</f>
        <v>2</v>
      </c>
      <c r="H21" s="331"/>
      <c r="I21" s="271"/>
      <c r="J21" s="347"/>
      <c r="K21" s="219"/>
      <c r="L21" s="219"/>
      <c r="M21" s="219"/>
      <c r="N21" s="221"/>
      <c r="O21" s="226"/>
      <c r="P21" s="271">
        <f>P38+P55+P76+P97+P142</f>
        <v>0</v>
      </c>
      <c r="Q21" s="226"/>
      <c r="R21" s="271">
        <f>R38+R55+R76+R97+R142</f>
        <v>0</v>
      </c>
      <c r="S21" s="226"/>
      <c r="T21" s="271">
        <f>T38+T55+T76+T97+T142</f>
        <v>0</v>
      </c>
      <c r="U21" s="348"/>
      <c r="V21" s="330">
        <f>V38+V55+V76+V97+V142</f>
        <v>0</v>
      </c>
      <c r="W21" s="219"/>
      <c r="X21" s="271"/>
      <c r="Y21" s="226"/>
      <c r="Z21" s="271">
        <f>Z38+Z55+Z76+Z97+Z142</f>
        <v>0</v>
      </c>
      <c r="AA21" s="226"/>
      <c r="AB21" s="271">
        <f>AB38+AB55+AB76+AB97+AB142</f>
        <v>0</v>
      </c>
      <c r="AC21" s="226"/>
      <c r="AD21" s="271">
        <f>AD38+AD55+AD76+AD97+AD142</f>
        <v>0</v>
      </c>
      <c r="AE21" s="226"/>
      <c r="AF21" s="271">
        <f>AF38+AF55+AF76+AF97+AF142</f>
        <v>1</v>
      </c>
      <c r="AG21" s="226"/>
      <c r="AH21" s="271">
        <f>AH38+AH55+AH76+AH97+AH142</f>
        <v>0</v>
      </c>
      <c r="AI21" s="226"/>
      <c r="AJ21" s="271">
        <f>AJ38+AJ55+AJ76+AJ97+AJ142</f>
        <v>0</v>
      </c>
      <c r="AK21" s="226"/>
      <c r="AL21" s="271">
        <f>AL38+AL55+AL76+AL97+AL142</f>
        <v>0</v>
      </c>
      <c r="AM21" s="348"/>
      <c r="AN21" s="330">
        <f>AN38+AN55+AN76+AN97+AN142</f>
        <v>1</v>
      </c>
      <c r="AO21" s="279"/>
      <c r="AP21" s="280"/>
      <c r="AQ21" s="226"/>
      <c r="AR21" s="271">
        <f>AR38+AR55+AR76+AR97+AR142</f>
        <v>1</v>
      </c>
      <c r="AS21" s="226"/>
      <c r="AT21" s="271">
        <f>AT38+AT55+AT76+AT97+AT142</f>
        <v>1</v>
      </c>
      <c r="AU21" s="226"/>
      <c r="AV21" s="271">
        <f>AV38+AV55+AV76+AV97+AV142</f>
        <v>0</v>
      </c>
      <c r="AW21" s="226"/>
      <c r="AX21" s="271">
        <f>AX38+AX55+AX76+AX97+AX142</f>
        <v>0</v>
      </c>
      <c r="AY21" s="226"/>
      <c r="AZ21" s="271">
        <f>AZ38+AZ55+AZ76+AZ97+AZ142</f>
        <v>1</v>
      </c>
      <c r="BA21" s="226"/>
      <c r="BB21" s="271">
        <f>BB38+BB55+BB76+BB97+BB142</f>
        <v>0</v>
      </c>
      <c r="BC21" s="226"/>
      <c r="BD21" s="271">
        <f>BD38+BD55+BD76+BD97+BD142</f>
        <v>0</v>
      </c>
      <c r="BE21" s="348"/>
      <c r="BF21" s="330">
        <f>BF38+BF55+BF76+BF97+BF142</f>
        <v>3</v>
      </c>
      <c r="BG21" s="279"/>
      <c r="BH21" s="334"/>
      <c r="BI21" s="226"/>
      <c r="BJ21" s="271">
        <f>BJ38+BJ55+BJ76+BJ97+BJ142</f>
        <v>0</v>
      </c>
      <c r="BK21" s="226"/>
      <c r="BL21" s="271">
        <f>BL38+BL55+BL76+BL97+BL142</f>
        <v>0</v>
      </c>
      <c r="BM21" s="226"/>
      <c r="BN21" s="271">
        <f>BN38+BN55+BN76+BN97+BN142</f>
        <v>0</v>
      </c>
      <c r="BO21" s="226"/>
      <c r="BP21" s="271">
        <f>BP38+BP55+BP76+BP97+BP142</f>
        <v>0</v>
      </c>
      <c r="BQ21" s="226"/>
      <c r="BR21" s="271">
        <f>BR38+BR55+BR76+BR97+BR142</f>
        <v>0</v>
      </c>
      <c r="BS21" s="226"/>
      <c r="BT21" s="271">
        <f>BT38+BT55+BT76+BT97+BT142</f>
        <v>0</v>
      </c>
      <c r="BU21" s="226"/>
      <c r="BV21" s="271">
        <f>BV38+BV55+BV76+BV97+BV142</f>
        <v>0</v>
      </c>
      <c r="BW21" s="349"/>
      <c r="BX21" s="330">
        <f>BX38+BX55+BX76+BX97+BX142</f>
        <v>0</v>
      </c>
      <c r="BY21" s="279"/>
      <c r="BZ21" s="334"/>
      <c r="CA21" s="226"/>
      <c r="CB21" s="271">
        <f>CB38+CB55+CB76+CB97+CB142</f>
        <v>0</v>
      </c>
      <c r="CC21" s="226"/>
      <c r="CD21" s="271">
        <f>CD38+CD55+CD76+CD97+CD142</f>
        <v>0</v>
      </c>
      <c r="CE21" s="226"/>
      <c r="CF21" s="271">
        <f>CF38+CF55+CF76+CF97+CF142</f>
        <v>0</v>
      </c>
      <c r="CG21" s="226"/>
      <c r="CH21" s="271">
        <f>CH38+CH55+CH76+CH97+CH142</f>
        <v>0</v>
      </c>
      <c r="CI21" s="226"/>
      <c r="CJ21" s="271">
        <f>CJ38+CJ55+CJ76+CJ97+CJ142</f>
        <v>0</v>
      </c>
      <c r="CK21" s="226"/>
      <c r="CL21" s="271">
        <f>CL38+CL55+CL76+CL97+CL142</f>
        <v>0</v>
      </c>
      <c r="CM21" s="226"/>
      <c r="CN21" s="271">
        <f>CN38+CN55+CN76+CN97+CN142</f>
        <v>0</v>
      </c>
      <c r="CO21" s="335"/>
      <c r="CP21" s="336"/>
      <c r="CQ21" s="231" t="str">
        <f t="shared" si="11"/>
        <v/>
      </c>
      <c r="CR21" s="232" t="str">
        <f>IFERROR(__xludf.DUMMYFUNCTION("IFERROR(SPARKLINE(CQ21,{""charttype"",""bar"";""color1"",IF(CQ21&gt;='Май'!green_percent,'Май'!green,IF(CQ21&gt;='Май'!yellow_percent,'Май'!yellow,IF(CQ21&gt;='Май'!orange_percent,'Май'!orange,'Май'!red)));""max"",1}))"),"")</f>
        <v/>
      </c>
      <c r="CS21" s="321"/>
      <c r="CT21" s="337"/>
      <c r="CU21" s="321"/>
      <c r="CV21" s="238"/>
      <c r="CW21" s="288"/>
      <c r="CX21" s="288"/>
      <c r="CY21" s="288"/>
      <c r="CZ21" s="288"/>
      <c r="DA21" s="288"/>
      <c r="DB21" s="288"/>
      <c r="DC21" s="288"/>
      <c r="DD21" s="288"/>
      <c r="DE21" s="288"/>
      <c r="DF21" s="288"/>
      <c r="DG21" s="289"/>
      <c r="DH21" s="310"/>
      <c r="DI21" s="338"/>
      <c r="DJ21" s="339"/>
      <c r="DK21" s="292"/>
      <c r="DL21" s="293"/>
    </row>
    <row r="22">
      <c r="A22" s="350"/>
      <c r="B22" s="1624" t="s">
        <v>89</v>
      </c>
      <c r="C22" s="814"/>
      <c r="D22" s="814"/>
      <c r="E22" s="815"/>
      <c r="F22" s="1625">
        <f t="shared" ref="F22:G22" si="44">F35+F52+F73+F94+F113</f>
        <v>2000000</v>
      </c>
      <c r="G22" s="1625">
        <f t="shared" si="44"/>
        <v>2100700</v>
      </c>
      <c r="H22" s="1626">
        <f t="shared" ref="H22:H37" si="46">IFERROR(G22/F22,"")</f>
        <v>1.05035</v>
      </c>
      <c r="I22" s="322" t="str">
        <f>IFERROR(__xludf.DUMMYFUNCTION("IFERROR(SPARKLINE(H22,{""charttype"",""bar"";""color1"",IF(H22&gt;='Май'!green_percent,'Май'!green,IF(H22&gt;='Май'!yellow_percent,'Май'!yellow,IF(H22&gt;='Май'!orange_percent,'Май'!orange,'Май'!red)));""max"",1}))"),"")</f>
        <v/>
      </c>
      <c r="J22" s="357"/>
      <c r="K22" s="245"/>
      <c r="L22" s="245"/>
      <c r="M22" s="245"/>
      <c r="N22" s="312"/>
      <c r="O22" s="358">
        <f>F22/31</f>
        <v>64516.12903</v>
      </c>
      <c r="P22" s="354">
        <f>P35+P39+P52+P56+P73+P77+P94+P98+P113</f>
        <v>0</v>
      </c>
      <c r="Q22" s="358">
        <v>64516.12903225807</v>
      </c>
      <c r="R22" s="354">
        <f>R35+R39+R52+R56+R73+R77+R94+R98+R113</f>
        <v>0</v>
      </c>
      <c r="S22" s="358">
        <v>64516.12903225807</v>
      </c>
      <c r="T22" s="354">
        <f>T35+T39+T52+T56+T73+T77+T94+T98+T113</f>
        <v>0</v>
      </c>
      <c r="U22" s="360">
        <f>O22+Q22+S22</f>
        <v>193548.3871</v>
      </c>
      <c r="V22" s="354">
        <f>V35+V39+V52+V56+V73+V77+V94+V98+V113</f>
        <v>0</v>
      </c>
      <c r="W22" s="361"/>
      <c r="X22" s="356"/>
      <c r="Y22" s="358">
        <v>64516.12903225807</v>
      </c>
      <c r="Z22" s="354">
        <f>Z35+Z39+Z52+Z56+Z73+Z77+Z94+Z98+Z113</f>
        <v>2090000</v>
      </c>
      <c r="AA22" s="358">
        <v>64516.12903225807</v>
      </c>
      <c r="AB22" s="354">
        <f>AB35+AB39+AB52+AB56+AB73+AB77+AB94+AB98+AB113</f>
        <v>0</v>
      </c>
      <c r="AC22" s="358">
        <v>64516.12903225807</v>
      </c>
      <c r="AD22" s="354">
        <f>AD35+AD39+AD52+AD56+AD73+AD77+AD94+AD98+AD113</f>
        <v>0</v>
      </c>
      <c r="AE22" s="358">
        <v>64516.12903225807</v>
      </c>
      <c r="AF22" s="354">
        <f>AF35+AF39+AF52+AF56+AF73+AF77+AF94+AF98+AF113</f>
        <v>2410000</v>
      </c>
      <c r="AG22" s="358">
        <v>64516.12903225807</v>
      </c>
      <c r="AH22" s="354">
        <f>AH35+AH39+AH52+AH56+AH73+AH77+AH94+AH98+AH113</f>
        <v>0</v>
      </c>
      <c r="AI22" s="358">
        <v>64516.12903225807</v>
      </c>
      <c r="AJ22" s="354">
        <f>AJ35+AJ39+AJ52+AJ56+AJ73+AJ77+AJ94+AJ98+AJ113</f>
        <v>0</v>
      </c>
      <c r="AK22" s="358">
        <v>64516.12903225807</v>
      </c>
      <c r="AL22" s="363">
        <f>AL35+AL39+AL52+AL56+AL73+AL77+AL94+AL98+AL113</f>
        <v>0</v>
      </c>
      <c r="AM22" s="360">
        <f>Y22+AA22+AC22+AE22+AG22+AI22+AK22</f>
        <v>451612.9032</v>
      </c>
      <c r="AN22" s="354">
        <f>AN35+AN52+AN73+AN94+AN113</f>
        <v>2090000</v>
      </c>
      <c r="AO22" s="364"/>
      <c r="AP22" s="365"/>
      <c r="AQ22" s="358">
        <v>64516.12903225807</v>
      </c>
      <c r="AR22" s="354">
        <f>AR35+AR39+AR52+AR56+AR73+AR77+AR94+AR98+AR113</f>
        <v>0</v>
      </c>
      <c r="AS22" s="358">
        <v>64516.12903225807</v>
      </c>
      <c r="AT22" s="354">
        <f>AT35+AT39+AT52+AT56+AT73+AT77+AT94+AT98+AT113</f>
        <v>0</v>
      </c>
      <c r="AU22" s="358">
        <v>64516.12903225807</v>
      </c>
      <c r="AV22" s="354">
        <f>AV35+AV39+AV52+AV56+AV73+AV77+AV94+AV98+AV113</f>
        <v>0</v>
      </c>
      <c r="AW22" s="358">
        <v>64516.12903225807</v>
      </c>
      <c r="AX22" s="354">
        <f>AX35+AX39+AX52+AX56+AX73+AX77+AX94+AX98+AX113</f>
        <v>0</v>
      </c>
      <c r="AY22" s="358">
        <v>64516.12903225807</v>
      </c>
      <c r="AZ22" s="354">
        <f>AZ35+AZ39+AZ52+AZ56+AZ73+AZ77+AZ94+AZ98+AZ113</f>
        <v>210000</v>
      </c>
      <c r="BA22" s="358">
        <v>64516.12903225807</v>
      </c>
      <c r="BB22" s="354">
        <f>BB35+BB39+BB52+BB56+BB73+BB77+BB94+BB98+BB113</f>
        <v>0</v>
      </c>
      <c r="BC22" s="358">
        <v>64516.12903225807</v>
      </c>
      <c r="BD22" s="354">
        <f>BD35+BD39+BD52+BD56+BD73+BD77+BD94+BD98+BD113</f>
        <v>0</v>
      </c>
      <c r="BE22" s="360">
        <f>AQ22+AS22+AU22+AW22+AY22+BA22+BC22</f>
        <v>451612.9032</v>
      </c>
      <c r="BF22" s="354">
        <f>BF35+BF39+BF52+BF56+BF73+BF77+BF94+BF98+BF113</f>
        <v>210000</v>
      </c>
      <c r="BG22" s="364"/>
      <c r="BH22" s="366"/>
      <c r="BI22" s="358">
        <v>64516.12903225807</v>
      </c>
      <c r="BJ22" s="354">
        <f>BJ35+BJ39+BJ52+BJ56+BJ73+BJ77+BJ94+BJ98+BJ113</f>
        <v>0</v>
      </c>
      <c r="BK22" s="358">
        <v>64516.12903225807</v>
      </c>
      <c r="BL22" s="354">
        <f>BL35+BL39+BL52+BL56+BL73+BL77+BL94+BL98+BL113</f>
        <v>0</v>
      </c>
      <c r="BM22" s="358">
        <v>64516.12903225807</v>
      </c>
      <c r="BN22" s="354">
        <f>BN35+BN39+BN52+BN56+BN73+BN77+BN94+BN98+BN113</f>
        <v>0</v>
      </c>
      <c r="BO22" s="358">
        <v>64516.12903225807</v>
      </c>
      <c r="BP22" s="354">
        <f>BP35+BP39+BP52+BP56+BP73+BP77+BP94+BP98+BP113</f>
        <v>0</v>
      </c>
      <c r="BQ22" s="358">
        <v>64516.12903225807</v>
      </c>
      <c r="BR22" s="354">
        <f>BR35+BR39+BR52+BR56+BR73+BR77+BR94+BR98+BR113</f>
        <v>0</v>
      </c>
      <c r="BS22" s="358">
        <v>64516.12903225807</v>
      </c>
      <c r="BT22" s="354">
        <f>BT35+BT39+BT52+BT56+BT73+BT77+BT94+BT98+BT113</f>
        <v>0</v>
      </c>
      <c r="BU22" s="358">
        <v>64516.12903225807</v>
      </c>
      <c r="BV22" s="354">
        <f>BV35+BV39+BV52+BV56+BV73+BV77+BV94+BV98+BV113</f>
        <v>0</v>
      </c>
      <c r="BW22" s="360">
        <f>BI22+BK22+BM22+BO22+BQ22+BS22+BU22</f>
        <v>451612.9032</v>
      </c>
      <c r="BX22" s="354">
        <f>BX35+BX39+BX52+BX56+BX73+BX77+BX94+BX98+BX113</f>
        <v>0</v>
      </c>
      <c r="BY22" s="364"/>
      <c r="BZ22" s="366"/>
      <c r="CA22" s="358">
        <v>64516.12903225807</v>
      </c>
      <c r="CB22" s="354">
        <f>CB35+CB39+CB52+CB56+CB73+CB77+CB94+CB98+CB113</f>
        <v>0</v>
      </c>
      <c r="CC22" s="358">
        <v>64516.12903225807</v>
      </c>
      <c r="CD22" s="354">
        <f>CD35+CD39+CD52+CD56+CD73+CD77+CD94+CD98+CD113</f>
        <v>0</v>
      </c>
      <c r="CE22" s="358">
        <v>64516.12903225807</v>
      </c>
      <c r="CF22" s="354">
        <f>CF35+CF39+CF52+CF56+CF73+CF77+CF94+CF98+CF113</f>
        <v>0</v>
      </c>
      <c r="CG22" s="358">
        <v>64516.12903225807</v>
      </c>
      <c r="CH22" s="354">
        <f>CH35+CH39+CH52+CH56+CH73+CH77+CH94+CH98+CH113</f>
        <v>10700</v>
      </c>
      <c r="CI22" s="358">
        <v>64516.12903225807</v>
      </c>
      <c r="CJ22" s="354">
        <f>CJ35+CJ39+CJ52+CJ56+CJ73+CJ77+CJ94+CJ98+CJ113</f>
        <v>0</v>
      </c>
      <c r="CK22" s="358">
        <v>64516.12903225807</v>
      </c>
      <c r="CL22" s="354">
        <f>CL35+CL39+CL52+CL56+CL73+CL77+CL94+CL98+CL113</f>
        <v>0</v>
      </c>
      <c r="CM22" s="358">
        <v>64516.12903225807</v>
      </c>
      <c r="CN22" s="354">
        <f>CN35+CN39+CN52+CN56+CN73+CN77+CN94+CN98+CN113</f>
        <v>0</v>
      </c>
      <c r="CO22" s="369">
        <f>CA22+CC22+CE22+CG22+CI22+CK22+CM22</f>
        <v>451612.9032</v>
      </c>
      <c r="CP22" s="354">
        <f>CP35+CP39+CP52+CP56+CP73+CP77+CP94+CP98+CP113</f>
        <v>10700</v>
      </c>
      <c r="CQ22" s="370">
        <f t="shared" si="11"/>
        <v>0.02369285714</v>
      </c>
      <c r="CR22" s="371" t="str">
        <f>IFERROR(__xludf.DUMMYFUNCTION("IFERROR(SPARKLINE(CQ22,{""charttype"",""bar"";""color1"",IF(CQ22&gt;='Май'!green_percent,'Май'!green,IF(CQ22&gt;='Май'!yellow_percent,'Май'!yellow,IF(CQ22&gt;='Май'!orange_percent,'Май'!orange,'Май'!red)));""max"",1}))"),"")</f>
        <v/>
      </c>
      <c r="CS22" s="321"/>
      <c r="CT22" s="345"/>
      <c r="CU22" s="321"/>
      <c r="CV22" s="346"/>
      <c r="CW22" s="262"/>
      <c r="CX22" s="262"/>
      <c r="CY22" s="262"/>
      <c r="CZ22" s="262"/>
      <c r="DA22" s="262"/>
      <c r="DB22" s="262"/>
      <c r="DC22" s="262"/>
      <c r="DD22" s="262"/>
      <c r="DE22" s="262"/>
      <c r="DF22" s="262"/>
      <c r="DG22" s="326"/>
      <c r="DH22" s="327"/>
      <c r="DI22" s="328"/>
      <c r="DJ22" s="329"/>
      <c r="DK22" s="301"/>
      <c r="DL22" s="302"/>
    </row>
    <row r="23">
      <c r="A23" s="1627" t="s">
        <v>30</v>
      </c>
      <c r="B23" s="1628" t="s">
        <v>20</v>
      </c>
      <c r="C23" s="879"/>
      <c r="D23" s="879"/>
      <c r="E23" s="880"/>
      <c r="F23" s="881">
        <f t="shared" ref="F23:G23" si="45">F24/F35</f>
        <v>0.25</v>
      </c>
      <c r="G23" s="881">
        <f t="shared" si="45"/>
        <v>0.009261100478</v>
      </c>
      <c r="H23" s="894">
        <f t="shared" si="46"/>
        <v>0.03704440191</v>
      </c>
      <c r="I23" s="895" t="str">
        <f>IFERROR(__xludf.DUMMYFUNCTION("IFERROR(SPARKLINE(H23,{""charttype"",""bar"";""color1"",IF(H23&gt;='Май'!green_percent,'Май'!green,IF(H23&gt;='Май'!yellow_percent,'Май'!yellow,IF(H23&gt;='Май'!orange_percent,'Май'!orange,'Май'!red)));""max"",1}))"),"")</f>
        <v/>
      </c>
      <c r="J23" s="378"/>
      <c r="K23" s="379"/>
      <c r="L23" s="380"/>
      <c r="M23" s="381"/>
      <c r="N23" s="382"/>
      <c r="O23" s="381">
        <v>0.25</v>
      </c>
      <c r="P23" s="383" t="str">
        <f>P24/P35</f>
        <v>#DIV/0!</v>
      </c>
      <c r="Q23" s="381">
        <v>0.25</v>
      </c>
      <c r="R23" s="383" t="str">
        <f>R24/R35</f>
        <v>#DIV/0!</v>
      </c>
      <c r="S23" s="381">
        <v>0.25</v>
      </c>
      <c r="T23" s="384" t="str">
        <f t="shared" ref="T23:U23" si="47">T24/T35</f>
        <v>#DIV/0!</v>
      </c>
      <c r="U23" s="381">
        <f t="shared" si="47"/>
        <v>0.241935</v>
      </c>
      <c r="V23" s="385" t="str">
        <f>L23+N23+#REF!+#REF!+P23+R23+T23</f>
        <v>#REF!</v>
      </c>
      <c r="W23" s="376" t="str">
        <f t="shared" ref="W23:W37" si="49">IFERROR(V23/U23,"")</f>
        <v/>
      </c>
      <c r="X23" s="386" t="str">
        <f>IFERROR(__xludf.DUMMYFUNCTION("IFERROR(SPARKLINE(W23,{""charttype"",""bar"";""color1"",IF(W23&gt;='Май'!green_percent,'Май'!green,IF(W23&gt;='Май'!yellow_percent,'Май'!yellow,IF(W23&gt;='Май'!orange_percent,'Май'!orange,'Май'!red)));""max"",1}))"),"")</f>
        <v/>
      </c>
      <c r="Y23" s="387">
        <v>0.25</v>
      </c>
      <c r="Z23" s="388"/>
      <c r="AA23" s="387">
        <v>0.25</v>
      </c>
      <c r="AB23" s="388"/>
      <c r="AC23" s="387">
        <v>0.25</v>
      </c>
      <c r="AD23" s="388"/>
      <c r="AE23" s="387">
        <v>0.25</v>
      </c>
      <c r="AF23" s="388"/>
      <c r="AG23" s="387">
        <v>0.25</v>
      </c>
      <c r="AH23" s="388"/>
      <c r="AI23" s="387">
        <v>0.25</v>
      </c>
      <c r="AJ23" s="388"/>
      <c r="AK23" s="387">
        <v>0.25</v>
      </c>
      <c r="AL23" s="388"/>
      <c r="AM23" s="389">
        <f>AM24/AM35</f>
        <v>0.25</v>
      </c>
      <c r="AN23" s="385">
        <f>Z23+AB23+AD23+AF23+AH23+AJ23+AL23</f>
        <v>0</v>
      </c>
      <c r="AO23" s="390">
        <f t="shared" ref="AO23:AO37" si="51">IFERROR(AN23/AM23,"")</f>
        <v>0</v>
      </c>
      <c r="AP23" s="391" t="str">
        <f>IFERROR(__xludf.DUMMYFUNCTION("IFERROR(SPARKLINE(AO23,{""charttype"",""bar"";""color1"",IF(AO23&gt;='Май'!green_percent,'Май'!green,IF(AO23&gt;='Май'!yellow_percent,'Май'!yellow,IF(AO23&gt;='Май'!orange_percent,'Май'!orange,'Май'!red)));""max"",1}))"),"")</f>
        <v/>
      </c>
      <c r="AQ23" s="387">
        <v>0.25</v>
      </c>
      <c r="AR23" s="392"/>
      <c r="AS23" s="381">
        <v>0.25</v>
      </c>
      <c r="AT23" s="392"/>
      <c r="AU23" s="381">
        <v>0.25</v>
      </c>
      <c r="AV23" s="392"/>
      <c r="AW23" s="381">
        <v>0.25</v>
      </c>
      <c r="AX23" s="392"/>
      <c r="AY23" s="381">
        <v>0.25</v>
      </c>
      <c r="AZ23" s="392"/>
      <c r="BA23" s="381">
        <v>0.25</v>
      </c>
      <c r="BB23" s="392"/>
      <c r="BC23" s="381">
        <v>0.25</v>
      </c>
      <c r="BD23" s="392"/>
      <c r="BE23" s="389">
        <v>0.25</v>
      </c>
      <c r="BF23" s="385">
        <f t="shared" ref="BF23:BF24" si="52">AR23+AT23+AV23+AX23+AZ23+BB23+BD23</f>
        <v>0</v>
      </c>
      <c r="BG23" s="376">
        <f t="shared" ref="BG23:BG37" si="53">IFERROR(BF23/BE23,"")</f>
        <v>0</v>
      </c>
      <c r="BH23" s="377" t="str">
        <f>IFERROR(__xludf.DUMMYFUNCTION("IFERROR(SPARKLINE(BG23,{""charttype"",""bar"";""color1"",IF(BG23&gt;='Май'!green_percent,'Май'!green,IF(BG23&gt;='Май'!yellow_percent,'Май'!yellow,IF(BG23&gt;='Май'!orange_percent,'Май'!orange,'Май'!red)));""max"",1}))"),"")</f>
        <v/>
      </c>
      <c r="BI23" s="387">
        <v>0.25</v>
      </c>
      <c r="BJ23" s="393"/>
      <c r="BK23" s="387">
        <v>0.25</v>
      </c>
      <c r="BL23" s="393"/>
      <c r="BM23" s="387">
        <v>0.25</v>
      </c>
      <c r="BN23" s="393"/>
      <c r="BO23" s="387">
        <v>0.25</v>
      </c>
      <c r="BP23" s="393"/>
      <c r="BQ23" s="387">
        <v>0.25</v>
      </c>
      <c r="BR23" s="393"/>
      <c r="BS23" s="387">
        <v>0.25</v>
      </c>
      <c r="BT23" s="393"/>
      <c r="BU23" s="387">
        <v>0.25</v>
      </c>
      <c r="BV23" s="393"/>
      <c r="BW23" s="389">
        <v>0.25</v>
      </c>
      <c r="BX23" s="385">
        <f t="shared" ref="BX23:BX26" si="54">BJ23+BL23+BN23+BP23+BR23+BT23+BV23</f>
        <v>0</v>
      </c>
      <c r="BY23" s="376">
        <f t="shared" ref="BY23:BY37" si="55">IFERROR(BX23/BW23,"")</f>
        <v>0</v>
      </c>
      <c r="BZ23" s="377" t="str">
        <f>IFERROR(__xludf.DUMMYFUNCTION("IFERROR(SPARKLINE(BY23,{""charttype"",""bar"";""color1"",IF(BY23&gt;='Май'!green_percent,'Май'!green,IF(BY23&gt;='Май'!yellow_percent,'Май'!yellow,IF(BY23&gt;='Май'!orange_percent,'Май'!orange,'Май'!red)));""max"",1}))"),"")</f>
        <v/>
      </c>
      <c r="CA23" s="387">
        <v>0.25</v>
      </c>
      <c r="CB23" s="394"/>
      <c r="CC23" s="387">
        <v>0.25</v>
      </c>
      <c r="CD23" s="394"/>
      <c r="CE23" s="387">
        <v>0.25</v>
      </c>
      <c r="CF23" s="394"/>
      <c r="CG23" s="387">
        <v>0.25</v>
      </c>
      <c r="CH23" s="394"/>
      <c r="CI23" s="387">
        <v>0.25</v>
      </c>
      <c r="CJ23" s="394"/>
      <c r="CK23" s="387">
        <v>0.25</v>
      </c>
      <c r="CL23" s="394"/>
      <c r="CM23" s="387">
        <v>0.25</v>
      </c>
      <c r="CN23" s="394"/>
      <c r="CO23" s="234">
        <f>CO24/CO35</f>
        <v>0.249996875</v>
      </c>
      <c r="CP23" s="396">
        <f t="shared" ref="CP23:CP24" si="56">CB23+CD23+CF23+CH23+CJ23+CL23+CN23</f>
        <v>0</v>
      </c>
      <c r="CQ23" s="397">
        <f t="shared" si="11"/>
        <v>0</v>
      </c>
      <c r="CR23" s="398" t="str">
        <f>IFERROR(__xludf.DUMMYFUNCTION("IFERROR(SPARKLINE(CQ23,{""charttype"",""bar"";""color1"",IF(CQ23&gt;='Май'!green_percent,'Май'!green,IF(CQ23&gt;='Май'!yellow_percent,'Май'!yellow,IF(CQ23&gt;='Май'!orange_percent,'Май'!orange,'Май'!red)));""max"",1}))"),"")</f>
        <v/>
      </c>
      <c r="CS23" s="399"/>
      <c r="CT23" s="400"/>
      <c r="CU23" s="401"/>
      <c r="CV23" s="402"/>
      <c r="CW23" s="403"/>
      <c r="CX23" s="402"/>
      <c r="CY23" s="403"/>
      <c r="CZ23" s="402"/>
      <c r="DA23" s="403"/>
      <c r="DB23" s="402"/>
      <c r="DC23" s="403"/>
      <c r="DD23" s="402"/>
      <c r="DE23" s="403"/>
      <c r="DF23" s="402"/>
      <c r="DG23" s="404">
        <f>DE23+DC23+DA23+CY23+CW23+CU23+CS23</f>
        <v>0</v>
      </c>
      <c r="DH23" s="405">
        <f>CT23+CV23+CX23+CZ23+DB23+DD23+DF23</f>
        <v>0</v>
      </c>
      <c r="DI23" s="406" t="str">
        <f>IFERROR(DH23/DG23,"")</f>
        <v/>
      </c>
      <c r="DJ23" s="407" t="str">
        <f>IFERROR(__xludf.DUMMYFUNCTION("IFERROR(SPARKLINE(DI23,{""charttype"",""bar"";""color1"",IF(DI23&gt;='Май'!green_percent,'Май'!green,IF(DI23&gt;='Май'!yellow_percent,'Май'!yellow,IF(DI23&gt;='Май'!orange_percent,'Май'!orange,'Май'!red)));""max"",1}))"),"")</f>
        <v/>
      </c>
      <c r="DK23" s="408"/>
      <c r="DL23" s="409"/>
    </row>
    <row r="24">
      <c r="A24" s="240"/>
      <c r="B24" s="410" t="s">
        <v>31</v>
      </c>
      <c r="C24" s="242"/>
      <c r="D24" s="242"/>
      <c r="E24" s="243"/>
      <c r="F24" s="411">
        <v>50000.0</v>
      </c>
      <c r="G24" s="411">
        <f t="shared" ref="G24:G26" si="57">V24+AN24+BF24+BX24+CP24</f>
        <v>19355.7</v>
      </c>
      <c r="H24" s="412">
        <f t="shared" si="46"/>
        <v>0.387114</v>
      </c>
      <c r="I24" s="413" t="str">
        <f>IFERROR(__xludf.DUMMYFUNCTION("IFERROR(SPARKLINE(H24,{""charttype"",""bar"";""color1"",IF(H24&gt;='Май'!green_percent,'Май'!green,IF(H24&gt;='Май'!yellow_percent,'Май'!yellow,IF(H24&gt;='Май'!orange_percent,'Май'!orange,'Май'!red)));""max"",1}))"),"")</f>
        <v/>
      </c>
      <c r="J24" s="414"/>
      <c r="K24" s="415"/>
      <c r="L24" s="416"/>
      <c r="M24" s="417"/>
      <c r="N24" s="418"/>
      <c r="O24" s="278">
        <v>1612.9</v>
      </c>
      <c r="P24" s="420">
        <v>1612.9</v>
      </c>
      <c r="Q24" s="278">
        <v>1612.9</v>
      </c>
      <c r="R24" s="420">
        <v>1612.9</v>
      </c>
      <c r="S24" s="1629">
        <v>1612.9</v>
      </c>
      <c r="T24" s="422">
        <v>1612.9</v>
      </c>
      <c r="U24" s="423">
        <f t="shared" ref="U24:V24" si="48">O24+Q24+S24</f>
        <v>4838.7</v>
      </c>
      <c r="V24" s="411">
        <f t="shared" si="48"/>
        <v>4838.7</v>
      </c>
      <c r="W24" s="412">
        <f t="shared" si="49"/>
        <v>1</v>
      </c>
      <c r="X24" s="424" t="str">
        <f>IFERROR(__xludf.DUMMYFUNCTION("IFERROR(SPARKLINE(W24,{""charttype"",""bar"";""color1"",IF(W24&gt;='Май'!green_percent,'Май'!green,IF(W24&gt;='Май'!yellow_percent,'Май'!yellow,IF(W24&gt;='Май'!orange_percent,'Май'!orange,'Май'!red)));""max"",1}))"),"")</f>
        <v/>
      </c>
      <c r="Y24" s="425">
        <v>1666.6666666666667</v>
      </c>
      <c r="Z24" s="1630">
        <v>1613.0</v>
      </c>
      <c r="AA24" s="425">
        <v>1666.6666666666667</v>
      </c>
      <c r="AB24" s="420">
        <v>1613.0</v>
      </c>
      <c r="AC24" s="425">
        <v>1666.6666666666667</v>
      </c>
      <c r="AD24" s="420">
        <v>1613.0</v>
      </c>
      <c r="AE24" s="425">
        <v>1666.6666666666667</v>
      </c>
      <c r="AF24" s="420">
        <v>1613.0</v>
      </c>
      <c r="AG24" s="425">
        <v>1666.6666666666667</v>
      </c>
      <c r="AH24" s="420">
        <v>1613.0</v>
      </c>
      <c r="AI24" s="425">
        <v>1666.6666666666667</v>
      </c>
      <c r="AJ24" s="420">
        <v>1613.0</v>
      </c>
      <c r="AK24" s="425">
        <v>1666.6666666666667</v>
      </c>
      <c r="AL24" s="420">
        <v>1613.0</v>
      </c>
      <c r="AM24" s="423">
        <f t="shared" ref="AM24:AN24" si="50">AK24+AI24+AG24+AE24+AC24+AA24+Y24</f>
        <v>11666.66667</v>
      </c>
      <c r="AN24" s="423">
        <f t="shared" si="50"/>
        <v>11291</v>
      </c>
      <c r="AO24" s="253">
        <f t="shared" si="51"/>
        <v>0.9678</v>
      </c>
      <c r="AP24" s="427" t="str">
        <f>IFERROR(__xludf.DUMMYFUNCTION("IFERROR(SPARKLINE(AO24,{""charttype"",""bar"";""color1"",IF(AO24&gt;='Май'!green_percent,'Май'!green,IF(AO24&gt;='Май'!yellow_percent,'Май'!yellow,IF(AO24&gt;='Май'!orange_percent,'Май'!orange,'Май'!red)));""max"",1}))"),"")</f>
        <v/>
      </c>
      <c r="AQ24" s="425">
        <v>1666.6666666666667</v>
      </c>
      <c r="AR24" s="420">
        <v>1613.0</v>
      </c>
      <c r="AS24" s="425">
        <v>1666.6666666666667</v>
      </c>
      <c r="AT24" s="1630">
        <v>1613.0</v>
      </c>
      <c r="AU24" s="425">
        <v>1666.6666666666667</v>
      </c>
      <c r="AV24" s="420">
        <v>0.0</v>
      </c>
      <c r="AW24" s="425">
        <v>1666.6666666666667</v>
      </c>
      <c r="AX24" s="420">
        <v>0.0</v>
      </c>
      <c r="AY24" s="425">
        <v>1666.6666666666667</v>
      </c>
      <c r="AZ24" s="420">
        <v>0.0</v>
      </c>
      <c r="BA24" s="425">
        <v>1666.6666666666667</v>
      </c>
      <c r="BB24" s="420">
        <v>0.0</v>
      </c>
      <c r="BC24" s="425">
        <v>1666.6666666666667</v>
      </c>
      <c r="BD24" s="420">
        <v>0.0</v>
      </c>
      <c r="BE24" s="423">
        <v>11666.666666666666</v>
      </c>
      <c r="BF24" s="428">
        <f t="shared" si="52"/>
        <v>3226</v>
      </c>
      <c r="BG24" s="429">
        <f t="shared" si="53"/>
        <v>0.2765142857</v>
      </c>
      <c r="BH24" s="430" t="str">
        <f>IFERROR(__xludf.DUMMYFUNCTION("IFERROR(SPARKLINE(BG24,{""charttype"",""bar"";""color1"",IF(BG24&gt;='Май'!green_percent,'Май'!green,IF(BG24&gt;='Май'!yellow_percent,'Май'!yellow,IF(BG24&gt;='Май'!orange_percent,'Май'!orange,'Май'!red)));""max"",1}))"),"")</f>
        <v/>
      </c>
      <c r="BI24" s="425">
        <v>1666.6666666666667</v>
      </c>
      <c r="BJ24" s="744">
        <v>0.0</v>
      </c>
      <c r="BK24" s="425">
        <v>1666.6666666666667</v>
      </c>
      <c r="BL24" s="744">
        <v>0.0</v>
      </c>
      <c r="BM24" s="425">
        <v>1666.6666666666667</v>
      </c>
      <c r="BN24" s="744">
        <v>0.0</v>
      </c>
      <c r="BO24" s="425">
        <v>1666.6666666666667</v>
      </c>
      <c r="BP24" s="744">
        <v>0.0</v>
      </c>
      <c r="BQ24" s="425">
        <v>1666.6666666666667</v>
      </c>
      <c r="BR24" s="744">
        <v>0.0</v>
      </c>
      <c r="BS24" s="432">
        <v>1666.6666666666667</v>
      </c>
      <c r="BT24" s="744">
        <v>0.0</v>
      </c>
      <c r="BU24" s="432">
        <v>1666.6666666666667</v>
      </c>
      <c r="BV24" s="744">
        <v>0.0</v>
      </c>
      <c r="BW24" s="423">
        <v>11666.666666666666</v>
      </c>
      <c r="BX24" s="428">
        <f t="shared" si="54"/>
        <v>0</v>
      </c>
      <c r="BY24" s="429">
        <f t="shared" si="55"/>
        <v>0</v>
      </c>
      <c r="BZ24" s="430" t="str">
        <f>IFERROR(__xludf.DUMMYFUNCTION("IFERROR(SPARKLINE(BY24,{""charttype"",""bar"";""color1"",IF(BY24&gt;='Май'!green_percent,'Май'!green,IF(BY24&gt;='Май'!yellow_percent,'Май'!yellow,IF(BY24&gt;='Май'!orange_percent,'Май'!orange,'Май'!red)));""max"",1}))"),"")</f>
        <v/>
      </c>
      <c r="CA24" s="425">
        <v>1666.6666666666667</v>
      </c>
      <c r="CB24" s="739">
        <v>0.0</v>
      </c>
      <c r="CC24" s="425">
        <v>1666.6666666666667</v>
      </c>
      <c r="CD24" s="739">
        <v>0.0</v>
      </c>
      <c r="CE24" s="425">
        <v>1666.6666666666667</v>
      </c>
      <c r="CF24" s="739">
        <v>0.0</v>
      </c>
      <c r="CG24" s="425">
        <v>1666.6666666666667</v>
      </c>
      <c r="CH24" s="739">
        <v>0.0</v>
      </c>
      <c r="CI24" s="425">
        <v>1666.6666666666667</v>
      </c>
      <c r="CJ24" s="739">
        <v>0.0</v>
      </c>
      <c r="CK24" s="425">
        <v>1666.6666666666667</v>
      </c>
      <c r="CL24" s="739">
        <v>0.0</v>
      </c>
      <c r="CM24" s="425">
        <v>1666.6666666666667</v>
      </c>
      <c r="CN24" s="739">
        <v>0.0</v>
      </c>
      <c r="CO24" s="436">
        <f>CA24+CC24+CE24+CG24</f>
        <v>6666.666667</v>
      </c>
      <c r="CP24" s="437">
        <f t="shared" si="56"/>
        <v>0</v>
      </c>
      <c r="CQ24" s="207">
        <f t="shared" si="11"/>
        <v>0</v>
      </c>
      <c r="CR24" s="208" t="str">
        <f>IFERROR(__xludf.DUMMYFUNCTION("IFERROR(SPARKLINE(CQ24,{""charttype"",""bar"";""color1"",IF(CQ24&gt;='Май'!green_percent,'Май'!green,IF(CQ24&gt;='Май'!yellow_percent,'Май'!yellow,IF(CQ24&gt;='Май'!orange_percent,'Май'!orange,'Май'!red)));""max"",1}))"),"")</f>
        <v/>
      </c>
      <c r="CS24" s="399"/>
      <c r="CT24" s="438"/>
      <c r="CU24" s="439"/>
      <c r="CV24" s="440"/>
      <c r="CW24" s="441"/>
      <c r="CX24" s="440"/>
      <c r="CY24" s="441"/>
      <c r="CZ24" s="440"/>
      <c r="DA24" s="441"/>
      <c r="DB24" s="440"/>
      <c r="DC24" s="441"/>
      <c r="DD24" s="440"/>
      <c r="DE24" s="441"/>
      <c r="DF24" s="440"/>
      <c r="DG24" s="442"/>
      <c r="DH24" s="443"/>
      <c r="DI24" s="444"/>
      <c r="DJ24" s="445"/>
      <c r="DK24" s="446"/>
      <c r="DL24" s="447"/>
    </row>
    <row r="25">
      <c r="A25" s="215"/>
      <c r="B25" s="269" t="s">
        <v>32</v>
      </c>
      <c r="C25" s="217"/>
      <c r="D25" s="217"/>
      <c r="E25" s="218"/>
      <c r="F25" s="448">
        <v>2500.0</v>
      </c>
      <c r="G25" s="448">
        <f t="shared" si="57"/>
        <v>5308</v>
      </c>
      <c r="H25" s="220">
        <f t="shared" si="46"/>
        <v>2.1232</v>
      </c>
      <c r="I25" s="449" t="str">
        <f>IFERROR(__xludf.DUMMYFUNCTION("IFERROR(SPARKLINE(H25,{""charttype"",""bar"";""color1"",IF(H25&gt;='Май'!green_percent,'Май'!green,IF(H25&gt;='Май'!yellow_percent,'Май'!yellow,IF(H25&gt;='Май'!orange_percent,'Май'!orange,'Май'!red)));""max"",1}))"),"")</f>
        <v/>
      </c>
      <c r="J25" s="237"/>
      <c r="K25" s="450"/>
      <c r="L25" s="451"/>
      <c r="M25" s="452"/>
      <c r="N25" s="453"/>
      <c r="O25" s="452">
        <f>F25/31</f>
        <v>80.64516129</v>
      </c>
      <c r="P25" s="451">
        <v>39.0</v>
      </c>
      <c r="Q25" s="452">
        <v>80.64516129032258</v>
      </c>
      <c r="R25" s="451">
        <v>62.0</v>
      </c>
      <c r="S25" s="452">
        <v>80.64516129032258</v>
      </c>
      <c r="T25" s="455">
        <v>94.0</v>
      </c>
      <c r="U25" s="456">
        <f t="shared" ref="U25:V25" si="58">O25+Q25+S25</f>
        <v>241.9354839</v>
      </c>
      <c r="V25" s="1631">
        <f t="shared" si="58"/>
        <v>195</v>
      </c>
      <c r="W25" s="220">
        <f t="shared" si="49"/>
        <v>0.806</v>
      </c>
      <c r="X25" s="458" t="str">
        <f>IFERROR(__xludf.DUMMYFUNCTION("IFERROR(SPARKLINE(W25,{""charttype"",""bar"";""color1"",IF(W25&gt;='Май'!green_percent,'Май'!green,IF(W25&gt;='Май'!yellow_percent,'Май'!yellow,IF(W25&gt;='Май'!orange_percent,'Май'!orange,'Май'!red)));""max"",1}))"),"")</f>
        <v/>
      </c>
      <c r="Y25" s="452">
        <v>80.64516129032258</v>
      </c>
      <c r="Z25" s="459">
        <v>133.0</v>
      </c>
      <c r="AA25" s="1632">
        <v>81.0</v>
      </c>
      <c r="AB25" s="459">
        <v>116.0</v>
      </c>
      <c r="AC25" s="452">
        <v>80.64516129032258</v>
      </c>
      <c r="AD25" s="459">
        <v>182.0</v>
      </c>
      <c r="AE25" s="452">
        <v>80.64516129032258</v>
      </c>
      <c r="AF25" s="459">
        <v>303.0</v>
      </c>
      <c r="AG25" s="452">
        <v>80.64516129032258</v>
      </c>
      <c r="AH25" s="459">
        <v>507.0</v>
      </c>
      <c r="AI25" s="452">
        <v>80.64516129032258</v>
      </c>
      <c r="AJ25" s="459">
        <v>450.0</v>
      </c>
      <c r="AK25" s="452">
        <v>80.64516129032258</v>
      </c>
      <c r="AL25" s="459">
        <v>425.0</v>
      </c>
      <c r="AM25" s="460">
        <f t="shared" ref="AM25:AN25" si="59">Y25+AA25+AC25+AE25+AG25+AI25+AK25</f>
        <v>564.8709677</v>
      </c>
      <c r="AN25" s="461">
        <f t="shared" si="59"/>
        <v>2116</v>
      </c>
      <c r="AO25" s="279">
        <f t="shared" si="51"/>
        <v>3.745988236</v>
      </c>
      <c r="AP25" s="462" t="str">
        <f>IFERROR(__xludf.DUMMYFUNCTION("IFERROR(SPARKLINE(AO25,{""charttype"",""bar"";""color1"",IF(AO25&gt;='Май'!green_percent,'Май'!green,IF(AO25&gt;='Май'!yellow_percent,'Май'!yellow,IF(AO25&gt;='Май'!orange_percent,'Май'!orange,'Май'!red)));""max"",1}))"),"")</f>
        <v/>
      </c>
      <c r="AQ25" s="452">
        <v>80.64516129032258</v>
      </c>
      <c r="AR25" s="463">
        <v>248.0</v>
      </c>
      <c r="AS25" s="452">
        <v>80.64516129032258</v>
      </c>
      <c r="AT25" s="463">
        <v>224.0</v>
      </c>
      <c r="AU25" s="452">
        <v>80.64516129032258</v>
      </c>
      <c r="AV25" s="463">
        <v>117.0</v>
      </c>
      <c r="AW25" s="452">
        <v>80.64516129032258</v>
      </c>
      <c r="AX25" s="463">
        <v>123.0</v>
      </c>
      <c r="AY25" s="452">
        <v>80.64516129032258</v>
      </c>
      <c r="AZ25" s="463">
        <v>106.0</v>
      </c>
      <c r="BA25" s="452">
        <v>80.64516129032258</v>
      </c>
      <c r="BB25" s="463">
        <v>64.0</v>
      </c>
      <c r="BC25" s="452">
        <v>80.64516129032258</v>
      </c>
      <c r="BD25" s="463">
        <v>178.0</v>
      </c>
      <c r="BE25" s="460">
        <f t="shared" ref="BE25:BF25" si="60">AQ25+AS25+AU25+AW25+AY25+BA25+BC25</f>
        <v>564.516129</v>
      </c>
      <c r="BF25" s="464">
        <f t="shared" si="60"/>
        <v>1060</v>
      </c>
      <c r="BG25" s="376">
        <f t="shared" si="53"/>
        <v>1.877714286</v>
      </c>
      <c r="BH25" s="377" t="str">
        <f>IFERROR(__xludf.DUMMYFUNCTION("IFERROR(SPARKLINE(BG25,{""charttype"",""bar"";""color1"",IF(BG25&gt;='Май'!green_percent,'Май'!green,IF(BG25&gt;='Май'!yellow_percent,'Май'!yellow,IF(BG25&gt;='Май'!orange_percent,'Май'!orange,'Май'!red)));""max"",1}))"),"")</f>
        <v/>
      </c>
      <c r="BI25" s="452">
        <v>80.64516129032258</v>
      </c>
      <c r="BJ25" s="465">
        <v>220.0</v>
      </c>
      <c r="BK25" s="452">
        <v>80.64516129032258</v>
      </c>
      <c r="BL25" s="465">
        <v>198.0</v>
      </c>
      <c r="BM25" s="452">
        <v>80.64516129032258</v>
      </c>
      <c r="BN25" s="465">
        <v>219.0</v>
      </c>
      <c r="BO25" s="452">
        <v>80.64516129032258</v>
      </c>
      <c r="BP25" s="465">
        <v>161.0</v>
      </c>
      <c r="BQ25" s="452">
        <v>80.64516129032258</v>
      </c>
      <c r="BR25" s="465">
        <v>133.0</v>
      </c>
      <c r="BS25" s="452">
        <v>80.64516129032258</v>
      </c>
      <c r="BT25" s="465">
        <v>76.0</v>
      </c>
      <c r="BU25" s="452">
        <v>80.64516129032258</v>
      </c>
      <c r="BV25" s="465">
        <v>55.0</v>
      </c>
      <c r="BW25" s="460">
        <v>564.516129032258</v>
      </c>
      <c r="BX25" s="464">
        <f t="shared" si="54"/>
        <v>1062</v>
      </c>
      <c r="BY25" s="376">
        <f t="shared" si="55"/>
        <v>1.881257143</v>
      </c>
      <c r="BZ25" s="377" t="str">
        <f>IFERROR(__xludf.DUMMYFUNCTION("IFERROR(SPARKLINE(BY25,{""charttype"",""bar"";""color1"",IF(BY25&gt;='Май'!green_percent,'Май'!green,IF(BY25&gt;='Май'!yellow_percent,'Май'!yellow,IF(BY25&gt;='Май'!orange_percent,'Май'!orange,'Май'!red)));""max"",1}))"),"")</f>
        <v/>
      </c>
      <c r="CA25" s="452">
        <v>80.64516129032258</v>
      </c>
      <c r="CB25" s="466">
        <v>134.0</v>
      </c>
      <c r="CC25" s="452">
        <v>80.64516129032258</v>
      </c>
      <c r="CD25" s="466">
        <v>143.0</v>
      </c>
      <c r="CE25" s="452">
        <v>80.64516129032258</v>
      </c>
      <c r="CF25" s="466">
        <v>131.0</v>
      </c>
      <c r="CG25" s="452">
        <v>80.64516129032258</v>
      </c>
      <c r="CH25" s="466">
        <v>153.0</v>
      </c>
      <c r="CI25" s="452">
        <v>80.64516129032258</v>
      </c>
      <c r="CJ25" s="466">
        <v>137.0</v>
      </c>
      <c r="CK25" s="452">
        <v>80.64516129032258</v>
      </c>
      <c r="CL25" s="466">
        <v>72.0</v>
      </c>
      <c r="CM25" s="452">
        <v>80.64516129032258</v>
      </c>
      <c r="CN25" s="466">
        <v>105.0</v>
      </c>
      <c r="CO25" s="335">
        <f t="shared" ref="CO25:CP25" si="61">CA25+CC25+CE25+CG25+CI25+CK25+CM25</f>
        <v>564.516129</v>
      </c>
      <c r="CP25" s="468">
        <f t="shared" si="61"/>
        <v>875</v>
      </c>
      <c r="CQ25" s="469">
        <f t="shared" si="11"/>
        <v>1.55</v>
      </c>
      <c r="CR25" s="470" t="str">
        <f>IFERROR(__xludf.DUMMYFUNCTION("IFERROR(SPARKLINE(CQ25,{""charttype"",""bar"";""color1"",IF(CQ25&gt;='Май'!green_percent,'Май'!green,IF(CQ25&gt;='Май'!yellow_percent,'Май'!yellow,IF(CQ25&gt;='Май'!orange_percent,'Май'!orange,'Май'!red)));""max"",1}))"),"")</f>
        <v/>
      </c>
      <c r="CS25" s="471"/>
      <c r="CT25" s="472"/>
      <c r="CU25" s="473"/>
      <c r="CV25" s="474"/>
      <c r="CW25" s="475"/>
      <c r="CX25" s="474"/>
      <c r="CY25" s="475"/>
      <c r="CZ25" s="474"/>
      <c r="DA25" s="475"/>
      <c r="DB25" s="474"/>
      <c r="DC25" s="475"/>
      <c r="DD25" s="474"/>
      <c r="DE25" s="475"/>
      <c r="DF25" s="474"/>
      <c r="DG25" s="476">
        <f t="shared" ref="DG25:DH25" si="62">CS25+CU25+CW25+CY25+DA25+DC25+DE25</f>
        <v>0</v>
      </c>
      <c r="DH25" s="477">
        <f t="shared" si="62"/>
        <v>0</v>
      </c>
      <c r="DI25" s="478" t="str">
        <f t="shared" ref="DI25:DI26" si="67">IFERROR(DH25/DG25,"")</f>
        <v/>
      </c>
      <c r="DJ25" s="479" t="str">
        <f>IFERROR(__xludf.DUMMYFUNCTION("IFERROR(SPARKLINE(DI25,{""charttype"",""bar"";""color1"",IF(DI25&gt;='Май'!green_percent,'Май'!green,IF(DI25&gt;='Май'!yellow_percent,'Май'!yellow,IF(DI25&gt;='Май'!orange_percent,'Май'!orange,'Май'!red)));""max"",1}))"),"")</f>
        <v/>
      </c>
      <c r="DK25" s="480"/>
      <c r="DL25" s="481"/>
    </row>
    <row r="26">
      <c r="A26" s="240"/>
      <c r="B26" s="410" t="s">
        <v>33</v>
      </c>
      <c r="C26" s="242"/>
      <c r="D26" s="242"/>
      <c r="E26" s="243"/>
      <c r="F26" s="244">
        <v>45.0</v>
      </c>
      <c r="G26" s="244">
        <f t="shared" si="57"/>
        <v>64</v>
      </c>
      <c r="H26" s="412">
        <f t="shared" si="46"/>
        <v>1.422222222</v>
      </c>
      <c r="I26" s="413" t="str">
        <f>IFERROR(__xludf.DUMMYFUNCTION("IFERROR(SPARKLINE(H26,{""charttype"",""bar"";""color1"",IF(H26&gt;='Май'!green_percent,'Май'!green,IF(H26&gt;='Май'!yellow_percent,'Май'!yellow,IF(H26&gt;='Май'!orange_percent,'Май'!orange,'Май'!red)));""max"",1}))"),"")</f>
        <v/>
      </c>
      <c r="J26" s="414"/>
      <c r="K26" s="482"/>
      <c r="L26" s="416"/>
      <c r="M26" s="483"/>
      <c r="N26" s="418"/>
      <c r="O26" s="484">
        <v>1.5</v>
      </c>
      <c r="P26" s="416">
        <v>0.0</v>
      </c>
      <c r="Q26" s="484">
        <v>1.5</v>
      </c>
      <c r="R26" s="416">
        <v>0.0</v>
      </c>
      <c r="S26" s="485">
        <v>1.5</v>
      </c>
      <c r="T26" s="418">
        <v>0.0</v>
      </c>
      <c r="U26" s="255">
        <f t="shared" ref="U26:V26" si="63">O26+Q26+S26</f>
        <v>4.5</v>
      </c>
      <c r="V26" s="486">
        <f t="shared" si="63"/>
        <v>0</v>
      </c>
      <c r="W26" s="412">
        <f t="shared" si="49"/>
        <v>0</v>
      </c>
      <c r="X26" s="424" t="str">
        <f>IFERROR(__xludf.DUMMYFUNCTION("IFERROR(SPARKLINE(W26,{""charttype"",""bar"";""color1"",IF(W26&gt;='Май'!green_percent,'Май'!green,IF(W26&gt;='Май'!yellow_percent,'Май'!yellow,IF(W26&gt;='Май'!orange_percent,'Май'!orange,'Май'!red)));""max"",1}))"),"")</f>
        <v/>
      </c>
      <c r="Y26" s="483">
        <v>1.5</v>
      </c>
      <c r="Z26" s="416">
        <v>5.0</v>
      </c>
      <c r="AA26" s="483">
        <v>1.5</v>
      </c>
      <c r="AB26" s="416">
        <v>3.0</v>
      </c>
      <c r="AC26" s="483">
        <v>1.5</v>
      </c>
      <c r="AD26" s="416">
        <v>0.0</v>
      </c>
      <c r="AE26" s="483">
        <v>1.5</v>
      </c>
      <c r="AF26" s="416">
        <v>4.0</v>
      </c>
      <c r="AG26" s="483">
        <v>1.5</v>
      </c>
      <c r="AH26" s="416">
        <v>1.0</v>
      </c>
      <c r="AI26" s="483">
        <v>1.5</v>
      </c>
      <c r="AJ26" s="416">
        <v>0.0</v>
      </c>
      <c r="AK26" s="483">
        <v>1.5</v>
      </c>
      <c r="AL26" s="416">
        <v>0.0</v>
      </c>
      <c r="AM26" s="255">
        <f t="shared" ref="AM26:AN26" si="64">Y26+AA26+AC26+AE26+AG26+AI26+AK26</f>
        <v>10.5</v>
      </c>
      <c r="AN26" s="486">
        <f t="shared" si="64"/>
        <v>13</v>
      </c>
      <c r="AO26" s="253">
        <f t="shared" si="51"/>
        <v>1.238095238</v>
      </c>
      <c r="AP26" s="427" t="str">
        <f>IFERROR(__xludf.DUMMYFUNCTION("IFERROR(SPARKLINE(AO26,{""charttype"",""bar"";""color1"",IF(AO26&gt;='Май'!green_percent,'Май'!green,IF(AO26&gt;='Май'!yellow_percent,'Май'!yellow,IF(AO26&gt;='Май'!orange_percent,'Май'!orange,'Май'!red)));""max"",1}))"),"")</f>
        <v/>
      </c>
      <c r="AQ26" s="483">
        <v>1.5</v>
      </c>
      <c r="AR26" s="416">
        <v>2.0</v>
      </c>
      <c r="AS26" s="483">
        <v>1.5</v>
      </c>
      <c r="AT26" s="416">
        <v>6.0</v>
      </c>
      <c r="AU26" s="483">
        <v>1.5</v>
      </c>
      <c r="AV26" s="416">
        <v>2.0</v>
      </c>
      <c r="AW26" s="483">
        <v>1.5</v>
      </c>
      <c r="AX26" s="416">
        <v>7.0</v>
      </c>
      <c r="AY26" s="483">
        <v>1.5</v>
      </c>
      <c r="AZ26" s="416">
        <v>2.0</v>
      </c>
      <c r="BA26" s="483">
        <v>1.5</v>
      </c>
      <c r="BB26" s="416">
        <v>1.0</v>
      </c>
      <c r="BC26" s="483">
        <v>1.5</v>
      </c>
      <c r="BD26" s="416">
        <v>0.0</v>
      </c>
      <c r="BE26" s="535">
        <f t="shared" ref="BE26:BF26" si="65">AQ26+AS26+AU26+AW26+AY26+BA26+BC26</f>
        <v>10.5</v>
      </c>
      <c r="BF26" s="486">
        <f t="shared" si="65"/>
        <v>20</v>
      </c>
      <c r="BG26" s="429">
        <f t="shared" si="53"/>
        <v>1.904761905</v>
      </c>
      <c r="BH26" s="430" t="str">
        <f>IFERROR(__xludf.DUMMYFUNCTION("IFERROR(SPARKLINE(BG26,{""charttype"",""bar"";""color1"",IF(BG26&gt;='Май'!green_percent,'Май'!green,IF(BG26&gt;='Май'!yellow_percent,'Май'!yellow,IF(BG26&gt;='Май'!orange_percent,'Май'!orange,'Май'!red)));""max"",1}))"),"")</f>
        <v/>
      </c>
      <c r="BI26" s="483">
        <v>1.5</v>
      </c>
      <c r="BJ26" s="487">
        <v>3.0</v>
      </c>
      <c r="BK26" s="483">
        <v>1.5</v>
      </c>
      <c r="BL26" s="487">
        <v>3.0</v>
      </c>
      <c r="BM26" s="483">
        <v>1.5</v>
      </c>
      <c r="BN26" s="487">
        <v>5.0</v>
      </c>
      <c r="BO26" s="483">
        <v>1.5</v>
      </c>
      <c r="BP26" s="487">
        <v>4.0</v>
      </c>
      <c r="BQ26" s="483">
        <v>1.5</v>
      </c>
      <c r="BR26" s="487">
        <v>5.0</v>
      </c>
      <c r="BS26" s="483">
        <v>1.5</v>
      </c>
      <c r="BT26" s="487">
        <v>0.0</v>
      </c>
      <c r="BU26" s="483">
        <v>1.5</v>
      </c>
      <c r="BV26" s="487">
        <v>0.0</v>
      </c>
      <c r="BW26" s="255">
        <v>10.5</v>
      </c>
      <c r="BX26" s="486">
        <f t="shared" si="54"/>
        <v>20</v>
      </c>
      <c r="BY26" s="429">
        <f t="shared" si="55"/>
        <v>1.904761905</v>
      </c>
      <c r="BZ26" s="430" t="str">
        <f>IFERROR(__xludf.DUMMYFUNCTION("IFERROR(SPARKLINE(BY26,{""charttype"",""bar"";""color1"",IF(BY26&gt;='Май'!green_percent,'Май'!green,IF(BY26&gt;='Май'!yellow_percent,'Май'!yellow,IF(BY26&gt;='Май'!orange_percent,'Май'!orange,'Май'!red)));""max"",1}))"),"")</f>
        <v/>
      </c>
      <c r="CA26" s="483">
        <v>1.5</v>
      </c>
      <c r="CB26" s="435">
        <v>2.0</v>
      </c>
      <c r="CC26" s="483">
        <v>1.5</v>
      </c>
      <c r="CD26" s="435">
        <v>1.0</v>
      </c>
      <c r="CE26" s="483">
        <v>1.5</v>
      </c>
      <c r="CF26" s="435">
        <v>2.0</v>
      </c>
      <c r="CG26" s="483">
        <v>1.5</v>
      </c>
      <c r="CH26" s="435">
        <v>6.0</v>
      </c>
      <c r="CI26" s="483">
        <v>1.5</v>
      </c>
      <c r="CJ26" s="435">
        <v>5.0</v>
      </c>
      <c r="CK26" s="483">
        <v>1.5</v>
      </c>
      <c r="CL26" s="435">
        <v>0.0</v>
      </c>
      <c r="CM26" s="483">
        <v>1.5</v>
      </c>
      <c r="CN26" s="435">
        <v>0.0</v>
      </c>
      <c r="CO26" s="257">
        <f>CA26+CC26+CE26+CG26+CI26+CK26+CM26</f>
        <v>10.5</v>
      </c>
      <c r="CP26" s="486">
        <f>CB26+CD26+CF26+CH26</f>
        <v>11</v>
      </c>
      <c r="CQ26" s="207">
        <f t="shared" si="11"/>
        <v>1.047619048</v>
      </c>
      <c r="CR26" s="208" t="str">
        <f>IFERROR(__xludf.DUMMYFUNCTION("IFERROR(SPARKLINE(CQ26,{""charttype"",""bar"";""color1"",IF(CQ26&gt;='Май'!green_percent,'Май'!green,IF(CQ26&gt;='Май'!yellow_percent,'Май'!yellow,IF(CQ26&gt;='Май'!orange_percent,'Май'!orange,'Май'!red)));""max"",1}))"),"")</f>
        <v/>
      </c>
      <c r="CS26" s="489"/>
      <c r="CT26" s="438"/>
      <c r="CU26" s="490"/>
      <c r="CV26" s="440"/>
      <c r="CW26" s="441"/>
      <c r="CX26" s="440"/>
      <c r="CY26" s="441"/>
      <c r="CZ26" s="440"/>
      <c r="DA26" s="441"/>
      <c r="DB26" s="440"/>
      <c r="DC26" s="441"/>
      <c r="DD26" s="440"/>
      <c r="DE26" s="441"/>
      <c r="DF26" s="440"/>
      <c r="DG26" s="491">
        <f t="shared" ref="DG26:DH26" si="66">CS26+CU26+CW26+CY26+DA26+DC26+DE26</f>
        <v>0</v>
      </c>
      <c r="DH26" s="492">
        <f t="shared" si="66"/>
        <v>0</v>
      </c>
      <c r="DI26" s="493" t="str">
        <f t="shared" si="67"/>
        <v/>
      </c>
      <c r="DJ26" s="494" t="str">
        <f>IFERROR(__xludf.DUMMYFUNCTION("IFERROR(SPARKLINE(DI26,{""charttype"",""bar"";""color1"",IF(DI26&gt;='Май'!green_percent,'Май'!green,IF(DI26&gt;='Май'!yellow_percent,'Май'!yellow,IF(DI26&gt;='Май'!orange_percent,'Май'!orange,'Май'!red)));""max"",1}))"),"")</f>
        <v/>
      </c>
      <c r="DK26" s="446"/>
      <c r="DL26" s="447"/>
    </row>
    <row r="27">
      <c r="A27" s="215"/>
      <c r="B27" s="269" t="s">
        <v>22</v>
      </c>
      <c r="C27" s="217"/>
      <c r="D27" s="217"/>
      <c r="E27" s="218"/>
      <c r="F27" s="495">
        <f t="shared" ref="F27:G27" si="68">F24/F26</f>
        <v>1111.111111</v>
      </c>
      <c r="G27" s="495">
        <f t="shared" si="68"/>
        <v>302.4328125</v>
      </c>
      <c r="H27" s="220">
        <f t="shared" si="46"/>
        <v>0.2721895313</v>
      </c>
      <c r="I27" s="449" t="str">
        <f>IFERROR(__xludf.DUMMYFUNCTION("IFERROR(SPARKLINE(H27,{""charttype"",""bar"";""color1"",IF(H27&gt;='Май'!green_percent,'Май'!green,IF(H27&gt;='Май'!yellow_percent,'Май'!yellow,IF(H27&gt;='Май'!orange_percent,'Май'!orange,'Май'!red)));""max"",1}))"),"")</f>
        <v/>
      </c>
      <c r="J27" s="237"/>
      <c r="K27" s="482"/>
      <c r="L27" s="496"/>
      <c r="M27" s="483"/>
      <c r="N27" s="418"/>
      <c r="O27" s="419">
        <f>F27</f>
        <v>1111.111111</v>
      </c>
      <c r="P27" s="420" t="str">
        <f>P24/P26</f>
        <v>#DIV/0!</v>
      </c>
      <c r="Q27" s="419">
        <f>F27</f>
        <v>1111.111111</v>
      </c>
      <c r="R27" s="420"/>
      <c r="S27" s="421">
        <f>F27</f>
        <v>1111.111111</v>
      </c>
      <c r="T27" s="498"/>
      <c r="U27" s="277">
        <f>F27</f>
        <v>1111.111111</v>
      </c>
      <c r="V27" s="499" t="str">
        <f>V24/V26</f>
        <v>#DIV/0!</v>
      </c>
      <c r="W27" s="220" t="str">
        <f t="shared" si="49"/>
        <v/>
      </c>
      <c r="X27" s="500" t="str">
        <f>IFERROR(__xludf.DUMMYFUNCTION("IFERROR(SPARKLINE(W27,{""charttype"",""bar"";""color1"",IF(W27&gt;='Май'!green_percent,'Май'!green,IF(W27&gt;='Май'!yellow_percent,'Май'!yellow,IF(W27&gt;='Май'!orange_percent,'Май'!orange,'Май'!red)));""max"",1}))"),"")</f>
        <v/>
      </c>
      <c r="Y27" s="419">
        <v>1111.111111111111</v>
      </c>
      <c r="Z27" s="426">
        <f>Z24/Z26</f>
        <v>322.6</v>
      </c>
      <c r="AA27" s="419">
        <v>1111.111111111111</v>
      </c>
      <c r="AB27" s="426">
        <f>AB24/AB26</f>
        <v>537.6666667</v>
      </c>
      <c r="AC27" s="419">
        <v>1111.111111111111</v>
      </c>
      <c r="AD27" s="426"/>
      <c r="AE27" s="419">
        <v>1111.111111111111</v>
      </c>
      <c r="AF27" s="426">
        <f>AF24/AF26</f>
        <v>403.25</v>
      </c>
      <c r="AG27" s="419">
        <v>1111.111111111111</v>
      </c>
      <c r="AH27" s="426">
        <f>AH24/AH26</f>
        <v>1613</v>
      </c>
      <c r="AI27" s="419">
        <v>1111.111111111111</v>
      </c>
      <c r="AJ27" s="426"/>
      <c r="AK27" s="419">
        <v>1111.111111111111</v>
      </c>
      <c r="AL27" s="426"/>
      <c r="AM27" s="277">
        <f t="shared" ref="AM27:AN27" si="69">AM24/AM26</f>
        <v>1111.111111</v>
      </c>
      <c r="AN27" s="499">
        <f t="shared" si="69"/>
        <v>868.5384615</v>
      </c>
      <c r="AO27" s="279">
        <f t="shared" si="51"/>
        <v>0.7816846154</v>
      </c>
      <c r="AP27" s="501" t="str">
        <f>IFERROR(__xludf.DUMMYFUNCTION("IFERROR(SPARKLINE(AO27,{""charttype"",""bar"";""color1"",IF(AO27&gt;='Май'!green_percent,'Май'!green,IF(AO27&gt;='Май'!yellow_percent,'Май'!yellow,IF(AO27&gt;='Май'!orange_percent,'Май'!orange,'Май'!red)));""max"",1}))"),"")</f>
        <v/>
      </c>
      <c r="AQ27" s="419">
        <v>1111.111111111111</v>
      </c>
      <c r="AR27" s="420">
        <f>AR24/AR26</f>
        <v>806.5</v>
      </c>
      <c r="AS27" s="419">
        <v>1111.111111111111</v>
      </c>
      <c r="AT27" s="420">
        <f>AT24/AT26</f>
        <v>268.8333333</v>
      </c>
      <c r="AU27" s="419">
        <v>1111.111111111111</v>
      </c>
      <c r="AV27" s="420">
        <f>AV24/AV26</f>
        <v>0</v>
      </c>
      <c r="AW27" s="419">
        <v>1111.111111111111</v>
      </c>
      <c r="AX27" s="420"/>
      <c r="AY27" s="419">
        <v>1111.111111111111</v>
      </c>
      <c r="AZ27" s="420">
        <f>AZ24/AZ26</f>
        <v>0</v>
      </c>
      <c r="BA27" s="419">
        <v>1111.111111111111</v>
      </c>
      <c r="BB27" s="420">
        <f>BB24/BB25</f>
        <v>0</v>
      </c>
      <c r="BC27" s="419">
        <v>1111.111111111111</v>
      </c>
      <c r="BD27" s="420" t="str">
        <f>BD24/BD26</f>
        <v>#DIV/0!</v>
      </c>
      <c r="BE27" s="277">
        <v>1111.111111111111</v>
      </c>
      <c r="BF27" s="499">
        <f>BF24/BF26</f>
        <v>161.3</v>
      </c>
      <c r="BG27" s="376">
        <f t="shared" si="53"/>
        <v>0.14517</v>
      </c>
      <c r="BH27" s="502" t="str">
        <f>IFERROR(__xludf.DUMMYFUNCTION("IFERROR(SPARKLINE(BG27,{""charttype"",""bar"";""color1"",IF(BG27&gt;='Май'!green_percent,'Май'!green,IF(BG27&gt;='Май'!yellow_percent,'Май'!yellow,IF(BG27&gt;='Май'!orange_percent,'Май'!orange,'Май'!red)));""max"",1}))"),"")</f>
        <v/>
      </c>
      <c r="BI27" s="419">
        <v>1111.111111111111</v>
      </c>
      <c r="BJ27" s="503">
        <f>BJ24/BJ26</f>
        <v>0</v>
      </c>
      <c r="BK27" s="419">
        <v>1111.111111111111</v>
      </c>
      <c r="BL27" s="503">
        <f>BL24/BL26</f>
        <v>0</v>
      </c>
      <c r="BM27" s="419">
        <v>1111.111111111111</v>
      </c>
      <c r="BN27" s="503">
        <v>0.0</v>
      </c>
      <c r="BO27" s="419">
        <v>1111.111111111111</v>
      </c>
      <c r="BP27" s="503">
        <f>BP24/BP26</f>
        <v>0</v>
      </c>
      <c r="BQ27" s="419">
        <v>1111.111111111111</v>
      </c>
      <c r="BR27" s="503">
        <f>BR24/BR26</f>
        <v>0</v>
      </c>
      <c r="BS27" s="419">
        <v>1111.111111111111</v>
      </c>
      <c r="BT27" s="503">
        <v>0.0</v>
      </c>
      <c r="BU27" s="419">
        <v>1111.111111111111</v>
      </c>
      <c r="BV27" s="503">
        <v>0.0</v>
      </c>
      <c r="BW27" s="277">
        <v>1111.111111111111</v>
      </c>
      <c r="BX27" s="499">
        <f>BX24/BX26</f>
        <v>0</v>
      </c>
      <c r="BY27" s="376">
        <f t="shared" si="55"/>
        <v>0</v>
      </c>
      <c r="BZ27" s="377" t="str">
        <f>IFERROR(__xludf.DUMMYFUNCTION("IFERROR(SPARKLINE(BY27,{""charttype"",""bar"";""color1"",IF(BY27&gt;='Май'!green_percent,'Май'!green,IF(BY27&gt;='Май'!yellow_percent,'Май'!yellow,IF(BY27&gt;='Май'!orange_percent,'Май'!orange,'Май'!red)));""max"",1}))"),"")</f>
        <v/>
      </c>
      <c r="CA27" s="419">
        <v>1111.111111111111</v>
      </c>
      <c r="CB27" s="504">
        <f>CB24/CB26</f>
        <v>0</v>
      </c>
      <c r="CC27" s="419">
        <v>1111.111111111111</v>
      </c>
      <c r="CD27" s="505">
        <v>0.0</v>
      </c>
      <c r="CE27" s="419">
        <v>1111.111111111111</v>
      </c>
      <c r="CF27" s="504">
        <f>CF24/CF26</f>
        <v>0</v>
      </c>
      <c r="CG27" s="419">
        <v>1111.111111111111</v>
      </c>
      <c r="CH27" s="505">
        <v>0.0</v>
      </c>
      <c r="CI27" s="419">
        <v>1111.111111111111</v>
      </c>
      <c r="CJ27" s="504">
        <f>CJ24/CJ26</f>
        <v>0</v>
      </c>
      <c r="CK27" s="419">
        <v>1111.111111111111</v>
      </c>
      <c r="CL27" s="504" t="str">
        <f>CL24/CL26</f>
        <v>#DIV/0!</v>
      </c>
      <c r="CM27" s="419">
        <v>1111.111111111111</v>
      </c>
      <c r="CN27" s="504" t="str">
        <f t="shared" ref="CN27:CP27" si="70">CN24/CN26</f>
        <v>#DIV/0!</v>
      </c>
      <c r="CO27" s="277">
        <f t="shared" si="70"/>
        <v>634.9206349</v>
      </c>
      <c r="CP27" s="277">
        <f t="shared" si="70"/>
        <v>0</v>
      </c>
      <c r="CQ27" s="469">
        <f t="shared" si="11"/>
        <v>0</v>
      </c>
      <c r="CR27" s="470" t="str">
        <f>IFERROR(__xludf.DUMMYFUNCTION("IFERROR(SPARKLINE(CQ27,{""charttype"",""bar"";""color1"",IF(CQ27&gt;='Май'!green_percent,'Май'!green,IF(CQ27&gt;='Май'!yellow_percent,'Май'!yellow,IF(CQ27&gt;='Май'!orange_percent,'Май'!orange,'Май'!red)));""max"",1}))"),"")</f>
        <v/>
      </c>
      <c r="CS27" s="489"/>
      <c r="CT27" s="400"/>
      <c r="CU27" s="490"/>
      <c r="CV27" s="506"/>
      <c r="CW27" s="506"/>
      <c r="CX27" s="506"/>
      <c r="CY27" s="506"/>
      <c r="CZ27" s="506"/>
      <c r="DA27" s="506"/>
      <c r="DB27" s="506"/>
      <c r="DC27" s="506"/>
      <c r="DD27" s="506"/>
      <c r="DE27" s="506"/>
      <c r="DF27" s="506"/>
      <c r="DG27" s="507"/>
      <c r="DH27" s="508"/>
      <c r="DI27" s="509"/>
      <c r="DJ27" s="510"/>
      <c r="DK27" s="511"/>
      <c r="DL27" s="512"/>
    </row>
    <row r="28">
      <c r="A28" s="240"/>
      <c r="B28" s="410" t="s">
        <v>34</v>
      </c>
      <c r="C28" s="242"/>
      <c r="D28" s="242"/>
      <c r="E28" s="243"/>
      <c r="F28" s="245">
        <v>0.015</v>
      </c>
      <c r="G28" s="245">
        <f>G26/G25</f>
        <v>0.01205727204</v>
      </c>
      <c r="H28" s="412">
        <f t="shared" si="46"/>
        <v>0.8038181361</v>
      </c>
      <c r="I28" s="413" t="str">
        <f>IFERROR(__xludf.DUMMYFUNCTION("IFERROR(SPARKLINE(H28,{""charttype"",""bar"";""color1"",IF(H28&gt;='Май'!green_percent,'Май'!green,IF(H28&gt;='Май'!yellow_percent,'Май'!yellow,IF(H28&gt;='Май'!orange_percent,'Май'!orange,'Май'!red)));""max"",1}))"),"")</f>
        <v/>
      </c>
      <c r="J28" s="414"/>
      <c r="K28" s="513"/>
      <c r="L28" s="514"/>
      <c r="M28" s="515"/>
      <c r="N28" s="516"/>
      <c r="O28" s="518">
        <v>0.009000000000000001</v>
      </c>
      <c r="P28" s="517">
        <f>P26/P25</f>
        <v>0</v>
      </c>
      <c r="Q28" s="518">
        <v>0.009000000000000001</v>
      </c>
      <c r="R28" s="416">
        <v>0.0</v>
      </c>
      <c r="S28" s="519">
        <v>0.009000000000000001</v>
      </c>
      <c r="T28" s="520"/>
      <c r="U28" s="316">
        <f t="shared" ref="U28:V28" si="71">U26/U25</f>
        <v>0.0186</v>
      </c>
      <c r="V28" s="253">
        <f t="shared" si="71"/>
        <v>0</v>
      </c>
      <c r="W28" s="412">
        <f t="shared" si="49"/>
        <v>0</v>
      </c>
      <c r="X28" s="424" t="str">
        <f>IFERROR(__xludf.DUMMYFUNCTION("IFERROR(SPARKLINE(W28,{""charttype"",""bar"";""color1"",IF(W28&gt;='Май'!green_percent,'Май'!green,IF(W28&gt;='Май'!yellow_percent,'Май'!yellow,IF(W28&gt;='Май'!orange_percent,'Май'!orange,'Май'!red)));""max"",1}))"),"")</f>
        <v/>
      </c>
      <c r="Y28" s="515">
        <v>0.009000000000000001</v>
      </c>
      <c r="Z28" s="514">
        <f>Z26/Z25</f>
        <v>0.03759398496</v>
      </c>
      <c r="AA28" s="515">
        <v>0.009000000000000001</v>
      </c>
      <c r="AB28" s="514">
        <f>AB26/AB25</f>
        <v>0.02586206897</v>
      </c>
      <c r="AC28" s="515">
        <v>0.009000000000000001</v>
      </c>
      <c r="AD28" s="496"/>
      <c r="AE28" s="515">
        <v>0.009000000000000001</v>
      </c>
      <c r="AF28" s="514">
        <f>AF26/AF25</f>
        <v>0.01320132013</v>
      </c>
      <c r="AG28" s="515">
        <v>0.009000000000000001</v>
      </c>
      <c r="AH28" s="514">
        <f>AH26/AH25</f>
        <v>0.001972386588</v>
      </c>
      <c r="AI28" s="515">
        <v>0.009000000000000001</v>
      </c>
      <c r="AJ28" s="496"/>
      <c r="AK28" s="515">
        <v>0.009000000000000001</v>
      </c>
      <c r="AL28" s="496"/>
      <c r="AM28" s="316">
        <f t="shared" ref="AM28:AN28" si="72">AM26/AM25</f>
        <v>0.01858831592</v>
      </c>
      <c r="AN28" s="253">
        <f t="shared" si="72"/>
        <v>0.006143667297</v>
      </c>
      <c r="AO28" s="253">
        <f t="shared" si="51"/>
        <v>0.3305123135</v>
      </c>
      <c r="AP28" s="427" t="str">
        <f>IFERROR(__xludf.DUMMYFUNCTION("IFERROR(SPARKLINE(AO28,{""charttype"",""bar"";""color1"",IF(AO28&gt;='Май'!green_percent,'Май'!green,IF(AO28&gt;='Май'!yellow_percent,'Май'!yellow,IF(AO28&gt;='Май'!orange_percent,'Май'!orange,'Май'!red)));""max"",1}))"),"")</f>
        <v/>
      </c>
      <c r="AQ28" s="515">
        <v>0.009000000000000001</v>
      </c>
      <c r="AR28" s="517">
        <f>AR26/AR25</f>
        <v>0.008064516129</v>
      </c>
      <c r="AS28" s="515">
        <v>0.009000000000000001</v>
      </c>
      <c r="AT28" s="517">
        <f>AT26/AT25</f>
        <v>0.02678571429</v>
      </c>
      <c r="AU28" s="515">
        <v>0.009000000000000001</v>
      </c>
      <c r="AV28" s="517">
        <f>AV26/AV25</f>
        <v>0.01709401709</v>
      </c>
      <c r="AW28" s="515">
        <v>0.009000000000000001</v>
      </c>
      <c r="AX28" s="517">
        <f>AX26/AX25</f>
        <v>0.05691056911</v>
      </c>
      <c r="AY28" s="515">
        <v>0.009000000000000001</v>
      </c>
      <c r="AZ28" s="517">
        <f>AZ26/AZ25</f>
        <v>0.01886792453</v>
      </c>
      <c r="BA28" s="515">
        <v>0.009000000000000001</v>
      </c>
      <c r="BB28" s="517">
        <f>BB26/BB25</f>
        <v>0.015625</v>
      </c>
      <c r="BC28" s="515">
        <v>0.009000000000000001</v>
      </c>
      <c r="BD28" s="517">
        <f>BD26/BD25</f>
        <v>0</v>
      </c>
      <c r="BE28" s="316">
        <v>0.009000000000000001</v>
      </c>
      <c r="BF28" s="253">
        <f>BF26/BF25</f>
        <v>0.01886792453</v>
      </c>
      <c r="BG28" s="429">
        <f t="shared" si="53"/>
        <v>2.096436059</v>
      </c>
      <c r="BH28" s="430" t="str">
        <f>IFERROR(__xludf.DUMMYFUNCTION("IFERROR(SPARKLINE(BG28,{""charttype"",""bar"";""color1"",IF(BG28&gt;='Май'!green_percent,'Май'!green,IF(BG28&gt;='Май'!yellow_percent,'Май'!yellow,IF(BG28&gt;='Май'!orange_percent,'Май'!orange,'Май'!red)));""max"",1}))"),"")</f>
        <v/>
      </c>
      <c r="BI28" s="515">
        <v>0.009000000000000001</v>
      </c>
      <c r="BJ28" s="521">
        <f>BJ26/BJ25</f>
        <v>0.01363636364</v>
      </c>
      <c r="BK28" s="515">
        <v>0.009000000000000001</v>
      </c>
      <c r="BL28" s="521">
        <f>BL26/BL25</f>
        <v>0.01515151515</v>
      </c>
      <c r="BM28" s="515">
        <v>0.009000000000000001</v>
      </c>
      <c r="BN28" s="521">
        <f>BN26/BN25</f>
        <v>0.02283105023</v>
      </c>
      <c r="BO28" s="515">
        <v>0.009000000000000001</v>
      </c>
      <c r="BP28" s="521">
        <f>BP26/BP25</f>
        <v>0.0248447205</v>
      </c>
      <c r="BQ28" s="515">
        <v>0.009000000000000001</v>
      </c>
      <c r="BR28" s="521">
        <f>BR26/BR25</f>
        <v>0.03759398496</v>
      </c>
      <c r="BS28" s="515">
        <v>0.009000000000000001</v>
      </c>
      <c r="BT28" s="487">
        <f>BT26/BT25</f>
        <v>0</v>
      </c>
      <c r="BU28" s="515">
        <v>0.009000000000000001</v>
      </c>
      <c r="BV28" s="521">
        <f>BV26/BV25</f>
        <v>0</v>
      </c>
      <c r="BW28" s="316">
        <v>0.009000000000000001</v>
      </c>
      <c r="BX28" s="253">
        <f>BX26/BX25</f>
        <v>0.01883239171</v>
      </c>
      <c r="BY28" s="429">
        <f t="shared" si="55"/>
        <v>2.092487968</v>
      </c>
      <c r="BZ28" s="430" t="str">
        <f>IFERROR(__xludf.DUMMYFUNCTION("IFERROR(SPARKLINE(BY28,{""charttype"",""bar"";""color1"",IF(BY28&gt;='Май'!green_percent,'Май'!green,IF(BY28&gt;='Май'!yellow_percent,'Май'!yellow,IF(BY28&gt;='Май'!orange_percent,'Май'!orange,'Май'!red)));""max"",1}))"),"")</f>
        <v/>
      </c>
      <c r="CA28" s="515">
        <v>0.009000000000000001</v>
      </c>
      <c r="CB28" s="522">
        <f>CB26/CB25</f>
        <v>0.01492537313</v>
      </c>
      <c r="CC28" s="515">
        <v>0.009000000000000001</v>
      </c>
      <c r="CD28" s="522">
        <f>CD26/CD25</f>
        <v>0.006993006993</v>
      </c>
      <c r="CE28" s="515">
        <v>0.009000000000000001</v>
      </c>
      <c r="CF28" s="522">
        <f>CF26/CF25</f>
        <v>0.01526717557</v>
      </c>
      <c r="CG28" s="515">
        <v>0.009000000000000001</v>
      </c>
      <c r="CH28" s="522">
        <f>CH26/CH25</f>
        <v>0.03921568627</v>
      </c>
      <c r="CI28" s="515">
        <v>0.009000000000000001</v>
      </c>
      <c r="CJ28" s="522">
        <f>CJ26/CJ25</f>
        <v>0.03649635036</v>
      </c>
      <c r="CK28" s="515">
        <v>0.009000000000000001</v>
      </c>
      <c r="CL28" s="522">
        <f>CL26/CL25</f>
        <v>0</v>
      </c>
      <c r="CM28" s="515">
        <v>0.009000000000000001</v>
      </c>
      <c r="CN28" s="522">
        <f t="shared" ref="CN28:CP28" si="73">CN26/CN25</f>
        <v>0</v>
      </c>
      <c r="CO28" s="316">
        <f t="shared" si="73"/>
        <v>0.0186</v>
      </c>
      <c r="CP28" s="253">
        <f t="shared" si="73"/>
        <v>0.01257142857</v>
      </c>
      <c r="CQ28" s="207">
        <f t="shared" si="11"/>
        <v>0.6758832565</v>
      </c>
      <c r="CR28" s="208" t="str">
        <f>IFERROR(__xludf.DUMMYFUNCTION("IFERROR(SPARKLINE(CQ28,{""charttype"",""bar"";""color1"",IF(CQ28&gt;='Май'!green_percent,'Май'!green,IF(CQ28&gt;='Май'!yellow_percent,'Май'!yellow,IF(CQ28&gt;='Май'!orange_percent,'Май'!orange,'Май'!red)));""max"",1}))"),"")</f>
        <v/>
      </c>
      <c r="CS28" s="489"/>
      <c r="CT28" s="438"/>
      <c r="CU28" s="490"/>
      <c r="CV28" s="523"/>
      <c r="CW28" s="523"/>
      <c r="CX28" s="523"/>
      <c r="CY28" s="523"/>
      <c r="CZ28" s="523"/>
      <c r="DA28" s="523"/>
      <c r="DB28" s="523"/>
      <c r="DC28" s="523"/>
      <c r="DD28" s="523"/>
      <c r="DE28" s="523"/>
      <c r="DF28" s="523"/>
      <c r="DG28" s="491"/>
      <c r="DH28" s="524"/>
      <c r="DI28" s="525"/>
      <c r="DJ28" s="494"/>
      <c r="DK28" s="446"/>
      <c r="DL28" s="447"/>
    </row>
    <row r="29">
      <c r="A29" s="215"/>
      <c r="B29" s="269" t="s">
        <v>35</v>
      </c>
      <c r="C29" s="217"/>
      <c r="D29" s="217"/>
      <c r="E29" s="218"/>
      <c r="F29" s="448">
        <v>20.0</v>
      </c>
      <c r="G29" s="448">
        <f>V29+AN29+BF29+BX29+CP29</f>
        <v>24</v>
      </c>
      <c r="H29" s="220">
        <f t="shared" si="46"/>
        <v>1.2</v>
      </c>
      <c r="I29" s="449" t="str">
        <f>IFERROR(__xludf.DUMMYFUNCTION("IFERROR(SPARKLINE(H29,{""charttype"",""bar"";""color1"",IF(H29&gt;='Май'!green_percent,'Май'!green,IF(H29&gt;='Май'!yellow_percent,'Май'!yellow,IF(H29&gt;='Май'!orange_percent,'Май'!orange,'Май'!red)));""max"",1}))"),"")</f>
        <v/>
      </c>
      <c r="J29" s="237"/>
      <c r="K29" s="482"/>
      <c r="L29" s="416"/>
      <c r="M29" s="483"/>
      <c r="N29" s="418"/>
      <c r="O29" s="484">
        <v>0.6451612903225806</v>
      </c>
      <c r="P29" s="416">
        <v>0.0</v>
      </c>
      <c r="Q29" s="484">
        <v>0.6451612903225806</v>
      </c>
      <c r="R29" s="416">
        <v>0.0</v>
      </c>
      <c r="S29" s="485">
        <v>0.6451612903225806</v>
      </c>
      <c r="T29" s="418">
        <v>0.0</v>
      </c>
      <c r="U29" s="333">
        <f t="shared" ref="U29:V29" si="74">O29+Q29+S29</f>
        <v>1.935483871</v>
      </c>
      <c r="V29" s="526">
        <f t="shared" si="74"/>
        <v>0</v>
      </c>
      <c r="W29" s="220">
        <f t="shared" si="49"/>
        <v>0</v>
      </c>
      <c r="X29" s="458" t="str">
        <f>IFERROR(__xludf.DUMMYFUNCTION("IFERROR(SPARKLINE(W29,{""charttype"",""bar"";""color1"",IF(W29&gt;='Май'!green_percent,'Май'!green,IF(W29&gt;='Май'!yellow_percent,'Май'!yellow,IF(W29&gt;='Май'!orange_percent,'Май'!orange,'Май'!red)));""max"",1}))"),"")</f>
        <v/>
      </c>
      <c r="Y29" s="484">
        <v>0.6451612903225806</v>
      </c>
      <c r="Z29" s="416">
        <v>2.0</v>
      </c>
      <c r="AA29" s="484">
        <v>0.6451612903225806</v>
      </c>
      <c r="AB29" s="416">
        <v>2.0</v>
      </c>
      <c r="AC29" s="484">
        <v>0.6451612903225806</v>
      </c>
      <c r="AD29" s="416">
        <v>0.0</v>
      </c>
      <c r="AE29" s="484">
        <v>0.6451612903225806</v>
      </c>
      <c r="AF29" s="416">
        <v>1.0</v>
      </c>
      <c r="AG29" s="484">
        <v>0.6451612903225806</v>
      </c>
      <c r="AH29" s="416">
        <v>1.0</v>
      </c>
      <c r="AI29" s="484">
        <v>0.6451612903225806</v>
      </c>
      <c r="AJ29" s="416">
        <v>0.0</v>
      </c>
      <c r="AK29" s="484">
        <v>0.6451612903225806</v>
      </c>
      <c r="AL29" s="416">
        <v>0.0</v>
      </c>
      <c r="AM29" s="349">
        <f t="shared" ref="AM29:AN29" si="75">Y29+AA29+AC29+AE29+AG29+AI29+AK29</f>
        <v>4.516129032</v>
      </c>
      <c r="AN29" s="464">
        <f t="shared" si="75"/>
        <v>6</v>
      </c>
      <c r="AO29" s="279">
        <f t="shared" si="51"/>
        <v>1.328571429</v>
      </c>
      <c r="AP29" s="462" t="str">
        <f>IFERROR(__xludf.DUMMYFUNCTION("IFERROR(SPARKLINE(AO29,{""charttype"",""bar"";""color1"",IF(AO29&gt;='Май'!green_percent,'Май'!green,IF(AO29&gt;='Май'!yellow_percent,'Май'!yellow,IF(AO29&gt;='Май'!orange_percent,'Май'!orange,'Май'!red)));""max"",1}))"),"")</f>
        <v/>
      </c>
      <c r="AQ29" s="484">
        <v>0.6451612903225806</v>
      </c>
      <c r="AR29" s="416">
        <v>0.0</v>
      </c>
      <c r="AS29" s="484">
        <v>0.6451612903225806</v>
      </c>
      <c r="AT29" s="416">
        <v>3.0</v>
      </c>
      <c r="AU29" s="484">
        <v>0.6451612903225806</v>
      </c>
      <c r="AV29" s="416">
        <v>2.0</v>
      </c>
      <c r="AW29" s="484">
        <v>0.6451612903225806</v>
      </c>
      <c r="AX29" s="416">
        <v>0.0</v>
      </c>
      <c r="AY29" s="484">
        <v>0.6451612903225806</v>
      </c>
      <c r="AZ29" s="416">
        <v>1.0</v>
      </c>
      <c r="BA29" s="484">
        <v>0.6451612903225806</v>
      </c>
      <c r="BB29" s="416">
        <v>0.0</v>
      </c>
      <c r="BC29" s="484">
        <v>0.6451612903225806</v>
      </c>
      <c r="BD29" s="416">
        <v>0.0</v>
      </c>
      <c r="BE29" s="349">
        <f t="shared" ref="BE29:BF29" si="76">AQ29+AS29+AU29+AW29+AY29+BA29+BC29</f>
        <v>4.516129032</v>
      </c>
      <c r="BF29" s="464">
        <f t="shared" si="76"/>
        <v>6</v>
      </c>
      <c r="BG29" s="376">
        <f t="shared" si="53"/>
        <v>1.328571429</v>
      </c>
      <c r="BH29" s="377" t="str">
        <f>IFERROR(__xludf.DUMMYFUNCTION("IFERROR(SPARKLINE(BG29,{""charttype"",""bar"";""color1"",IF(BG29&gt;='Май'!green_percent,'Май'!green,IF(BG29&gt;='Май'!yellow_percent,'Май'!yellow,IF(BG29&gt;='Май'!orange_percent,'Май'!orange,'Май'!red)));""max"",1}))"),"")</f>
        <v/>
      </c>
      <c r="BI29" s="484">
        <v>0.6451612903225806</v>
      </c>
      <c r="BJ29" s="527">
        <v>1.0</v>
      </c>
      <c r="BK29" s="484">
        <v>0.6451612903225806</v>
      </c>
      <c r="BL29" s="527">
        <v>1.0</v>
      </c>
      <c r="BM29" s="484">
        <v>0.6451612903225806</v>
      </c>
      <c r="BN29" s="527">
        <v>1.0</v>
      </c>
      <c r="BO29" s="484">
        <v>0.6451612903225806</v>
      </c>
      <c r="BP29" s="527">
        <v>4.0</v>
      </c>
      <c r="BQ29" s="484">
        <v>0.6451612903225806</v>
      </c>
      <c r="BR29" s="527">
        <v>0.0</v>
      </c>
      <c r="BS29" s="484">
        <v>0.6451612903225806</v>
      </c>
      <c r="BT29" s="527">
        <v>0.0</v>
      </c>
      <c r="BU29" s="484">
        <v>0.6451612903225806</v>
      </c>
      <c r="BV29" s="527">
        <v>0.0</v>
      </c>
      <c r="BW29" s="349">
        <v>4.516129032258064</v>
      </c>
      <c r="BX29" s="464">
        <f>BJ29+BL29+BN29+BP29+BR29+BT29+BV29</f>
        <v>7</v>
      </c>
      <c r="BY29" s="376">
        <f t="shared" si="55"/>
        <v>1.55</v>
      </c>
      <c r="BZ29" s="377" t="str">
        <f>IFERROR(__xludf.DUMMYFUNCTION("IFERROR(SPARKLINE(BY29,{""charttype"",""bar"";""color1"",IF(BY29&gt;='Май'!green_percent,'Май'!green,IF(BY29&gt;='Май'!yellow_percent,'Май'!yellow,IF(BY29&gt;='Май'!orange_percent,'Май'!orange,'Май'!red)));""max"",1}))"),"")</f>
        <v/>
      </c>
      <c r="CA29" s="484">
        <v>0.6451612903225806</v>
      </c>
      <c r="CB29" s="505">
        <v>0.0</v>
      </c>
      <c r="CC29" s="484">
        <v>0.6451612903225806</v>
      </c>
      <c r="CD29" s="505">
        <v>1.0</v>
      </c>
      <c r="CE29" s="484">
        <v>0.6451612903225806</v>
      </c>
      <c r="CF29" s="505">
        <v>0.0</v>
      </c>
      <c r="CG29" s="484">
        <v>0.6451612903225806</v>
      </c>
      <c r="CH29" s="505">
        <v>4.0</v>
      </c>
      <c r="CI29" s="484">
        <v>0.6451612903225806</v>
      </c>
      <c r="CJ29" s="505">
        <v>2.0</v>
      </c>
      <c r="CK29" s="484">
        <v>0.6451612903225806</v>
      </c>
      <c r="CL29" s="505">
        <v>0.0</v>
      </c>
      <c r="CM29" s="484">
        <v>0.6451612903225806</v>
      </c>
      <c r="CN29" s="505">
        <v>0.0</v>
      </c>
      <c r="CO29" s="335">
        <f>CA29+CC29+CE29+CG29+CI29+CK29+CM29</f>
        <v>4.516129032</v>
      </c>
      <c r="CP29" s="464">
        <f>CB29+CD29+CF29+CH29</f>
        <v>5</v>
      </c>
      <c r="CQ29" s="469">
        <f t="shared" si="11"/>
        <v>1.107142857</v>
      </c>
      <c r="CR29" s="470" t="str">
        <f>IFERROR(__xludf.DUMMYFUNCTION("IFERROR(SPARKLINE(CQ29,{""charttype"",""bar"";""color1"",IF(CQ29&gt;='Май'!green_percent,'Май'!green,IF(CQ29&gt;='Май'!yellow_percent,'Май'!yellow,IF(CQ29&gt;='Май'!orange_percent,'Май'!orange,'Май'!red)));""max"",1}))"),"")</f>
        <v/>
      </c>
      <c r="CS29" s="489"/>
      <c r="CT29" s="400"/>
      <c r="CU29" s="490"/>
      <c r="CV29" s="506"/>
      <c r="CW29" s="506"/>
      <c r="CX29" s="506"/>
      <c r="CY29" s="506"/>
      <c r="CZ29" s="506"/>
      <c r="DA29" s="506"/>
      <c r="DB29" s="506"/>
      <c r="DC29" s="506"/>
      <c r="DD29" s="506"/>
      <c r="DE29" s="506"/>
      <c r="DF29" s="506"/>
      <c r="DG29" s="507"/>
      <c r="DH29" s="508"/>
      <c r="DI29" s="509"/>
      <c r="DJ29" s="510"/>
      <c r="DK29" s="511"/>
      <c r="DL29" s="512"/>
    </row>
    <row r="30">
      <c r="A30" s="240"/>
      <c r="B30" s="410" t="s">
        <v>25</v>
      </c>
      <c r="C30" s="242"/>
      <c r="D30" s="242"/>
      <c r="E30" s="243"/>
      <c r="F30" s="245">
        <v>0.45</v>
      </c>
      <c r="G30" s="245">
        <f>IF(G27=0,0,(G29)/G26)</f>
        <v>0.375</v>
      </c>
      <c r="H30" s="412">
        <f t="shared" si="46"/>
        <v>0.8333333333</v>
      </c>
      <c r="I30" s="413" t="str">
        <f>IFERROR(__xludf.DUMMYFUNCTION("IFERROR(SPARKLINE(H30,{""charttype"",""bar"";""color1"",IF(H30&gt;='Май'!green_percent,'Май'!green,IF(H30&gt;='Май'!yellow_percent,'Май'!yellow,IF(H30&gt;='Май'!orange_percent,'Май'!orange,'Май'!red)));""max"",1}))"),"")</f>
        <v/>
      </c>
      <c r="J30" s="414"/>
      <c r="K30" s="513"/>
      <c r="L30" s="496"/>
      <c r="M30" s="515"/>
      <c r="N30" s="418"/>
      <c r="O30" s="518">
        <v>0.43010752688172044</v>
      </c>
      <c r="P30" s="517" t="str">
        <f>P29/P26</f>
        <v>#DIV/0!</v>
      </c>
      <c r="Q30" s="518">
        <v>0.43010752688172044</v>
      </c>
      <c r="R30" s="416"/>
      <c r="S30" s="519">
        <v>0.43010752688172044</v>
      </c>
      <c r="T30" s="520"/>
      <c r="U30" s="316">
        <f t="shared" ref="U30:V30" si="77">U29/U26</f>
        <v>0.4301075269</v>
      </c>
      <c r="V30" s="253" t="str">
        <f t="shared" si="77"/>
        <v>#DIV/0!</v>
      </c>
      <c r="W30" s="412" t="str">
        <f t="shared" si="49"/>
        <v/>
      </c>
      <c r="X30" s="424" t="str">
        <f>IFERROR(__xludf.DUMMYFUNCTION("IFERROR(SPARKLINE(W30,{""charttype"",""bar"";""color1"",IF(W30&gt;='Май'!green_percent,'Май'!green,IF(W30&gt;='Май'!yellow_percent,'Май'!yellow,IF(W30&gt;='Май'!orange_percent,'Май'!orange,'Май'!red)));""max"",1}))"),"")</f>
        <v/>
      </c>
      <c r="Y30" s="515">
        <v>0.43010752688172044</v>
      </c>
      <c r="Z30" s="514">
        <f>Z29/Z26</f>
        <v>0.4</v>
      </c>
      <c r="AA30" s="515">
        <v>0.43010752688172044</v>
      </c>
      <c r="AB30" s="514">
        <f>AB29/AB26</f>
        <v>0.6666666667</v>
      </c>
      <c r="AC30" s="515">
        <v>0.43010752688172044</v>
      </c>
      <c r="AD30" s="496"/>
      <c r="AE30" s="515">
        <v>0.43010752688172044</v>
      </c>
      <c r="AF30" s="514">
        <f>AF29/AF26</f>
        <v>0.25</v>
      </c>
      <c r="AG30" s="515">
        <v>0.43010752688172044</v>
      </c>
      <c r="AH30" s="514">
        <f>AH29/AH26</f>
        <v>1</v>
      </c>
      <c r="AI30" s="515">
        <v>0.43010752688172044</v>
      </c>
      <c r="AJ30" s="496"/>
      <c r="AK30" s="515">
        <v>0.43010752688172044</v>
      </c>
      <c r="AL30" s="496"/>
      <c r="AM30" s="316">
        <f t="shared" ref="AM30:AN30" si="78">AM29/AM26</f>
        <v>0.4301075269</v>
      </c>
      <c r="AN30" s="253">
        <f t="shared" si="78"/>
        <v>0.4615384615</v>
      </c>
      <c r="AO30" s="253">
        <f t="shared" si="51"/>
        <v>1.073076923</v>
      </c>
      <c r="AP30" s="427" t="str">
        <f>IFERROR(__xludf.DUMMYFUNCTION("IFERROR(SPARKLINE(AO30,{""charttype"",""bar"";""color1"",IF(AO30&gt;='Май'!green_percent,'Май'!green,IF(AO30&gt;='Май'!yellow_percent,'Май'!yellow,IF(AO30&gt;='Май'!orange_percent,'Май'!orange,'Май'!red)));""max"",1}))"),"")</f>
        <v/>
      </c>
      <c r="AQ30" s="515">
        <v>0.43010752688172044</v>
      </c>
      <c r="AR30" s="416"/>
      <c r="AS30" s="515">
        <v>0.43010752688172044</v>
      </c>
      <c r="AT30" s="517">
        <f>AT29/AT26</f>
        <v>0.5</v>
      </c>
      <c r="AU30" s="515">
        <v>0.43010752688172044</v>
      </c>
      <c r="AV30" s="517">
        <f>AV29/AV26</f>
        <v>1</v>
      </c>
      <c r="AW30" s="515">
        <v>0.43010752688172044</v>
      </c>
      <c r="AX30" s="517">
        <f>AX29/AX26</f>
        <v>0</v>
      </c>
      <c r="AY30" s="515">
        <v>0.43010752688172044</v>
      </c>
      <c r="AZ30" s="517">
        <f>AZ29/AZ26</f>
        <v>0.5</v>
      </c>
      <c r="BA30" s="515">
        <v>0.43010752688172044</v>
      </c>
      <c r="BB30" s="416"/>
      <c r="BC30" s="515">
        <v>0.43010752688172044</v>
      </c>
      <c r="BD30" s="416"/>
      <c r="BE30" s="316">
        <v>0.4301075268817204</v>
      </c>
      <c r="BF30" s="253">
        <f>BF29/BF26</f>
        <v>0.3</v>
      </c>
      <c r="BG30" s="429">
        <f t="shared" si="53"/>
        <v>0.6975</v>
      </c>
      <c r="BH30" s="430" t="str">
        <f>IFERROR(__xludf.DUMMYFUNCTION("IFERROR(SPARKLINE(BG30,{""charttype"",""bar"";""color1"",IF(BG30&gt;='Май'!green_percent,'Май'!green,IF(BG30&gt;='Май'!yellow_percent,'Май'!yellow,IF(BG30&gt;='Май'!orange_percent,'Май'!orange,'Май'!red)));""max"",1}))"),"")</f>
        <v/>
      </c>
      <c r="BI30" s="515">
        <v>0.43010752688172044</v>
      </c>
      <c r="BJ30" s="521">
        <f>BJ29/BJ26</f>
        <v>0.3333333333</v>
      </c>
      <c r="BK30" s="515">
        <v>0.43010752688172044</v>
      </c>
      <c r="BL30" s="521">
        <f>BL29/BL26</f>
        <v>0.3333333333</v>
      </c>
      <c r="BM30" s="515">
        <v>0.43010752688172044</v>
      </c>
      <c r="BN30" s="521">
        <f>BN29/BN26</f>
        <v>0.2</v>
      </c>
      <c r="BO30" s="515">
        <v>0.43010752688172044</v>
      </c>
      <c r="BP30" s="521">
        <f>BP29/BP26</f>
        <v>1</v>
      </c>
      <c r="BQ30" s="515">
        <v>0.43010752688172044</v>
      </c>
      <c r="BR30" s="521">
        <f>BR29/BR26</f>
        <v>0</v>
      </c>
      <c r="BS30" s="515">
        <v>0.43010752688172044</v>
      </c>
      <c r="BT30" s="487" t="str">
        <f>BT29/BT26</f>
        <v>#DIV/0!</v>
      </c>
      <c r="BU30" s="515">
        <v>0.43010752688172044</v>
      </c>
      <c r="BV30" s="487"/>
      <c r="BW30" s="316">
        <v>0.4301075268817204</v>
      </c>
      <c r="BX30" s="253">
        <f>BX29/BX26</f>
        <v>0.35</v>
      </c>
      <c r="BY30" s="429">
        <f t="shared" si="55"/>
        <v>0.81375</v>
      </c>
      <c r="BZ30" s="430" t="str">
        <f>IFERROR(__xludf.DUMMYFUNCTION("IFERROR(SPARKLINE(BY30,{""charttype"",""bar"";""color1"",IF(BY30&gt;='Май'!green_percent,'Май'!green,IF(BY30&gt;='Май'!yellow_percent,'Май'!yellow,IF(BY30&gt;='Май'!orange_percent,'Май'!orange,'Май'!red)));""max"",1}))"),"")</f>
        <v/>
      </c>
      <c r="CA30" s="515">
        <v>0.43010752688172044</v>
      </c>
      <c r="CB30" s="522">
        <f>CB29/CB26</f>
        <v>0</v>
      </c>
      <c r="CC30" s="515">
        <v>0.43010752688172044</v>
      </c>
      <c r="CD30" s="522">
        <f>CD29/CD26</f>
        <v>1</v>
      </c>
      <c r="CE30" s="515">
        <v>0.43010752688172044</v>
      </c>
      <c r="CF30" s="435"/>
      <c r="CG30" s="515">
        <v>0.43010752688172044</v>
      </c>
      <c r="CH30" s="522">
        <f>CH29/CH26</f>
        <v>0.6666666667</v>
      </c>
      <c r="CI30" s="515">
        <v>0.43010752688172044</v>
      </c>
      <c r="CJ30" s="522">
        <f>CJ29/CJ26</f>
        <v>0.4</v>
      </c>
      <c r="CK30" s="515">
        <v>0.43010752688172044</v>
      </c>
      <c r="CL30" s="435"/>
      <c r="CM30" s="515">
        <v>0.43010752688172044</v>
      </c>
      <c r="CN30" s="435"/>
      <c r="CO30" s="316">
        <f t="shared" ref="CO30:CP30" si="79">CO29/CO26</f>
        <v>0.4301075269</v>
      </c>
      <c r="CP30" s="253">
        <f t="shared" si="79"/>
        <v>0.4545454545</v>
      </c>
      <c r="CQ30" s="207">
        <f t="shared" si="11"/>
        <v>1.056818182</v>
      </c>
      <c r="CR30" s="208" t="str">
        <f>IFERROR(__xludf.DUMMYFUNCTION("IFERROR(SPARKLINE(CQ30,{""charttype"",""bar"";""color1"",IF(CQ30&gt;='Май'!green_percent,'Май'!green,IF(CQ30&gt;='Май'!yellow_percent,'Май'!yellow,IF(CQ30&gt;='Май'!orange_percent,'Май'!orange,'Май'!red)));""max"",1}))"),"")</f>
        <v/>
      </c>
      <c r="CS30" s="489"/>
      <c r="CT30" s="438"/>
      <c r="CU30" s="490"/>
      <c r="CV30" s="523"/>
      <c r="CW30" s="523"/>
      <c r="CX30" s="523"/>
      <c r="CY30" s="523"/>
      <c r="CZ30" s="523"/>
      <c r="DA30" s="523"/>
      <c r="DB30" s="523"/>
      <c r="DC30" s="523"/>
      <c r="DD30" s="523"/>
      <c r="DE30" s="523"/>
      <c r="DF30" s="523"/>
      <c r="DG30" s="491"/>
      <c r="DH30" s="524"/>
      <c r="DI30" s="525"/>
      <c r="DJ30" s="494"/>
      <c r="DK30" s="446"/>
      <c r="DL30" s="447"/>
    </row>
    <row r="31">
      <c r="A31" s="215"/>
      <c r="B31" s="269" t="s">
        <v>36</v>
      </c>
      <c r="C31" s="217"/>
      <c r="D31" s="217"/>
      <c r="E31" s="218"/>
      <c r="F31" s="270">
        <f t="shared" ref="F31:G31" si="80">F24/F29</f>
        <v>2500</v>
      </c>
      <c r="G31" s="270">
        <f t="shared" si="80"/>
        <v>806.4875</v>
      </c>
      <c r="H31" s="220">
        <f t="shared" si="46"/>
        <v>0.322595</v>
      </c>
      <c r="I31" s="449" t="str">
        <f>IFERROR(__xludf.DUMMYFUNCTION("IFERROR(SPARKLINE(H31,{""charttype"",""bar"";""color1"",IF(H31&gt;='Май'!green_percent,'Май'!green,IF(H31&gt;='Май'!yellow_percent,'Май'!yellow,IF(H31&gt;='Май'!orange_percent,'Май'!orange,'Май'!red)));""max"",1}))"),"")</f>
        <v/>
      </c>
      <c r="J31" s="237"/>
      <c r="K31" s="528"/>
      <c r="L31" s="496"/>
      <c r="M31" s="483"/>
      <c r="N31" s="418"/>
      <c r="O31" s="529">
        <v>2500.0</v>
      </c>
      <c r="P31" s="420" t="str">
        <f>P24/P29</f>
        <v>#DIV/0!</v>
      </c>
      <c r="Q31" s="529">
        <v>2500.0</v>
      </c>
      <c r="R31" s="416"/>
      <c r="S31" s="529">
        <v>2500.0</v>
      </c>
      <c r="T31" s="520"/>
      <c r="U31" s="529">
        <v>2500.0</v>
      </c>
      <c r="V31" s="464" t="str">
        <f>V24/V29</f>
        <v>#DIV/0!</v>
      </c>
      <c r="W31" s="220" t="str">
        <f t="shared" si="49"/>
        <v/>
      </c>
      <c r="X31" s="458" t="str">
        <f>IFERROR(__xludf.DUMMYFUNCTION("IFERROR(SPARKLINE(W31,{""charttype"",""bar"";""color1"",IF(W31&gt;='Май'!green_percent,'Май'!green,IF(W31&gt;='Май'!yellow_percent,'Май'!yellow,IF(W31&gt;='Май'!orange_percent,'Май'!orange,'Май'!red)));""max"",1}))"),"")</f>
        <v/>
      </c>
      <c r="Y31" s="419">
        <v>2500.0</v>
      </c>
      <c r="Z31" s="426">
        <f>Z24/Z29</f>
        <v>806.5</v>
      </c>
      <c r="AA31" s="419">
        <v>2500.0</v>
      </c>
      <c r="AB31" s="426">
        <f>AB24/AB29</f>
        <v>806.5</v>
      </c>
      <c r="AC31" s="419">
        <v>2500.0</v>
      </c>
      <c r="AD31" s="496"/>
      <c r="AE31" s="419">
        <v>2500.0</v>
      </c>
      <c r="AF31" s="420">
        <f>AF24/AF29</f>
        <v>1613</v>
      </c>
      <c r="AG31" s="419">
        <v>2500.0</v>
      </c>
      <c r="AH31" s="426">
        <f>AH24/AH29</f>
        <v>1613</v>
      </c>
      <c r="AI31" s="419">
        <v>2500.0</v>
      </c>
      <c r="AJ31" s="496"/>
      <c r="AK31" s="419">
        <v>2500.0</v>
      </c>
      <c r="AL31" s="496"/>
      <c r="AM31" s="277">
        <f t="shared" ref="AM31:AN31" si="81">AM24/AM29</f>
        <v>2583.333333</v>
      </c>
      <c r="AN31" s="499">
        <f t="shared" si="81"/>
        <v>1881.833333</v>
      </c>
      <c r="AO31" s="279">
        <f t="shared" si="51"/>
        <v>0.7284516129</v>
      </c>
      <c r="AP31" s="462" t="str">
        <f>IFERROR(__xludf.DUMMYFUNCTION("IFERROR(SPARKLINE(AO31,{""charttype"",""bar"";""color1"",IF(AO31&gt;='Май'!green_percent,'Май'!green,IF(AO31&gt;='Май'!yellow_percent,'Май'!yellow,IF(AO31&gt;='Май'!orange_percent,'Май'!orange,'Май'!red)));""max"",1}))"),"")</f>
        <v/>
      </c>
      <c r="AQ31" s="419">
        <v>2500.0</v>
      </c>
      <c r="AR31" s="416"/>
      <c r="AS31" s="419">
        <v>2500.0</v>
      </c>
      <c r="AT31" s="420">
        <f>AT24/AT29</f>
        <v>537.6666667</v>
      </c>
      <c r="AU31" s="419">
        <v>2500.0</v>
      </c>
      <c r="AV31" s="420">
        <f>AV24/AV29</f>
        <v>0</v>
      </c>
      <c r="AW31" s="419">
        <v>2500.0</v>
      </c>
      <c r="AX31" s="416"/>
      <c r="AY31" s="419">
        <v>2500.0</v>
      </c>
      <c r="AZ31" s="420">
        <f>AZ24/AZ29</f>
        <v>0</v>
      </c>
      <c r="BA31" s="419">
        <v>2500.0</v>
      </c>
      <c r="BB31" s="416"/>
      <c r="BC31" s="419">
        <v>2500.0</v>
      </c>
      <c r="BD31" s="416"/>
      <c r="BE31" s="277">
        <v>2583.3333333333335</v>
      </c>
      <c r="BF31" s="499">
        <f>BF24/BF29</f>
        <v>537.6666667</v>
      </c>
      <c r="BG31" s="376">
        <f t="shared" si="53"/>
        <v>0.2081290323</v>
      </c>
      <c r="BH31" s="377" t="str">
        <f>IFERROR(__xludf.DUMMYFUNCTION("IFERROR(SPARKLINE(BG31,{""charttype"",""bar"";""color1"",IF(BG31&gt;='Май'!green_percent,'Май'!green,IF(BG31&gt;='Май'!yellow_percent,'Май'!yellow,IF(BG31&gt;='Май'!orange_percent,'Май'!orange,'Май'!red)));""max"",1}))"),"")</f>
        <v/>
      </c>
      <c r="BI31" s="419">
        <v>2500.0</v>
      </c>
      <c r="BJ31" s="503">
        <f>BJ24/BJ29</f>
        <v>0</v>
      </c>
      <c r="BK31" s="419">
        <v>2500.0</v>
      </c>
      <c r="BL31" s="503">
        <f>BL24/BL29</f>
        <v>0</v>
      </c>
      <c r="BM31" s="419">
        <v>2500.0</v>
      </c>
      <c r="BN31" s="503">
        <v>0.0</v>
      </c>
      <c r="BO31" s="419">
        <v>2500.0</v>
      </c>
      <c r="BP31" s="503">
        <f>BP24/BP29</f>
        <v>0</v>
      </c>
      <c r="BQ31" s="419">
        <v>2500.0</v>
      </c>
      <c r="BR31" s="527" t="str">
        <f>BR24/BR29</f>
        <v>#DIV/0!</v>
      </c>
      <c r="BS31" s="419">
        <v>2500.0</v>
      </c>
      <c r="BT31" s="527" t="str">
        <f>BT24/BT29</f>
        <v>#DIV/0!</v>
      </c>
      <c r="BU31" s="419">
        <v>2500.0</v>
      </c>
      <c r="BV31" s="527"/>
      <c r="BW31" s="277">
        <v>2583.3333333333335</v>
      </c>
      <c r="BX31" s="499">
        <f>BX24/BX29</f>
        <v>0</v>
      </c>
      <c r="BY31" s="376">
        <f t="shared" si="55"/>
        <v>0</v>
      </c>
      <c r="BZ31" s="377" t="str">
        <f>IFERROR(__xludf.DUMMYFUNCTION("IFERROR(SPARKLINE(BY31,{""charttype"",""bar"";""color1"",IF(BY31&gt;='Май'!green_percent,'Май'!green,IF(BY31&gt;='Май'!yellow_percent,'Май'!yellow,IF(BY31&gt;='Май'!orange_percent,'Май'!orange,'Май'!red)));""max"",1}))"),"")</f>
        <v/>
      </c>
      <c r="CA31" s="419">
        <v>2500.0</v>
      </c>
      <c r="CB31" s="505" t="str">
        <f>CB24/CB29</f>
        <v>#DIV/0!</v>
      </c>
      <c r="CC31" s="419">
        <v>2500.0</v>
      </c>
      <c r="CD31" s="505">
        <v>0.0</v>
      </c>
      <c r="CE31" s="419">
        <v>2500.0</v>
      </c>
      <c r="CF31" s="505"/>
      <c r="CG31" s="419">
        <v>2500.0</v>
      </c>
      <c r="CH31" s="505">
        <v>0.0</v>
      </c>
      <c r="CI31" s="419">
        <v>2500.0</v>
      </c>
      <c r="CJ31" s="505">
        <v>0.0</v>
      </c>
      <c r="CK31" s="419">
        <v>2500.0</v>
      </c>
      <c r="CL31" s="505"/>
      <c r="CM31" s="419">
        <v>2500.0</v>
      </c>
      <c r="CN31" s="505"/>
      <c r="CO31" s="277">
        <f>CO24/CO29</f>
        <v>1476.190476</v>
      </c>
      <c r="CP31" s="499">
        <f>CP27/CP29</f>
        <v>0</v>
      </c>
      <c r="CQ31" s="469">
        <f t="shared" si="11"/>
        <v>0</v>
      </c>
      <c r="CR31" s="470" t="str">
        <f>IFERROR(__xludf.DUMMYFUNCTION("IFERROR(SPARKLINE(CQ31,{""charttype"",""bar"";""color1"",IF(CQ31&gt;='Май'!green_percent,'Май'!green,IF(CQ31&gt;='Май'!yellow_percent,'Май'!yellow,IF(CQ31&gt;='Май'!orange_percent,'Май'!orange,'Май'!red)));""max"",1}))"),"")</f>
        <v/>
      </c>
      <c r="CS31" s="489"/>
      <c r="CT31" s="400"/>
      <c r="CU31" s="490"/>
      <c r="CV31" s="506"/>
      <c r="CW31" s="506"/>
      <c r="CX31" s="506"/>
      <c r="CY31" s="506"/>
      <c r="CZ31" s="506"/>
      <c r="DA31" s="506"/>
      <c r="DB31" s="506"/>
      <c r="DC31" s="506"/>
      <c r="DD31" s="506"/>
      <c r="DE31" s="506"/>
      <c r="DF31" s="506"/>
      <c r="DG31" s="507"/>
      <c r="DH31" s="508"/>
      <c r="DI31" s="509"/>
      <c r="DJ31" s="510"/>
      <c r="DK31" s="511"/>
      <c r="DL31" s="512"/>
    </row>
    <row r="32">
      <c r="A32" s="240"/>
      <c r="B32" s="410" t="s">
        <v>37</v>
      </c>
      <c r="C32" s="242"/>
      <c r="D32" s="242"/>
      <c r="E32" s="243"/>
      <c r="F32" s="530">
        <v>16.0</v>
      </c>
      <c r="G32" s="244">
        <f>V32+AN32+BF32+BX32+CP32</f>
        <v>16</v>
      </c>
      <c r="H32" s="412">
        <f t="shared" si="46"/>
        <v>1</v>
      </c>
      <c r="I32" s="413" t="str">
        <f>IFERROR(__xludf.DUMMYFUNCTION("IFERROR(SPARKLINE(H32,{""charttype"",""bar"";""color1"",IF(H32&gt;='Май'!green_percent,'Май'!green,IF(H32&gt;='Май'!yellow_percent,'Май'!yellow,IF(H32&gt;='Май'!orange_percent,'Май'!orange,'Май'!red)));""max"",1}))"),"")</f>
        <v/>
      </c>
      <c r="J32" s="414"/>
      <c r="K32" s="482"/>
      <c r="L32" s="416"/>
      <c r="M32" s="483"/>
      <c r="N32" s="418"/>
      <c r="O32" s="484">
        <v>0.5333333333333333</v>
      </c>
      <c r="P32" s="416">
        <v>0.0</v>
      </c>
      <c r="Q32" s="484">
        <v>0.5333333333333333</v>
      </c>
      <c r="R32" s="416">
        <v>0.0</v>
      </c>
      <c r="S32" s="485">
        <v>0.5333333333333333</v>
      </c>
      <c r="T32" s="418">
        <v>0.0</v>
      </c>
      <c r="U32" s="531">
        <f t="shared" ref="U32:V32" si="82">O32+Q32+S32</f>
        <v>1.6</v>
      </c>
      <c r="V32" s="486">
        <f t="shared" si="82"/>
        <v>0</v>
      </c>
      <c r="W32" s="412">
        <f t="shared" si="49"/>
        <v>0</v>
      </c>
      <c r="X32" s="424" t="str">
        <f>IFERROR(__xludf.DUMMYFUNCTION("IFERROR(SPARKLINE(W32,{""charttype"",""bar"";""color1"",IF(W32&gt;='Май'!green_percent,'Май'!green,IF(W32&gt;='Май'!yellow_percent,'Май'!yellow,IF(W32&gt;='Май'!orange_percent,'Май'!orange,'Май'!red)));""max"",1}))"),"")</f>
        <v/>
      </c>
      <c r="Y32" s="483">
        <v>0.5333333333333333</v>
      </c>
      <c r="Z32" s="416">
        <v>1.0</v>
      </c>
      <c r="AA32" s="483">
        <v>0.5333333333333333</v>
      </c>
      <c r="AB32" s="416">
        <v>2.0</v>
      </c>
      <c r="AC32" s="483">
        <v>0.5333333333333333</v>
      </c>
      <c r="AD32" s="416">
        <v>0.0</v>
      </c>
      <c r="AE32" s="483">
        <v>0.5333333333333333</v>
      </c>
      <c r="AF32" s="416">
        <v>0.0</v>
      </c>
      <c r="AG32" s="483">
        <v>0.5333333333333333</v>
      </c>
      <c r="AH32" s="416">
        <v>0.0</v>
      </c>
      <c r="AI32" s="483">
        <v>0.5333333333333333</v>
      </c>
      <c r="AJ32" s="416">
        <v>0.0</v>
      </c>
      <c r="AK32" s="483">
        <v>0.5333333333333333</v>
      </c>
      <c r="AL32" s="416">
        <v>0.0</v>
      </c>
      <c r="AM32" s="255">
        <f t="shared" ref="AM32:AN32" si="83">Y32+AA32+AC32+AE32+AG32+AI32+AK32</f>
        <v>3.733333333</v>
      </c>
      <c r="AN32" s="486">
        <f t="shared" si="83"/>
        <v>3</v>
      </c>
      <c r="AO32" s="253">
        <f t="shared" si="51"/>
        <v>0.8035714286</v>
      </c>
      <c r="AP32" s="427" t="str">
        <f>IFERROR(__xludf.DUMMYFUNCTION("IFERROR(SPARKLINE(AO32,{""charttype"",""bar"";""color1"",IF(AO32&gt;='Май'!green_percent,'Май'!green,IF(AO32&gt;='Май'!yellow_percent,'Май'!yellow,IF(AO32&gt;='Май'!orange_percent,'Май'!orange,'Май'!red)));""max"",1}))"),"")</f>
        <v/>
      </c>
      <c r="AQ32" s="483">
        <v>0.5333333333333333</v>
      </c>
      <c r="AR32" s="416">
        <v>0.0</v>
      </c>
      <c r="AS32" s="483">
        <v>0.5333333333333333</v>
      </c>
      <c r="AT32" s="416">
        <v>2.0</v>
      </c>
      <c r="AU32" s="483">
        <v>0.5333333333333333</v>
      </c>
      <c r="AV32" s="416">
        <v>2.0</v>
      </c>
      <c r="AW32" s="483">
        <v>0.5333333333333333</v>
      </c>
      <c r="AX32" s="416">
        <v>0.0</v>
      </c>
      <c r="AY32" s="483">
        <v>0.5333333333333333</v>
      </c>
      <c r="AZ32" s="416">
        <v>1.0</v>
      </c>
      <c r="BA32" s="483">
        <v>0.5333333333333333</v>
      </c>
      <c r="BB32" s="416">
        <v>0.0</v>
      </c>
      <c r="BC32" s="483">
        <v>0.5333333333333333</v>
      </c>
      <c r="BD32" s="416">
        <v>0.0</v>
      </c>
      <c r="BE32" s="255">
        <f t="shared" ref="BE32:BF32" si="84">AQ32+AS32+AU32+AW32+AY32+BA32+BC32</f>
        <v>3.733333333</v>
      </c>
      <c r="BF32" s="486">
        <f t="shared" si="84"/>
        <v>5</v>
      </c>
      <c r="BG32" s="429">
        <f t="shared" si="53"/>
        <v>1.339285714</v>
      </c>
      <c r="BH32" s="430" t="str">
        <f>IFERROR(__xludf.DUMMYFUNCTION("IFERROR(SPARKLINE(BG32,{""charttype"",""bar"";""color1"",IF(BG32&gt;='Май'!green_percent,'Май'!green,IF(BG32&gt;='Май'!yellow_percent,'Май'!yellow,IF(BG32&gt;='Май'!orange_percent,'Май'!orange,'Май'!red)));""max"",1}))"),"")</f>
        <v/>
      </c>
      <c r="BI32" s="483">
        <v>0.5333333333333333</v>
      </c>
      <c r="BJ32" s="487">
        <v>0.0</v>
      </c>
      <c r="BK32" s="483">
        <v>0.5333333333333333</v>
      </c>
      <c r="BL32" s="487">
        <v>0.0</v>
      </c>
      <c r="BM32" s="483">
        <v>0.5333333333333333</v>
      </c>
      <c r="BN32" s="487">
        <v>1.0</v>
      </c>
      <c r="BO32" s="483">
        <v>0.5333333333333333</v>
      </c>
      <c r="BP32" s="487">
        <v>3.0</v>
      </c>
      <c r="BQ32" s="483">
        <v>0.5333333333333333</v>
      </c>
      <c r="BR32" s="487">
        <v>0.0</v>
      </c>
      <c r="BS32" s="483">
        <v>0.5333333333333333</v>
      </c>
      <c r="BT32" s="487">
        <v>0.0</v>
      </c>
      <c r="BU32" s="483">
        <v>0.5333333333333333</v>
      </c>
      <c r="BV32" s="487">
        <v>0.0</v>
      </c>
      <c r="BW32" s="255">
        <v>3.733333333333333</v>
      </c>
      <c r="BX32" s="486">
        <f>BJ32+BL32+BN32+BP32+BR32+BT32+BV32</f>
        <v>4</v>
      </c>
      <c r="BY32" s="429">
        <f t="shared" si="55"/>
        <v>1.071428571</v>
      </c>
      <c r="BZ32" s="430" t="str">
        <f>IFERROR(__xludf.DUMMYFUNCTION("IFERROR(SPARKLINE(BY32,{""charttype"",""bar"";""color1"",IF(BY32&gt;='Май'!green_percent,'Май'!green,IF(BY32&gt;='Май'!yellow_percent,'Май'!yellow,IF(BY32&gt;='Май'!orange_percent,'Май'!orange,'Май'!red)));""max"",1}))"),"")</f>
        <v/>
      </c>
      <c r="CA32" s="483">
        <v>0.5333333333333333</v>
      </c>
      <c r="CB32" s="435">
        <v>0.0</v>
      </c>
      <c r="CC32" s="483">
        <v>0.5333333333333333</v>
      </c>
      <c r="CD32" s="435">
        <v>1.0</v>
      </c>
      <c r="CE32" s="483">
        <v>0.5333333333333333</v>
      </c>
      <c r="CF32" s="435">
        <v>0.0</v>
      </c>
      <c r="CG32" s="483">
        <v>0.5333333333333333</v>
      </c>
      <c r="CH32" s="435">
        <v>3.0</v>
      </c>
      <c r="CI32" s="483">
        <v>0.5333333333333333</v>
      </c>
      <c r="CJ32" s="435">
        <v>2.0</v>
      </c>
      <c r="CK32" s="483">
        <v>0.5333333333333333</v>
      </c>
      <c r="CL32" s="435">
        <v>0.0</v>
      </c>
      <c r="CM32" s="483">
        <v>0.5333333333333333</v>
      </c>
      <c r="CN32" s="435">
        <v>0.0</v>
      </c>
      <c r="CO32" s="257">
        <f>CA32+CC32+CE32+CG32+CI32+CK32+CM32</f>
        <v>3.733333333</v>
      </c>
      <c r="CP32" s="486">
        <f>CB32+CD32+CF32+CH32</f>
        <v>4</v>
      </c>
      <c r="CQ32" s="207">
        <f t="shared" si="11"/>
        <v>1.071428571</v>
      </c>
      <c r="CR32" s="208" t="str">
        <f>IFERROR(__xludf.DUMMYFUNCTION("IFERROR(SPARKLINE(CQ32,{""charttype"",""bar"";""color1"",IF(CQ32&gt;='Май'!green_percent,'Май'!green,IF(CQ32&gt;='Май'!yellow_percent,'Май'!yellow,IF(CQ32&gt;='Май'!orange_percent,'Май'!orange,'Май'!red)));""max"",1}))"),"")</f>
        <v/>
      </c>
      <c r="CS32" s="489"/>
      <c r="CT32" s="438"/>
      <c r="CU32" s="490"/>
      <c r="CV32" s="523"/>
      <c r="CW32" s="523"/>
      <c r="CX32" s="523"/>
      <c r="CY32" s="523"/>
      <c r="CZ32" s="523"/>
      <c r="DA32" s="523"/>
      <c r="DB32" s="523"/>
      <c r="DC32" s="523"/>
      <c r="DD32" s="523"/>
      <c r="DE32" s="523"/>
      <c r="DF32" s="523"/>
      <c r="DG32" s="491"/>
      <c r="DH32" s="524"/>
      <c r="DI32" s="525"/>
      <c r="DJ32" s="494"/>
      <c r="DK32" s="446"/>
      <c r="DL32" s="447"/>
    </row>
    <row r="33">
      <c r="A33" s="215"/>
      <c r="B33" s="269" t="s">
        <v>38</v>
      </c>
      <c r="C33" s="217"/>
      <c r="D33" s="217"/>
      <c r="E33" s="218"/>
      <c r="F33" s="220">
        <f t="shared" ref="F33:G33" si="85">F32/F29</f>
        <v>0.8</v>
      </c>
      <c r="G33" s="220">
        <f t="shared" si="85"/>
        <v>0.6666666667</v>
      </c>
      <c r="H33" s="220">
        <f t="shared" si="46"/>
        <v>0.8333333333</v>
      </c>
      <c r="I33" s="449" t="str">
        <f>IFERROR(__xludf.DUMMYFUNCTION("IFERROR(SPARKLINE(H33,{""charttype"",""bar"";""color1"",IF(H33&gt;='Май'!green_percent,'Май'!green,IF(H33&gt;='Май'!yellow_percent,'Май'!yellow,IF(H33&gt;='Май'!orange_percent,'Май'!orange,'Май'!red)));""max"",1}))"),"")</f>
        <v/>
      </c>
      <c r="J33" s="237"/>
      <c r="K33" s="513"/>
      <c r="L33" s="496"/>
      <c r="M33" s="515"/>
      <c r="N33" s="418"/>
      <c r="O33" s="518">
        <v>0.8266666666666667</v>
      </c>
      <c r="P33" s="517" t="str">
        <f>P32/P29</f>
        <v>#DIV/0!</v>
      </c>
      <c r="Q33" s="518">
        <v>0.8266666666666667</v>
      </c>
      <c r="R33" s="416"/>
      <c r="S33" s="519">
        <v>0.8266666666666667</v>
      </c>
      <c r="T33" s="520"/>
      <c r="U33" s="348">
        <f t="shared" ref="U33:V33" si="86">U32/U29</f>
        <v>0.8266666667</v>
      </c>
      <c r="V33" s="279" t="str">
        <f t="shared" si="86"/>
        <v>#DIV/0!</v>
      </c>
      <c r="W33" s="220" t="str">
        <f t="shared" si="49"/>
        <v/>
      </c>
      <c r="X33" s="458" t="str">
        <f>IFERROR(__xludf.DUMMYFUNCTION("IFERROR(SPARKLINE(W33,{""charttype"",""bar"";""color1"",IF(W33&gt;='Май'!green_percent,'Май'!green,IF(W33&gt;='Май'!yellow_percent,'Май'!yellow,IF(W33&gt;='Май'!orange_percent,'Май'!orange,'Май'!red)));""max"",1}))"),"")</f>
        <v/>
      </c>
      <c r="Y33" s="518">
        <v>0.8266666666666667</v>
      </c>
      <c r="Z33" s="514">
        <f>Z32/Z29</f>
        <v>0.5</v>
      </c>
      <c r="AA33" s="518">
        <v>0.8266666666666667</v>
      </c>
      <c r="AB33" s="514">
        <f>AB32/AB29</f>
        <v>1</v>
      </c>
      <c r="AC33" s="518">
        <v>0.8266666666666667</v>
      </c>
      <c r="AD33" s="496"/>
      <c r="AE33" s="518">
        <v>0.8266666666666667</v>
      </c>
      <c r="AF33" s="514">
        <f>AF32/AF29</f>
        <v>0</v>
      </c>
      <c r="AG33" s="518">
        <v>0.8266666666666667</v>
      </c>
      <c r="AH33" s="514">
        <f>AH32/AH29</f>
        <v>0</v>
      </c>
      <c r="AI33" s="518">
        <v>0.8266666666666667</v>
      </c>
      <c r="AJ33" s="496"/>
      <c r="AK33" s="518">
        <v>0.8266666666666667</v>
      </c>
      <c r="AL33" s="496"/>
      <c r="AM33" s="348">
        <f t="shared" ref="AM33:AN33" si="87">AM32/AM29</f>
        <v>0.8266666667</v>
      </c>
      <c r="AN33" s="279">
        <f t="shared" si="87"/>
        <v>0.5</v>
      </c>
      <c r="AO33" s="279">
        <f t="shared" si="51"/>
        <v>0.6048387097</v>
      </c>
      <c r="AP33" s="462" t="str">
        <f>IFERROR(__xludf.DUMMYFUNCTION("IFERROR(SPARKLINE(AO33,{""charttype"",""bar"";""color1"",IF(AO33&gt;='Май'!green_percent,'Май'!green,IF(AO33&gt;='Май'!yellow_percent,'Май'!yellow,IF(AO33&gt;='Май'!orange_percent,'Май'!orange,'Май'!red)));""max"",1}))"),"")</f>
        <v/>
      </c>
      <c r="AQ33" s="518">
        <v>0.8266666666666667</v>
      </c>
      <c r="AR33" s="416"/>
      <c r="AS33" s="518">
        <v>0.8266666666666667</v>
      </c>
      <c r="AT33" s="517">
        <f>AT32/AT29</f>
        <v>0.6666666667</v>
      </c>
      <c r="AU33" s="518">
        <v>0.8266666666666667</v>
      </c>
      <c r="AV33" s="517">
        <f>AV32/AV29</f>
        <v>1</v>
      </c>
      <c r="AW33" s="518">
        <v>0.8266666666666667</v>
      </c>
      <c r="AX33" s="416"/>
      <c r="AY33" s="518">
        <v>0.8266666666666667</v>
      </c>
      <c r="AZ33" s="517">
        <f>AZ32/AZ29</f>
        <v>1</v>
      </c>
      <c r="BA33" s="518">
        <v>0.8266666666666667</v>
      </c>
      <c r="BB33" s="416"/>
      <c r="BC33" s="518">
        <v>0.8266666666666667</v>
      </c>
      <c r="BD33" s="416"/>
      <c r="BE33" s="348">
        <v>0.8266666666666667</v>
      </c>
      <c r="BF33" s="279">
        <f>BF32/BF29</f>
        <v>0.8333333333</v>
      </c>
      <c r="BG33" s="376">
        <f t="shared" si="53"/>
        <v>1.008064516</v>
      </c>
      <c r="BH33" s="377" t="str">
        <f>IFERROR(__xludf.DUMMYFUNCTION("IFERROR(SPARKLINE(BG33,{""charttype"",""bar"";""color1"",IF(BG33&gt;='Май'!green_percent,'Май'!green,IF(BG33&gt;='Май'!yellow_percent,'Май'!yellow,IF(BG33&gt;='Май'!orange_percent,'Май'!orange,'Май'!red)));""max"",1}))"),"")</f>
        <v/>
      </c>
      <c r="BI33" s="518">
        <v>0.8266666666666667</v>
      </c>
      <c r="BJ33" s="532">
        <f>BJ32/BJ29</f>
        <v>0</v>
      </c>
      <c r="BK33" s="518">
        <v>0.8266666666666667</v>
      </c>
      <c r="BL33" s="532">
        <f>BL32/BL29</f>
        <v>0</v>
      </c>
      <c r="BM33" s="518">
        <v>0.8266666666666667</v>
      </c>
      <c r="BN33" s="532">
        <f>BN32/BN29</f>
        <v>1</v>
      </c>
      <c r="BO33" s="518">
        <v>0.8266666666666667</v>
      </c>
      <c r="BP33" s="532">
        <f>BP32/BP29</f>
        <v>0.75</v>
      </c>
      <c r="BQ33" s="518">
        <v>0.8266666666666667</v>
      </c>
      <c r="BR33" s="532" t="str">
        <f>BR32/BR29</f>
        <v>#DIV/0!</v>
      </c>
      <c r="BS33" s="518">
        <v>0.8266666666666667</v>
      </c>
      <c r="BT33" s="527"/>
      <c r="BU33" s="518">
        <v>0.8266666666666667</v>
      </c>
      <c r="BV33" s="527"/>
      <c r="BW33" s="348">
        <v>0.8266666666666667</v>
      </c>
      <c r="BX33" s="279">
        <f>BX32/BX29</f>
        <v>0.5714285714</v>
      </c>
      <c r="BY33" s="376">
        <f t="shared" si="55"/>
        <v>0.6912442396</v>
      </c>
      <c r="BZ33" s="377" t="str">
        <f>IFERROR(__xludf.DUMMYFUNCTION("IFERROR(SPARKLINE(BY33,{""charttype"",""bar"";""color1"",IF(BY33&gt;='Май'!green_percent,'Май'!green,IF(BY33&gt;='Май'!yellow_percent,'Май'!yellow,IF(BY33&gt;='Май'!orange_percent,'Май'!orange,'Май'!red)));""max"",1}))"),"")</f>
        <v/>
      </c>
      <c r="CA33" s="518">
        <v>0.8266666666666667</v>
      </c>
      <c r="CB33" s="533" t="str">
        <f>CB32/CB29</f>
        <v>#DIV/0!</v>
      </c>
      <c r="CC33" s="518">
        <v>0.8266666666666667</v>
      </c>
      <c r="CD33" s="533">
        <f>CD32/CD29</f>
        <v>1</v>
      </c>
      <c r="CE33" s="518">
        <v>0.8266666666666667</v>
      </c>
      <c r="CF33" s="505"/>
      <c r="CG33" s="518">
        <v>0.8266666666666667</v>
      </c>
      <c r="CH33" s="533">
        <f>CH32/CH29</f>
        <v>0.75</v>
      </c>
      <c r="CI33" s="518">
        <v>0.8266666666666667</v>
      </c>
      <c r="CJ33" s="533">
        <f>CJ32/CJ29</f>
        <v>1</v>
      </c>
      <c r="CK33" s="518">
        <v>0.8266666666666667</v>
      </c>
      <c r="CL33" s="505"/>
      <c r="CM33" s="518">
        <v>0.8266666666666667</v>
      </c>
      <c r="CN33" s="505"/>
      <c r="CO33" s="348">
        <f t="shared" ref="CO33:CP33" si="88">CO32/CO29</f>
        <v>0.8266666667</v>
      </c>
      <c r="CP33" s="279">
        <f t="shared" si="88"/>
        <v>0.8</v>
      </c>
      <c r="CQ33" s="469">
        <f t="shared" si="11"/>
        <v>0.9677419355</v>
      </c>
      <c r="CR33" s="470" t="str">
        <f>IFERROR(__xludf.DUMMYFUNCTION("IFERROR(SPARKLINE(CQ33,{""charttype"",""bar"";""color1"",IF(CQ33&gt;='Май'!green_percent,'Май'!green,IF(CQ33&gt;='Май'!yellow_percent,'Май'!yellow,IF(CQ33&gt;='Май'!orange_percent,'Май'!orange,'Май'!red)));""max"",1}))"),"")</f>
        <v/>
      </c>
      <c r="CS33" s="489"/>
      <c r="CT33" s="400"/>
      <c r="CU33" s="490"/>
      <c r="CV33" s="506"/>
      <c r="CW33" s="506"/>
      <c r="CX33" s="506"/>
      <c r="CY33" s="506"/>
      <c r="CZ33" s="506"/>
      <c r="DA33" s="506"/>
      <c r="DB33" s="506"/>
      <c r="DC33" s="506"/>
      <c r="DD33" s="506"/>
      <c r="DE33" s="506"/>
      <c r="DF33" s="506"/>
      <c r="DG33" s="507"/>
      <c r="DH33" s="508"/>
      <c r="DI33" s="509"/>
      <c r="DJ33" s="510"/>
      <c r="DK33" s="511"/>
      <c r="DL33" s="512"/>
    </row>
    <row r="34">
      <c r="A34" s="240"/>
      <c r="B34" s="410" t="s">
        <v>26</v>
      </c>
      <c r="C34" s="242"/>
      <c r="D34" s="242"/>
      <c r="E34" s="243"/>
      <c r="F34" s="244">
        <v>1.0</v>
      </c>
      <c r="G34" s="244">
        <f t="shared" ref="G34:G35" si="92">V34+AN34+BF34+BX34+CP34</f>
        <v>1</v>
      </c>
      <c r="H34" s="412">
        <f t="shared" si="46"/>
        <v>1</v>
      </c>
      <c r="I34" s="413" t="str">
        <f>IFERROR(__xludf.DUMMYFUNCTION("IFERROR(SPARKLINE(H34,{""charttype"",""bar"";""color1"",IF(H34&gt;='Май'!green_percent,'Май'!green,IF(H34&gt;='Май'!yellow_percent,'Май'!yellow,IF(H34&gt;='Май'!orange_percent,'Май'!orange,'Май'!red)));""max"",1}))"),"")</f>
        <v/>
      </c>
      <c r="J34" s="414"/>
      <c r="K34" s="482"/>
      <c r="L34" s="416"/>
      <c r="M34" s="483"/>
      <c r="N34" s="418"/>
      <c r="O34" s="484">
        <v>0.03225806451612903</v>
      </c>
      <c r="P34" s="416">
        <v>0.0</v>
      </c>
      <c r="Q34" s="484">
        <v>0.03225806451612903</v>
      </c>
      <c r="R34" s="416">
        <v>0.0</v>
      </c>
      <c r="S34" s="485">
        <v>0.03225806451612903</v>
      </c>
      <c r="T34" s="418">
        <v>0.0</v>
      </c>
      <c r="U34" s="531">
        <f t="shared" ref="U34:V34" si="89">O34+Q34+S34</f>
        <v>0.09677419355</v>
      </c>
      <c r="V34" s="534">
        <f t="shared" si="89"/>
        <v>0</v>
      </c>
      <c r="W34" s="412">
        <f t="shared" si="49"/>
        <v>0</v>
      </c>
      <c r="X34" s="424" t="str">
        <f>IFERROR(__xludf.DUMMYFUNCTION("IFERROR(SPARKLINE(W34,{""charttype"",""bar"";""color1"",IF(W34&gt;='Май'!green_percent,'Май'!green,IF(W34&gt;='Май'!yellow_percent,'Май'!yellow,IF(W34&gt;='Май'!orange_percent,'Май'!orange,'Май'!red)));""max"",1}))"),"")</f>
        <v/>
      </c>
      <c r="Y34" s="483">
        <v>0.03225806451612903</v>
      </c>
      <c r="Z34" s="416">
        <v>1.0</v>
      </c>
      <c r="AA34" s="483">
        <v>0.03225806451612903</v>
      </c>
      <c r="AB34" s="416">
        <v>0.0</v>
      </c>
      <c r="AC34" s="483">
        <v>0.03225806451612903</v>
      </c>
      <c r="AD34" s="496"/>
      <c r="AE34" s="483">
        <v>0.03225806451612903</v>
      </c>
      <c r="AF34" s="416">
        <v>0.0</v>
      </c>
      <c r="AG34" s="483">
        <v>0.03225806451612903</v>
      </c>
      <c r="AH34" s="416">
        <v>0.0</v>
      </c>
      <c r="AI34" s="483">
        <v>0.03225806451612903</v>
      </c>
      <c r="AJ34" s="416">
        <v>0.0</v>
      </c>
      <c r="AK34" s="483">
        <v>0.03225806451612903</v>
      </c>
      <c r="AL34" s="416">
        <v>0.0</v>
      </c>
      <c r="AM34" s="535">
        <f t="shared" ref="AM34:AN34" si="90">Y34+AA34+AC34+AE34+AG34+AI34+AK34</f>
        <v>0.2258064516</v>
      </c>
      <c r="AN34" s="486">
        <f t="shared" si="90"/>
        <v>1</v>
      </c>
      <c r="AO34" s="253">
        <f t="shared" si="51"/>
        <v>4.428571429</v>
      </c>
      <c r="AP34" s="427" t="str">
        <f>IFERROR(__xludf.DUMMYFUNCTION("IFERROR(SPARKLINE(AO34,{""charttype"",""bar"";""color1"",IF(AO34&gt;='Май'!green_percent,'Май'!green,IF(AO34&gt;='Май'!yellow_percent,'Май'!yellow,IF(AO34&gt;='Май'!orange_percent,'Май'!orange,'Май'!red)));""max"",1}))"),"")</f>
        <v/>
      </c>
      <c r="AQ34" s="483">
        <v>0.03225806451612903</v>
      </c>
      <c r="AR34" s="416">
        <v>0.0</v>
      </c>
      <c r="AS34" s="483">
        <v>0.03225806451612903</v>
      </c>
      <c r="AT34" s="416">
        <v>0.0</v>
      </c>
      <c r="AU34" s="483">
        <v>0.03225806451612903</v>
      </c>
      <c r="AV34" s="416">
        <v>0.0</v>
      </c>
      <c r="AW34" s="483">
        <v>0.03225806451612903</v>
      </c>
      <c r="AX34" s="416">
        <v>0.0</v>
      </c>
      <c r="AY34" s="483">
        <v>0.03225806451612903</v>
      </c>
      <c r="AZ34" s="416">
        <v>0.0</v>
      </c>
      <c r="BA34" s="483">
        <v>0.03225806451612903</v>
      </c>
      <c r="BB34" s="416">
        <v>0.0</v>
      </c>
      <c r="BC34" s="483">
        <v>0.03225806451612903</v>
      </c>
      <c r="BD34" s="416">
        <v>0.0</v>
      </c>
      <c r="BE34" s="535">
        <f t="shared" ref="BE34:BF34" si="91">AQ34+AS34+AU34+AW34+AY34+BA34+BC34</f>
        <v>0.2258064516</v>
      </c>
      <c r="BF34" s="486">
        <f t="shared" si="91"/>
        <v>0</v>
      </c>
      <c r="BG34" s="429">
        <f t="shared" si="53"/>
        <v>0</v>
      </c>
      <c r="BH34" s="430" t="str">
        <f>IFERROR(__xludf.DUMMYFUNCTION("IFERROR(SPARKLINE(BG34,{""charttype"",""bar"";""color1"",IF(BG34&gt;='Май'!green_percent,'Май'!green,IF(BG34&gt;='Май'!yellow_percent,'Май'!yellow,IF(BG34&gt;='Май'!orange_percent,'Май'!orange,'Май'!red)));""max"",1}))"),"")</f>
        <v/>
      </c>
      <c r="BI34" s="483">
        <v>0.03225806451612903</v>
      </c>
      <c r="BJ34" s="487">
        <v>0.0</v>
      </c>
      <c r="BK34" s="483">
        <v>0.03225806451612903</v>
      </c>
      <c r="BL34" s="487">
        <v>0.0</v>
      </c>
      <c r="BM34" s="483">
        <v>0.03225806451612903</v>
      </c>
      <c r="BN34" s="487">
        <v>0.0</v>
      </c>
      <c r="BO34" s="483">
        <v>0.03225806451612903</v>
      </c>
      <c r="BP34" s="487">
        <v>0.0</v>
      </c>
      <c r="BQ34" s="483">
        <v>0.03225806451612903</v>
      </c>
      <c r="BR34" s="487">
        <v>0.0</v>
      </c>
      <c r="BS34" s="483">
        <v>0.03225806451612903</v>
      </c>
      <c r="BT34" s="487">
        <v>0.0</v>
      </c>
      <c r="BU34" s="483">
        <v>0.03225806451612903</v>
      </c>
      <c r="BV34" s="487">
        <v>0.0</v>
      </c>
      <c r="BW34" s="535">
        <v>0.22580645161290322</v>
      </c>
      <c r="BX34" s="486">
        <f t="shared" ref="BX34:BX35" si="95">BJ34+BL34+BN34+BP34+BR34+BT34+BV34</f>
        <v>0</v>
      </c>
      <c r="BY34" s="429">
        <f t="shared" si="55"/>
        <v>0</v>
      </c>
      <c r="BZ34" s="430" t="str">
        <f>IFERROR(__xludf.DUMMYFUNCTION("IFERROR(SPARKLINE(BY34,{""charttype"",""bar"";""color1"",IF(BY34&gt;='Май'!green_percent,'Май'!green,IF(BY34&gt;='Май'!yellow_percent,'Май'!yellow,IF(BY34&gt;='Май'!orange_percent,'Май'!orange,'Май'!red)));""max"",1}))"),"")</f>
        <v/>
      </c>
      <c r="CA34" s="483">
        <v>0.03225806451612903</v>
      </c>
      <c r="CB34" s="435">
        <v>0.0</v>
      </c>
      <c r="CC34" s="483">
        <v>0.03225806451612903</v>
      </c>
      <c r="CD34" s="435">
        <v>0.0</v>
      </c>
      <c r="CE34" s="483">
        <v>0.03225806451612903</v>
      </c>
      <c r="CF34" s="435">
        <v>0.0</v>
      </c>
      <c r="CG34" s="483">
        <v>0.03225806451612903</v>
      </c>
      <c r="CH34" s="435">
        <v>0.0</v>
      </c>
      <c r="CI34" s="483">
        <v>0.03225806451612903</v>
      </c>
      <c r="CJ34" s="435">
        <v>0.0</v>
      </c>
      <c r="CK34" s="483">
        <v>0.03225806451612903</v>
      </c>
      <c r="CL34" s="435">
        <v>0.0</v>
      </c>
      <c r="CM34" s="483">
        <v>0.03225806451612903</v>
      </c>
      <c r="CN34" s="435">
        <v>0.0</v>
      </c>
      <c r="CO34" s="1197">
        <f>CA34+CC34+CE34+CG34+CI34+CK34+CM34</f>
        <v>0.2258064516</v>
      </c>
      <c r="CP34" s="486">
        <f t="shared" ref="CP34:CP35" si="96">CB34+CD34+CF34+CH34</f>
        <v>0</v>
      </c>
      <c r="CQ34" s="207">
        <f t="shared" si="11"/>
        <v>0</v>
      </c>
      <c r="CR34" s="208" t="str">
        <f>IFERROR(__xludf.DUMMYFUNCTION("IFERROR(SPARKLINE(CQ34,{""charttype"",""bar"";""color1"",IF(CQ34&gt;='Май'!green_percent,'Май'!green,IF(CQ34&gt;='Май'!yellow_percent,'Май'!yellow,IF(CQ34&gt;='Май'!orange_percent,'Май'!orange,'Май'!red)));""max"",1}))"),"")</f>
        <v/>
      </c>
      <c r="CS34" s="489"/>
      <c r="CT34" s="438"/>
      <c r="CU34" s="490"/>
      <c r="CV34" s="523"/>
      <c r="CW34" s="523"/>
      <c r="CX34" s="523"/>
      <c r="CY34" s="523"/>
      <c r="CZ34" s="523"/>
      <c r="DA34" s="523"/>
      <c r="DB34" s="523"/>
      <c r="DC34" s="523"/>
      <c r="DD34" s="523"/>
      <c r="DE34" s="523"/>
      <c r="DF34" s="523"/>
      <c r="DG34" s="491"/>
      <c r="DH34" s="524"/>
      <c r="DI34" s="525"/>
      <c r="DJ34" s="494"/>
      <c r="DK34" s="446"/>
      <c r="DL34" s="447"/>
    </row>
    <row r="35">
      <c r="A35" s="215"/>
      <c r="B35" s="269" t="s">
        <v>39</v>
      </c>
      <c r="C35" s="217"/>
      <c r="D35" s="217"/>
      <c r="E35" s="218"/>
      <c r="F35" s="270">
        <v>200000.0</v>
      </c>
      <c r="G35" s="270">
        <f t="shared" si="92"/>
        <v>2090000</v>
      </c>
      <c r="H35" s="220">
        <f t="shared" si="46"/>
        <v>10.45</v>
      </c>
      <c r="I35" s="449" t="str">
        <f>IFERROR(__xludf.DUMMYFUNCTION("IFERROR(SPARKLINE(H35,{""charttype"",""bar"";""color1"",IF(H35&gt;='Май'!green_percent,'Май'!green,IF(H35&gt;='Май'!yellow_percent,'Май'!yellow,IF(H35&gt;='Май'!orange_percent,'Май'!orange,'Май'!red)));""max"",1}))"),"")</f>
        <v/>
      </c>
      <c r="J35" s="237"/>
      <c r="K35" s="536"/>
      <c r="L35" s="420"/>
      <c r="M35" s="497"/>
      <c r="N35" s="422"/>
      <c r="O35" s="419">
        <v>6666.666666666667</v>
      </c>
      <c r="P35" s="420"/>
      <c r="Q35" s="419">
        <v>6666.666666666667</v>
      </c>
      <c r="R35" s="420"/>
      <c r="S35" s="421">
        <v>6666.666666666667</v>
      </c>
      <c r="T35" s="498"/>
      <c r="U35" s="333">
        <f t="shared" ref="U35:V35" si="93">O35+Q35+S35</f>
        <v>20000</v>
      </c>
      <c r="V35" s="464">
        <f t="shared" si="93"/>
        <v>0</v>
      </c>
      <c r="W35" s="220">
        <f t="shared" si="49"/>
        <v>0</v>
      </c>
      <c r="X35" s="458" t="str">
        <f>IFERROR(__xludf.DUMMYFUNCTION("IFERROR(SPARKLINE(W35,{""charttype"",""bar"";""color1"",IF(W35&gt;='Май'!green_percent,'Май'!green,IF(W35&gt;='Май'!yellow_percent,'Май'!yellow,IF(W35&gt;='Май'!orange_percent,'Май'!orange,'Май'!red)));""max"",1}))"),"")</f>
        <v/>
      </c>
      <c r="Y35" s="419">
        <v>6666.666666666667</v>
      </c>
      <c r="Z35" s="420">
        <v>2090000.0</v>
      </c>
      <c r="AA35" s="419">
        <v>6666.666666666667</v>
      </c>
      <c r="AB35" s="416">
        <v>0.0</v>
      </c>
      <c r="AC35" s="419">
        <v>6666.666666666667</v>
      </c>
      <c r="AD35" s="496"/>
      <c r="AE35" s="419">
        <v>6666.666666666667</v>
      </c>
      <c r="AF35" s="496"/>
      <c r="AG35" s="419">
        <v>6666.666666666667</v>
      </c>
      <c r="AH35" s="496"/>
      <c r="AI35" s="419">
        <v>6666.666666666667</v>
      </c>
      <c r="AJ35" s="496"/>
      <c r="AK35" s="419">
        <v>6666.666666666667</v>
      </c>
      <c r="AL35" s="496"/>
      <c r="AM35" s="277">
        <f t="shared" ref="AM35:AN35" si="94">Y35+AA35+AC35+AE35+AG35+AI35+AK35</f>
        <v>46666.66667</v>
      </c>
      <c r="AN35" s="499">
        <f t="shared" si="94"/>
        <v>2090000</v>
      </c>
      <c r="AO35" s="279">
        <f t="shared" si="51"/>
        <v>44.78571429</v>
      </c>
      <c r="AP35" s="462" t="str">
        <f>IFERROR(__xludf.DUMMYFUNCTION("IFERROR(SPARKLINE(AO35,{""charttype"",""bar"";""color1"",IF(AO35&gt;='Май'!green_percent,'Май'!green,IF(AO35&gt;='Май'!yellow_percent,'Май'!yellow,IF(AO35&gt;='Май'!orange_percent,'Май'!orange,'Май'!red)));""max"",1}))"),"")</f>
        <v/>
      </c>
      <c r="AQ35" s="419">
        <v>6666.666666666667</v>
      </c>
      <c r="AR35" s="416"/>
      <c r="AS35" s="419">
        <v>6666.666666666667</v>
      </c>
      <c r="AT35" s="416"/>
      <c r="AU35" s="419">
        <v>6666.666666666667</v>
      </c>
      <c r="AV35" s="416"/>
      <c r="AW35" s="419">
        <v>6666.666666666667</v>
      </c>
      <c r="AX35" s="416"/>
      <c r="AY35" s="419">
        <v>6666.666666666667</v>
      </c>
      <c r="AZ35" s="416"/>
      <c r="BA35" s="419">
        <v>6666.666666666667</v>
      </c>
      <c r="BB35" s="416"/>
      <c r="BC35" s="419">
        <v>6666.666666666667</v>
      </c>
      <c r="BD35" s="416"/>
      <c r="BE35" s="277">
        <v>46666.666666666664</v>
      </c>
      <c r="BF35" s="499">
        <f>AR35+AT35+AV35+AX35+AZ35+BB35+BD35</f>
        <v>0</v>
      </c>
      <c r="BG35" s="376">
        <f t="shared" si="53"/>
        <v>0</v>
      </c>
      <c r="BH35" s="377" t="str">
        <f>IFERROR(__xludf.DUMMYFUNCTION("IFERROR(SPARKLINE(BG35,{""charttype"",""bar"";""color1"",IF(BG35&gt;='Май'!green_percent,'Май'!green,IF(BG35&gt;='Май'!yellow_percent,'Май'!yellow,IF(BG35&gt;='Май'!orange_percent,'Май'!orange,'Май'!red)));""max"",1}))"),"")</f>
        <v/>
      </c>
      <c r="BI35" s="419">
        <v>6666.666666666667</v>
      </c>
      <c r="BJ35" s="527"/>
      <c r="BK35" s="419">
        <v>6666.666666666667</v>
      </c>
      <c r="BL35" s="527"/>
      <c r="BM35" s="419">
        <v>6666.666666666667</v>
      </c>
      <c r="BN35" s="527"/>
      <c r="BO35" s="419">
        <v>6666.666666666667</v>
      </c>
      <c r="BP35" s="527"/>
      <c r="BQ35" s="419">
        <v>6666.666666666667</v>
      </c>
      <c r="BR35" s="527"/>
      <c r="BS35" s="419">
        <v>6666.666666666667</v>
      </c>
      <c r="BT35" s="527"/>
      <c r="BU35" s="419">
        <v>6666.666666666667</v>
      </c>
      <c r="BV35" s="527"/>
      <c r="BW35" s="277">
        <v>46666.666666666664</v>
      </c>
      <c r="BX35" s="499">
        <f t="shared" si="95"/>
        <v>0</v>
      </c>
      <c r="BY35" s="376">
        <f t="shared" si="55"/>
        <v>0</v>
      </c>
      <c r="BZ35" s="377" t="str">
        <f>IFERROR(__xludf.DUMMYFUNCTION("IFERROR(SPARKLINE(BY35,{""charttype"",""bar"";""color1"",IF(BY35&gt;='Май'!green_percent,'Май'!green,IF(BY35&gt;='Май'!yellow_percent,'Май'!yellow,IF(BY35&gt;='Май'!orange_percent,'Май'!orange,'Май'!red)));""max"",1}))"),"")</f>
        <v/>
      </c>
      <c r="CA35" s="419">
        <v>6666.666666666667</v>
      </c>
      <c r="CB35" s="505"/>
      <c r="CC35" s="419">
        <v>6666.666666666667</v>
      </c>
      <c r="CD35" s="505"/>
      <c r="CE35" s="419">
        <v>6666.666666666667</v>
      </c>
      <c r="CF35" s="505"/>
      <c r="CG35" s="419">
        <v>6666.666666666667</v>
      </c>
      <c r="CH35" s="505"/>
      <c r="CI35" s="419">
        <v>6666.666666666667</v>
      </c>
      <c r="CJ35" s="505"/>
      <c r="CK35" s="419">
        <v>6666.666666666667</v>
      </c>
      <c r="CL35" s="505"/>
      <c r="CM35" s="419">
        <v>6666.666666666667</v>
      </c>
      <c r="CN35" s="505"/>
      <c r="CO35" s="281">
        <v>26667.0</v>
      </c>
      <c r="CP35" s="464">
        <f t="shared" si="96"/>
        <v>0</v>
      </c>
      <c r="CQ35" s="469">
        <f t="shared" si="11"/>
        <v>0</v>
      </c>
      <c r="CR35" s="470" t="str">
        <f>IFERROR(__xludf.DUMMYFUNCTION("IFERROR(SPARKLINE(CQ35,{""charttype"",""bar"";""color1"",IF(CQ35&gt;='Май'!green_percent,'Май'!green,IF(CQ35&gt;='Май'!yellow_percent,'Май'!yellow,IF(CQ35&gt;='Май'!orange_percent,'Май'!orange,'Май'!red)));""max"",1}))"),"")</f>
        <v/>
      </c>
      <c r="CS35" s="489"/>
      <c r="CT35" s="400"/>
      <c r="CU35" s="490"/>
      <c r="CV35" s="506"/>
      <c r="CW35" s="506"/>
      <c r="CX35" s="506"/>
      <c r="CY35" s="506"/>
      <c r="CZ35" s="506"/>
      <c r="DA35" s="506"/>
      <c r="DB35" s="506"/>
      <c r="DC35" s="506"/>
      <c r="DD35" s="506"/>
      <c r="DE35" s="506"/>
      <c r="DF35" s="506"/>
      <c r="DG35" s="507"/>
      <c r="DH35" s="508"/>
      <c r="DI35" s="509"/>
      <c r="DJ35" s="510"/>
      <c r="DK35" s="511"/>
      <c r="DL35" s="512"/>
    </row>
    <row r="36" ht="19.5" customHeight="1">
      <c r="A36" s="240"/>
      <c r="B36" s="537" t="s">
        <v>40</v>
      </c>
      <c r="C36" s="242"/>
      <c r="D36" s="242"/>
      <c r="E36" s="243"/>
      <c r="F36" s="245">
        <f>F34/F32</f>
        <v>0.0625</v>
      </c>
      <c r="G36" s="245">
        <f>IF(G28=0,0,(G34)/G32)</f>
        <v>0.0625</v>
      </c>
      <c r="H36" s="412">
        <f t="shared" si="46"/>
        <v>1</v>
      </c>
      <c r="I36" s="413" t="str">
        <f>IFERROR(__xludf.DUMMYFUNCTION("IFERROR(SPARKLINE(H36,{""charttype"",""bar"";""color1"",IF(H36&gt;='Май'!green_percent,'Май'!green,IF(H36&gt;='Май'!yellow_percent,'Май'!yellow,IF(H36&gt;='Май'!orange_percent,'Май'!orange,'Май'!red)));""max"",1}))"),"")</f>
        <v/>
      </c>
      <c r="J36" s="414"/>
      <c r="K36" s="538"/>
      <c r="L36" s="539"/>
      <c r="M36" s="515"/>
      <c r="N36" s="422"/>
      <c r="O36" s="518">
        <v>0.06048387096774194</v>
      </c>
      <c r="P36" s="426"/>
      <c r="Q36" s="518">
        <v>0.06048387096774194</v>
      </c>
      <c r="R36" s="426"/>
      <c r="S36" s="519">
        <v>0.06048387096774194</v>
      </c>
      <c r="T36" s="498"/>
      <c r="U36" s="316">
        <f t="shared" ref="U36:V36" si="97">U34/U32</f>
        <v>0.06048387097</v>
      </c>
      <c r="V36" s="253" t="str">
        <f t="shared" si="97"/>
        <v>#DIV/0!</v>
      </c>
      <c r="W36" s="412" t="str">
        <f t="shared" si="49"/>
        <v/>
      </c>
      <c r="X36" s="424" t="str">
        <f>IFERROR(__xludf.DUMMYFUNCTION("IFERROR(SPARKLINE(W36,{""charttype"",""bar"";""color1"",IF(W36&gt;='Май'!green_percent,'Май'!green,IF(W36&gt;='Май'!yellow_percent,'Май'!yellow,IF(W36&gt;='Май'!orange_percent,'Май'!orange,'Май'!red)));""max"",1}))"),"")</f>
        <v/>
      </c>
      <c r="Y36" s="541">
        <v>0.06048387096774194</v>
      </c>
      <c r="Z36" s="1561">
        <f>Z34/Z32</f>
        <v>1</v>
      </c>
      <c r="AA36" s="541">
        <v>0.06048387096774194</v>
      </c>
      <c r="AB36" s="540"/>
      <c r="AC36" s="541">
        <v>0.06048387096774194</v>
      </c>
      <c r="AD36" s="540"/>
      <c r="AE36" s="541">
        <v>0.06048387096774194</v>
      </c>
      <c r="AF36" s="540"/>
      <c r="AG36" s="541">
        <v>0.06048387096774194</v>
      </c>
      <c r="AH36" s="540"/>
      <c r="AI36" s="541">
        <v>0.06048387096774194</v>
      </c>
      <c r="AJ36" s="540"/>
      <c r="AK36" s="541">
        <v>0.06048387096774194</v>
      </c>
      <c r="AL36" s="540"/>
      <c r="AM36" s="316">
        <f t="shared" ref="AM36:AN36" si="98">AM34/AM32</f>
        <v>0.06048387097</v>
      </c>
      <c r="AN36" s="253">
        <f t="shared" si="98"/>
        <v>0.3333333333</v>
      </c>
      <c r="AO36" s="253">
        <f t="shared" si="51"/>
        <v>5.511111111</v>
      </c>
      <c r="AP36" s="427" t="str">
        <f>IFERROR(__xludf.DUMMYFUNCTION("IFERROR(SPARKLINE(AO36,{""charttype"",""bar"";""color1"",IF(AO36&gt;='Май'!green_percent,'Май'!green,IF(AO36&gt;='Май'!yellow_percent,'Май'!yellow,IF(AO36&gt;='Май'!orange_percent,'Май'!orange,'Май'!red)));""max"",1}))"),"")</f>
        <v/>
      </c>
      <c r="AQ36" s="541">
        <v>0.06048387096774194</v>
      </c>
      <c r="AR36" s="540"/>
      <c r="AS36" s="541">
        <v>0.06048387096774194</v>
      </c>
      <c r="AT36" s="540"/>
      <c r="AU36" s="541">
        <v>0.06048387096774194</v>
      </c>
      <c r="AV36" s="540"/>
      <c r="AW36" s="541">
        <v>0.06048387096774194</v>
      </c>
      <c r="AX36" s="540"/>
      <c r="AY36" s="541">
        <v>0.06048387096774194</v>
      </c>
      <c r="AZ36" s="540"/>
      <c r="BA36" s="541">
        <v>0.06048387096774194</v>
      </c>
      <c r="BB36" s="540"/>
      <c r="BC36" s="541">
        <v>0.06048387096774194</v>
      </c>
      <c r="BD36" s="540"/>
      <c r="BE36" s="518">
        <v>0.06048387096774194</v>
      </c>
      <c r="BF36" s="542"/>
      <c r="BG36" s="429">
        <f t="shared" si="53"/>
        <v>0</v>
      </c>
      <c r="BH36" s="430" t="str">
        <f>IFERROR(__xludf.DUMMYFUNCTION("IFERROR(SPARKLINE(BG36,{""charttype"",""bar"";""color1"",IF(BG36&gt;='Май'!green_percent,'Май'!green,IF(BG36&gt;='Май'!yellow_percent,'Май'!yellow,IF(BG36&gt;='Май'!orange_percent,'Май'!orange,'Май'!red)));""max"",1}))"),"")</f>
        <v/>
      </c>
      <c r="BI36" s="541">
        <v>0.06048387096774194</v>
      </c>
      <c r="BJ36" s="540"/>
      <c r="BK36" s="541">
        <v>0.06048387096774194</v>
      </c>
      <c r="BL36" s="540"/>
      <c r="BM36" s="541">
        <v>0.06048387096774194</v>
      </c>
      <c r="BN36" s="540"/>
      <c r="BO36" s="541">
        <v>0.06048387096774194</v>
      </c>
      <c r="BP36" s="540"/>
      <c r="BQ36" s="541">
        <v>0.06048387096774194</v>
      </c>
      <c r="BR36" s="540"/>
      <c r="BS36" s="541">
        <v>0.06048387096774194</v>
      </c>
      <c r="BT36" s="540"/>
      <c r="BU36" s="541">
        <v>0.06048387096774194</v>
      </c>
      <c r="BV36" s="540"/>
      <c r="BW36" s="518">
        <v>0.06048387096774194</v>
      </c>
      <c r="BX36" s="543">
        <f>BX34/BX32</f>
        <v>0</v>
      </c>
      <c r="BY36" s="429">
        <f t="shared" si="55"/>
        <v>0</v>
      </c>
      <c r="BZ36" s="430" t="str">
        <f>IFERROR(__xludf.DUMMYFUNCTION("IFERROR(SPARKLINE(BY36,{""charttype"",""bar"";""color1"",IF(BY36&gt;='Май'!green_percent,'Май'!green,IF(BY36&gt;='Май'!yellow_percent,'Май'!yellow,IF(BY36&gt;='Май'!orange_percent,'Май'!orange,'Май'!red)));""max"",1}))"),"")</f>
        <v/>
      </c>
      <c r="CA36" s="541">
        <v>0.06048387096774194</v>
      </c>
      <c r="CB36" s="540"/>
      <c r="CC36" s="541">
        <v>0.06048387096774194</v>
      </c>
      <c r="CD36" s="540"/>
      <c r="CE36" s="541">
        <v>0.06048387096774194</v>
      </c>
      <c r="CF36" s="540"/>
      <c r="CG36" s="541">
        <v>0.06048387096774194</v>
      </c>
      <c r="CH36" s="540"/>
      <c r="CI36" s="541">
        <v>0.06048387096774194</v>
      </c>
      <c r="CJ36" s="540"/>
      <c r="CK36" s="541">
        <v>0.06048387096774194</v>
      </c>
      <c r="CL36" s="540"/>
      <c r="CM36" s="541">
        <v>0.06048387096774194</v>
      </c>
      <c r="CN36" s="540"/>
      <c r="CO36" s="541">
        <v>0.06048387096774194</v>
      </c>
      <c r="CP36" s="543">
        <f>CP34/CP32</f>
        <v>0</v>
      </c>
      <c r="CQ36" s="545" t="str">
        <f>IF(CO36&lt;&gt;0,IF(CP36&gt;CO36*1.04,"Не в плане","В плане"),)</f>
        <v>В плане</v>
      </c>
      <c r="CR36" s="546"/>
      <c r="CS36" s="547"/>
      <c r="CT36" s="542"/>
      <c r="CU36" s="548"/>
      <c r="CV36" s="540"/>
      <c r="CW36" s="549" t="str">
        <f>$J$36</f>
        <v/>
      </c>
      <c r="CX36" s="540" t="str">
        <f>IFERROR(CX25/CX26,"")</f>
        <v/>
      </c>
      <c r="CY36" s="549" t="str">
        <f>$J$36</f>
        <v/>
      </c>
      <c r="CZ36" s="540" t="str">
        <f>IFERROR(CZ25/CZ26,"")</f>
        <v/>
      </c>
      <c r="DA36" s="549" t="str">
        <f>$J$36</f>
        <v/>
      </c>
      <c r="DB36" s="540" t="str">
        <f>IFERROR(DB25/DB26,"")</f>
        <v/>
      </c>
      <c r="DC36" s="549" t="str">
        <f>$J$36</f>
        <v/>
      </c>
      <c r="DD36" s="540" t="str">
        <f>IFERROR(DD25/DD26,"")</f>
        <v/>
      </c>
      <c r="DE36" s="549" t="str">
        <f>$J$36</f>
        <v/>
      </c>
      <c r="DF36" s="540" t="str">
        <f>IFERROR(DF25/DF26,"")</f>
        <v/>
      </c>
      <c r="DG36" s="550" t="str">
        <f>$J$36</f>
        <v/>
      </c>
      <c r="DH36" s="551" t="str">
        <f>IFERROR(DH25/DH26,"")</f>
        <v/>
      </c>
      <c r="DI36" s="545" t="str">
        <f>IF(DG36&lt;&gt;0,IF(DH36&gt;DG36*1.04,"Не в плане","В плане"),)</f>
        <v/>
      </c>
      <c r="DJ36" s="546"/>
      <c r="DK36" s="552"/>
      <c r="DL36" s="553"/>
    </row>
    <row r="37">
      <c r="A37" s="215"/>
      <c r="B37" s="554" t="s">
        <v>27</v>
      </c>
      <c r="C37" s="217"/>
      <c r="D37" s="217"/>
      <c r="E37" s="218"/>
      <c r="F37" s="555">
        <f t="shared" ref="F37:G37" si="99">F24/F34</f>
        <v>50000</v>
      </c>
      <c r="G37" s="270">
        <f t="shared" si="99"/>
        <v>19355.7</v>
      </c>
      <c r="H37" s="220">
        <f t="shared" si="46"/>
        <v>0.387114</v>
      </c>
      <c r="I37" s="449" t="str">
        <f>IFERROR(__xludf.DUMMYFUNCTION("IFERROR(SPARKLINE(H37,{""charttype"",""bar"";""color1"",IF(H37&gt;='Май'!green_percent,'Май'!green,IF(H37&gt;='Май'!yellow_percent,'Май'!yellow,IF(H37&gt;='Май'!orange_percent,'Май'!orange,'Май'!red)));""max"",1}))"),"")</f>
        <v/>
      </c>
      <c r="J37" s="237"/>
      <c r="K37" s="556"/>
      <c r="L37" s="557"/>
      <c r="M37" s="558"/>
      <c r="N37" s="559"/>
      <c r="O37" s="560">
        <v>50000.0</v>
      </c>
      <c r="P37" s="561"/>
      <c r="Q37" s="560">
        <v>50000.0</v>
      </c>
      <c r="R37" s="561"/>
      <c r="S37" s="560">
        <v>50000.0</v>
      </c>
      <c r="T37" s="562"/>
      <c r="U37" s="560">
        <v>50000.0</v>
      </c>
      <c r="V37" s="563">
        <f>P37+R37+T37</f>
        <v>0</v>
      </c>
      <c r="W37" s="555">
        <f t="shared" si="49"/>
        <v>0</v>
      </c>
      <c r="X37" s="458" t="str">
        <f>IFERROR(__xludf.DUMMYFUNCTION("IFERROR(SPARKLINE(W37,{""charttype"",""bar"";""color1"",IF(W37&gt;='Май'!green_percent,'Май'!green,IF(W37&gt;='Май'!yellow_percent,'Май'!yellow,IF(W37&gt;='Май'!orange_percent,'Май'!orange,'Май'!red)));""max"",1}))"),"")</f>
        <v/>
      </c>
      <c r="Y37" s="564">
        <v>50000.0</v>
      </c>
      <c r="Z37" s="561"/>
      <c r="AA37" s="564">
        <v>50000.0</v>
      </c>
      <c r="AB37" s="561"/>
      <c r="AC37" s="564">
        <v>50000.0</v>
      </c>
      <c r="AD37" s="561"/>
      <c r="AE37" s="564">
        <v>50000.0</v>
      </c>
      <c r="AF37" s="561"/>
      <c r="AG37" s="564">
        <v>50000.0</v>
      </c>
      <c r="AH37" s="561"/>
      <c r="AI37" s="564">
        <v>50000.0</v>
      </c>
      <c r="AJ37" s="561"/>
      <c r="AK37" s="564">
        <v>50000.0</v>
      </c>
      <c r="AL37" s="561"/>
      <c r="AM37" s="564">
        <v>50000.0</v>
      </c>
      <c r="AN37" s="563">
        <f>AN24/AN34</f>
        <v>11291</v>
      </c>
      <c r="AO37" s="279">
        <f t="shared" si="51"/>
        <v>0.22582</v>
      </c>
      <c r="AP37" s="462" t="str">
        <f>IFERROR(__xludf.DUMMYFUNCTION("IFERROR(SPARKLINE(AO37,{""charttype"",""bar"";""color1"",IF(AO37&gt;='Май'!green_percent,'Май'!green,IF(AO37&gt;='Май'!yellow_percent,'Май'!yellow,IF(AO37&gt;='Май'!orange_percent,'Май'!orange,'Май'!red)));""max"",1}))"),"")</f>
        <v/>
      </c>
      <c r="AQ37" s="564">
        <v>50000.0</v>
      </c>
      <c r="AR37" s="561"/>
      <c r="AS37" s="564">
        <v>50000.0</v>
      </c>
      <c r="AT37" s="561"/>
      <c r="AU37" s="564">
        <v>50000.0</v>
      </c>
      <c r="AV37" s="561"/>
      <c r="AW37" s="564">
        <v>50000.0</v>
      </c>
      <c r="AX37" s="561"/>
      <c r="AY37" s="564">
        <v>50000.0</v>
      </c>
      <c r="AZ37" s="561"/>
      <c r="BA37" s="564">
        <v>50000.0</v>
      </c>
      <c r="BB37" s="561"/>
      <c r="BC37" s="564">
        <v>50000.0</v>
      </c>
      <c r="BD37" s="561"/>
      <c r="BE37" s="565">
        <v>50000.0</v>
      </c>
      <c r="BF37" s="563">
        <f t="shared" ref="BF37:BF39" si="100">AR37+AT37+AV37+AX37+AZ37+BB37+BJ37</f>
        <v>0</v>
      </c>
      <c r="BG37" s="376">
        <f t="shared" si="53"/>
        <v>0</v>
      </c>
      <c r="BH37" s="377" t="str">
        <f>IFERROR(__xludf.DUMMYFUNCTION("IFERROR(SPARKLINE(BG37,{""charttype"",""bar"";""color1"",IF(BG37&gt;='Май'!green_percent,'Май'!green,IF(BG37&gt;='Май'!yellow_percent,'Май'!yellow,IF(BG37&gt;='Май'!orange_percent,'Май'!orange,'Май'!red)));""max"",1}))"),"")</f>
        <v/>
      </c>
      <c r="BI37" s="564">
        <v>50000.0</v>
      </c>
      <c r="BJ37" s="566"/>
      <c r="BK37" s="564">
        <v>50000.0</v>
      </c>
      <c r="BL37" s="566"/>
      <c r="BM37" s="564">
        <v>50000.0</v>
      </c>
      <c r="BN37" s="566"/>
      <c r="BO37" s="564">
        <v>50000.0</v>
      </c>
      <c r="BP37" s="566"/>
      <c r="BQ37" s="564">
        <v>50000.0</v>
      </c>
      <c r="BR37" s="566"/>
      <c r="BS37" s="564">
        <v>50000.0</v>
      </c>
      <c r="BT37" s="566"/>
      <c r="BU37" s="564">
        <v>50000.0</v>
      </c>
      <c r="BV37" s="566"/>
      <c r="BW37" s="565">
        <v>50000.0</v>
      </c>
      <c r="BX37" s="563" t="str">
        <f>BX24/BX34</f>
        <v>#DIV/0!</v>
      </c>
      <c r="BY37" s="376" t="str">
        <f t="shared" si="55"/>
        <v/>
      </c>
      <c r="BZ37" s="377" t="str">
        <f>IFERROR(__xludf.DUMMYFUNCTION("IFERROR(SPARKLINE(BY37,{""charttype"",""bar"";""color1"",IF(BY37&gt;='Май'!green_percent,'Май'!green,IF(BY37&gt;='Май'!yellow_percent,'Май'!yellow,IF(BY37&gt;='Май'!orange_percent,'Май'!orange,'Май'!red)));""max"",1}))"),"")</f>
        <v/>
      </c>
      <c r="CA37" s="564">
        <v>50000.0</v>
      </c>
      <c r="CB37" s="561"/>
      <c r="CC37" s="564">
        <v>50000.0</v>
      </c>
      <c r="CD37" s="561"/>
      <c r="CE37" s="564">
        <v>50000.0</v>
      </c>
      <c r="CF37" s="561"/>
      <c r="CG37" s="564">
        <v>50000.0</v>
      </c>
      <c r="CH37" s="561"/>
      <c r="CI37" s="564">
        <v>50000.0</v>
      </c>
      <c r="CJ37" s="561"/>
      <c r="CK37" s="564">
        <v>50000.0</v>
      </c>
      <c r="CL37" s="561"/>
      <c r="CM37" s="564">
        <v>50000.0</v>
      </c>
      <c r="CN37" s="561"/>
      <c r="CO37" s="564">
        <v>50000.0</v>
      </c>
      <c r="CP37" s="567">
        <f>CB37+CD37+CF37+CH37+CJ37+CL37+CT37</f>
        <v>0</v>
      </c>
      <c r="CQ37" s="568">
        <f>IFERROR(CP37/CO37,"")</f>
        <v>0</v>
      </c>
      <c r="CR37" s="569" t="str">
        <f>IFERROR(__xludf.DUMMYFUNCTION("IFERROR(SPARKLINE(CQ37,{""charttype"",""bar"";""color1"",IF(CQ37&gt;='Май'!green_percent,'Май'!green,IF(CQ37&gt;='Май'!yellow_percent,'Май'!yellow,IF(CQ37&gt;='Май'!orange_percent,'Май'!orange,'Май'!red)));""max"",1}))"),"")</f>
        <v/>
      </c>
      <c r="CS37" s="547"/>
      <c r="CT37" s="555"/>
      <c r="CU37" s="570"/>
      <c r="CV37" s="571"/>
      <c r="CW37" s="572"/>
      <c r="CX37" s="571"/>
      <c r="CY37" s="572"/>
      <c r="CZ37" s="571"/>
      <c r="DA37" s="572"/>
      <c r="DB37" s="571"/>
      <c r="DC37" s="572"/>
      <c r="DD37" s="571"/>
      <c r="DE37" s="572"/>
      <c r="DF37" s="571"/>
      <c r="DG37" s="573">
        <f>CS37+CU37+CW37+CY37+DA37+DC37+DE37</f>
        <v>0</v>
      </c>
      <c r="DH37" s="574">
        <f>CT37+CV37+CX37+CZ37+DB37+DD37+DL37</f>
        <v>0</v>
      </c>
      <c r="DI37" s="575" t="str">
        <f>IFERROR(DH37/DG37,"")</f>
        <v/>
      </c>
      <c r="DJ37" s="576" t="str">
        <f>IFERROR(__xludf.DUMMYFUNCTION("IFERROR(SPARKLINE(DI37,{""charttype"",""bar"";""color1"",IF(DI37&gt;='Май'!green_percent,'Май'!green,IF(DI37&gt;='Май'!yellow_percent,'Май'!yellow,IF(DI37&gt;='Май'!orange_percent,'Май'!orange,'Май'!red)));""max"",1}))"),"")</f>
        <v/>
      </c>
      <c r="DK37" s="577"/>
      <c r="DL37" s="578"/>
    </row>
    <row r="38">
      <c r="A38" s="240"/>
      <c r="B38" s="579" t="s">
        <v>28</v>
      </c>
      <c r="C38" s="242"/>
      <c r="D38" s="242"/>
      <c r="E38" s="243"/>
      <c r="F38" s="580"/>
      <c r="G38" s="244">
        <f t="shared" ref="G38:G39" si="101">V38+AN38+BF38+BX38+CP38</f>
        <v>2</v>
      </c>
      <c r="H38" s="412"/>
      <c r="I38" s="413"/>
      <c r="J38" s="414"/>
      <c r="K38" s="582"/>
      <c r="L38" s="583"/>
      <c r="M38" s="584"/>
      <c r="N38" s="583"/>
      <c r="O38" s="588"/>
      <c r="P38" s="586"/>
      <c r="Q38" s="588"/>
      <c r="R38" s="586"/>
      <c r="S38" s="589"/>
      <c r="T38" s="590"/>
      <c r="U38" s="591"/>
      <c r="V38" s="592"/>
      <c r="W38" s="580"/>
      <c r="X38" s="424"/>
      <c r="Y38" s="593"/>
      <c r="Z38" s="586"/>
      <c r="AA38" s="593"/>
      <c r="AB38" s="586"/>
      <c r="AC38" s="593"/>
      <c r="AD38" s="586"/>
      <c r="AE38" s="593"/>
      <c r="AF38" s="710">
        <v>1.0</v>
      </c>
      <c r="AG38" s="593"/>
      <c r="AH38" s="586"/>
      <c r="AI38" s="593"/>
      <c r="AJ38" s="586"/>
      <c r="AK38" s="593"/>
      <c r="AL38" s="586"/>
      <c r="AM38" s="591"/>
      <c r="AN38" s="486">
        <f t="shared" ref="AN38:AN39" si="102">Z38+AB38+AD38+AF38+AH38+AJ38+AL38</f>
        <v>1</v>
      </c>
      <c r="AO38" s="253"/>
      <c r="AP38" s="427"/>
      <c r="AQ38" s="593"/>
      <c r="AR38" s="586"/>
      <c r="AS38" s="593"/>
      <c r="AT38" s="586"/>
      <c r="AU38" s="593"/>
      <c r="AV38" s="586"/>
      <c r="AW38" s="593"/>
      <c r="AX38" s="586"/>
      <c r="AY38" s="593"/>
      <c r="AZ38" s="710">
        <v>1.0</v>
      </c>
      <c r="BA38" s="593"/>
      <c r="BB38" s="586"/>
      <c r="BC38" s="593"/>
      <c r="BD38" s="586"/>
      <c r="BE38" s="591"/>
      <c r="BF38" s="486">
        <f t="shared" si="100"/>
        <v>1</v>
      </c>
      <c r="BG38" s="253"/>
      <c r="BH38" s="427"/>
      <c r="BI38" s="593"/>
      <c r="BJ38" s="594"/>
      <c r="BK38" s="593"/>
      <c r="BL38" s="594"/>
      <c r="BM38" s="593"/>
      <c r="BN38" s="594"/>
      <c r="BO38" s="593"/>
      <c r="BP38" s="594"/>
      <c r="BQ38" s="593"/>
      <c r="BR38" s="594"/>
      <c r="BS38" s="593"/>
      <c r="BT38" s="594"/>
      <c r="BU38" s="593"/>
      <c r="BV38" s="594"/>
      <c r="BW38" s="591"/>
      <c r="BX38" s="592"/>
      <c r="BY38" s="595"/>
      <c r="BZ38" s="596"/>
      <c r="CA38" s="593"/>
      <c r="CB38" s="586"/>
      <c r="CC38" s="593"/>
      <c r="CD38" s="586"/>
      <c r="CE38" s="593"/>
      <c r="CF38" s="586"/>
      <c r="CG38" s="593"/>
      <c r="CH38" s="586"/>
      <c r="CI38" s="593"/>
      <c r="CJ38" s="586"/>
      <c r="CK38" s="593"/>
      <c r="CL38" s="586"/>
      <c r="CM38" s="593"/>
      <c r="CN38" s="586"/>
      <c r="CO38" s="597"/>
      <c r="CP38" s="598"/>
      <c r="CQ38" s="599"/>
      <c r="CR38" s="600"/>
      <c r="CS38" s="547"/>
      <c r="CT38" s="580"/>
      <c r="CU38" s="601"/>
      <c r="CV38" s="583"/>
      <c r="CW38" s="583"/>
      <c r="CX38" s="583"/>
      <c r="CY38" s="583"/>
      <c r="CZ38" s="583"/>
      <c r="DA38" s="583"/>
      <c r="DB38" s="583"/>
      <c r="DC38" s="583"/>
      <c r="DD38" s="583"/>
      <c r="DE38" s="583"/>
      <c r="DF38" s="583"/>
      <c r="DG38" s="602"/>
      <c r="DH38" s="603"/>
      <c r="DI38" s="604"/>
      <c r="DJ38" s="605"/>
      <c r="DK38" s="583"/>
      <c r="DL38" s="583"/>
    </row>
    <row r="39">
      <c r="A39" s="606"/>
      <c r="B39" s="607" t="s">
        <v>41</v>
      </c>
      <c r="C39" s="608"/>
      <c r="D39" s="608"/>
      <c r="E39" s="609"/>
      <c r="F39" s="610"/>
      <c r="G39" s="611">
        <f t="shared" si="101"/>
        <v>2620000</v>
      </c>
      <c r="H39" s="612"/>
      <c r="I39" s="613"/>
      <c r="J39" s="614"/>
      <c r="K39" s="615"/>
      <c r="L39" s="616"/>
      <c r="M39" s="617"/>
      <c r="N39" s="616"/>
      <c r="O39" s="621"/>
      <c r="P39" s="557"/>
      <c r="Q39" s="621"/>
      <c r="R39" s="557"/>
      <c r="S39" s="622"/>
      <c r="T39" s="559"/>
      <c r="U39" s="623"/>
      <c r="V39" s="624"/>
      <c r="W39" s="610"/>
      <c r="X39" s="625"/>
      <c r="Y39" s="626"/>
      <c r="Z39" s="619"/>
      <c r="AA39" s="626"/>
      <c r="AB39" s="619"/>
      <c r="AC39" s="626"/>
      <c r="AD39" s="619"/>
      <c r="AE39" s="626"/>
      <c r="AF39" s="619">
        <v>2410000.0</v>
      </c>
      <c r="AG39" s="626"/>
      <c r="AH39" s="619"/>
      <c r="AI39" s="626"/>
      <c r="AJ39" s="619"/>
      <c r="AK39" s="626"/>
      <c r="AL39" s="619"/>
      <c r="AM39" s="627"/>
      <c r="AN39" s="563">
        <f t="shared" si="102"/>
        <v>2410000</v>
      </c>
      <c r="AO39" s="629"/>
      <c r="AP39" s="630"/>
      <c r="AQ39" s="626"/>
      <c r="AR39" s="619"/>
      <c r="AS39" s="626"/>
      <c r="AT39" s="619"/>
      <c r="AU39" s="626"/>
      <c r="AV39" s="619"/>
      <c r="AW39" s="626"/>
      <c r="AX39" s="619"/>
      <c r="AY39" s="626"/>
      <c r="AZ39" s="619">
        <v>210000.0</v>
      </c>
      <c r="BA39" s="626"/>
      <c r="BB39" s="619"/>
      <c r="BC39" s="626"/>
      <c r="BD39" s="619"/>
      <c r="BE39" s="627"/>
      <c r="BF39" s="563">
        <f t="shared" si="100"/>
        <v>210000</v>
      </c>
      <c r="BG39" s="629"/>
      <c r="BH39" s="630"/>
      <c r="BI39" s="626"/>
      <c r="BJ39" s="631"/>
      <c r="BK39" s="626"/>
      <c r="BL39" s="631"/>
      <c r="BM39" s="626"/>
      <c r="BN39" s="631"/>
      <c r="BO39" s="626"/>
      <c r="BP39" s="631"/>
      <c r="BQ39" s="626"/>
      <c r="BR39" s="631"/>
      <c r="BS39" s="626"/>
      <c r="BT39" s="631"/>
      <c r="BU39" s="626"/>
      <c r="BV39" s="631"/>
      <c r="BW39" s="627"/>
      <c r="BX39" s="628"/>
      <c r="BY39" s="632"/>
      <c r="BZ39" s="633"/>
      <c r="CA39" s="626"/>
      <c r="CB39" s="619"/>
      <c r="CC39" s="626"/>
      <c r="CD39" s="619"/>
      <c r="CE39" s="626"/>
      <c r="CF39" s="619"/>
      <c r="CG39" s="626"/>
      <c r="CH39" s="619"/>
      <c r="CI39" s="626"/>
      <c r="CJ39" s="619"/>
      <c r="CK39" s="626"/>
      <c r="CL39" s="619"/>
      <c r="CM39" s="626"/>
      <c r="CN39" s="619"/>
      <c r="CO39" s="636"/>
      <c r="CP39" s="637"/>
      <c r="CQ39" s="638"/>
      <c r="CR39" s="639"/>
      <c r="CS39" s="547"/>
      <c r="CT39" s="555"/>
      <c r="CU39" s="601"/>
      <c r="CV39" s="616"/>
      <c r="CW39" s="616"/>
      <c r="CX39" s="616"/>
      <c r="CY39" s="616"/>
      <c r="CZ39" s="616"/>
      <c r="DA39" s="616"/>
      <c r="DB39" s="616"/>
      <c r="DC39" s="616"/>
      <c r="DD39" s="616"/>
      <c r="DE39" s="616"/>
      <c r="DF39" s="616"/>
      <c r="DG39" s="640"/>
      <c r="DH39" s="641"/>
      <c r="DI39" s="642"/>
      <c r="DJ39" s="643"/>
      <c r="DK39" s="616"/>
      <c r="DL39" s="616"/>
    </row>
    <row r="40">
      <c r="A40" s="644" t="s">
        <v>42</v>
      </c>
      <c r="B40" s="645" t="s">
        <v>20</v>
      </c>
      <c r="C40" s="646"/>
      <c r="D40" s="646"/>
      <c r="E40" s="647"/>
      <c r="F40" s="648">
        <f t="shared" ref="F40:G40" si="103">F41/F52</f>
        <v>0.2666666667</v>
      </c>
      <c r="G40" s="648" t="str">
        <f t="shared" si="103"/>
        <v>#DIV/0!</v>
      </c>
      <c r="H40" s="649" t="str">
        <f>IF(F40&lt;&gt;0,IF(G40&gt;F40*1.1,"Не в плане","В плане"),)</f>
        <v>#DIV/0!</v>
      </c>
      <c r="I40" s="650"/>
      <c r="J40" s="651"/>
      <c r="K40" s="652"/>
      <c r="L40" s="652"/>
      <c r="M40" s="652"/>
      <c r="N40" s="653"/>
      <c r="O40" s="648">
        <v>0.2667</v>
      </c>
      <c r="P40" s="655" t="str">
        <f>P41/P52</f>
        <v>#DIV/0!</v>
      </c>
      <c r="Q40" s="648">
        <v>0.2667</v>
      </c>
      <c r="R40" s="655" t="str">
        <f>R41/R52</f>
        <v>#DIV/0!</v>
      </c>
      <c r="S40" s="648">
        <v>0.2667</v>
      </c>
      <c r="T40" s="655" t="str">
        <f>T41/T52</f>
        <v>#DIV/0!</v>
      </c>
      <c r="U40" s="648">
        <v>0.2667</v>
      </c>
      <c r="V40" s="656" t="str">
        <f>V41/V52</f>
        <v>#DIV/0!</v>
      </c>
      <c r="W40" s="657" t="str">
        <f>IF(U40&lt;&gt;0,IF(V40&gt;U40,"Не в плане","В плане"),)</f>
        <v>#DIV/0!</v>
      </c>
      <c r="X40" s="658"/>
      <c r="Y40" s="996">
        <v>0.2667</v>
      </c>
      <c r="Z40" s="659"/>
      <c r="AA40" s="996">
        <v>0.2667</v>
      </c>
      <c r="AB40" s="659"/>
      <c r="AC40" s="996">
        <v>0.2667</v>
      </c>
      <c r="AD40" s="659"/>
      <c r="AE40" s="996">
        <v>0.2667</v>
      </c>
      <c r="AF40" s="659"/>
      <c r="AG40" s="996">
        <v>0.2667</v>
      </c>
      <c r="AH40" s="659"/>
      <c r="AI40" s="996">
        <v>0.2667</v>
      </c>
      <c r="AJ40" s="659"/>
      <c r="AK40" s="996">
        <v>0.2667</v>
      </c>
      <c r="AL40" s="659"/>
      <c r="AM40" s="996">
        <v>0.2667</v>
      </c>
      <c r="AN40" s="660">
        <f>IFERROR(AN41/AN45,"")</f>
        <v>5852110.909</v>
      </c>
      <c r="AO40" s="657" t="str">
        <f>IF(AM40&lt;&gt;0,IF(AN40&gt;AM40,"Не в плане","В плане"),)</f>
        <v>Не в плане</v>
      </c>
      <c r="AP40" s="658"/>
      <c r="AQ40" s="996">
        <v>0.2667</v>
      </c>
      <c r="AR40" s="659"/>
      <c r="AS40" s="996">
        <v>0.2667</v>
      </c>
      <c r="AT40" s="659"/>
      <c r="AU40" s="996">
        <v>0.2667</v>
      </c>
      <c r="AV40" s="659"/>
      <c r="AW40" s="996">
        <v>0.2667</v>
      </c>
      <c r="AX40" s="659"/>
      <c r="AY40" s="996">
        <v>0.2667</v>
      </c>
      <c r="AZ40" s="659"/>
      <c r="BA40" s="996">
        <v>0.2667</v>
      </c>
      <c r="BB40" s="659"/>
      <c r="BC40" s="996">
        <v>0.2667</v>
      </c>
      <c r="BD40" s="659"/>
      <c r="BE40" s="996">
        <v>0.2667</v>
      </c>
      <c r="BF40" s="660">
        <f>IFERROR(BF41/BF45,"")</f>
        <v>395757.7436</v>
      </c>
      <c r="BG40" s="657" t="str">
        <f>IF(BE40&lt;&gt;0,IF(BF40&gt;BE40,"Не в плане","В плане"),)</f>
        <v>Не в плане</v>
      </c>
      <c r="BH40" s="658"/>
      <c r="BI40" s="996">
        <v>0.2667</v>
      </c>
      <c r="BJ40" s="659"/>
      <c r="BK40" s="996">
        <v>0.2667</v>
      </c>
      <c r="BL40" s="659"/>
      <c r="BM40" s="996">
        <v>0.2667</v>
      </c>
      <c r="BN40" s="659"/>
      <c r="BO40" s="996">
        <v>0.2667</v>
      </c>
      <c r="BP40" s="659"/>
      <c r="BQ40" s="996">
        <v>0.2667</v>
      </c>
      <c r="BR40" s="659"/>
      <c r="BS40" s="996">
        <v>0.2667</v>
      </c>
      <c r="BT40" s="659"/>
      <c r="BU40" s="996">
        <v>0.2667</v>
      </c>
      <c r="BV40" s="659"/>
      <c r="BW40" s="996">
        <v>0.2667</v>
      </c>
      <c r="BX40" s="660">
        <f>BX52/BX41</f>
        <v>0</v>
      </c>
      <c r="BY40" s="657">
        <f t="shared" ref="BY40:BY54" si="107">IFERROR(BX40/BW40,"")</f>
        <v>0</v>
      </c>
      <c r="BZ40" s="658"/>
      <c r="CA40" s="996">
        <v>0.2667</v>
      </c>
      <c r="CB40" s="659"/>
      <c r="CC40" s="996">
        <v>0.2667</v>
      </c>
      <c r="CD40" s="659"/>
      <c r="CE40" s="996">
        <v>0.2667</v>
      </c>
      <c r="CF40" s="659"/>
      <c r="CG40" s="996">
        <v>0.2667</v>
      </c>
      <c r="CH40" s="659"/>
      <c r="CI40" s="996">
        <v>0.2667</v>
      </c>
      <c r="CJ40" s="659"/>
      <c r="CK40" s="996">
        <v>0.2667</v>
      </c>
      <c r="CL40" s="659"/>
      <c r="CM40" s="996">
        <v>0.2667</v>
      </c>
      <c r="CN40" s="659"/>
      <c r="CO40" s="996">
        <v>0.04027777777777778</v>
      </c>
      <c r="CP40" s="664" t="str">
        <f>CP41/CP52</f>
        <v>#DIV/0!</v>
      </c>
      <c r="CQ40" s="657" t="str">
        <f>IF(CO40&lt;&gt;0,IF(CP40&gt;CO40,"Не в плане","В плане"),)</f>
        <v>#DIV/0!</v>
      </c>
      <c r="CR40" s="658"/>
      <c r="CS40" s="665"/>
      <c r="CT40" s="666"/>
      <c r="CU40" s="667"/>
      <c r="CV40" s="659"/>
      <c r="CW40" s="667" t="str">
        <f>$J$40</f>
        <v/>
      </c>
      <c r="CX40" s="659" t="str">
        <f>IFERROR(CX41/CX45,"")</f>
        <v/>
      </c>
      <c r="CY40" s="667" t="str">
        <f>$J$40</f>
        <v/>
      </c>
      <c r="CZ40" s="659" t="str">
        <f>IFERROR(CZ41/CZ45,"")</f>
        <v/>
      </c>
      <c r="DA40" s="667" t="str">
        <f>$J$40</f>
        <v/>
      </c>
      <c r="DB40" s="659" t="str">
        <f>IFERROR(DB41/DB45,"")</f>
        <v/>
      </c>
      <c r="DC40" s="667" t="str">
        <f>$J$40</f>
        <v/>
      </c>
      <c r="DD40" s="659" t="str">
        <f>IFERROR(DD41/DD45,"")</f>
        <v/>
      </c>
      <c r="DE40" s="667" t="str">
        <f>$J$40</f>
        <v/>
      </c>
      <c r="DF40" s="659" t="str">
        <f>IFERROR(DF41/DF45,"")</f>
        <v/>
      </c>
      <c r="DG40" s="668" t="str">
        <f>$J$40</f>
        <v/>
      </c>
      <c r="DH40" s="669" t="str">
        <f>IFERROR(DH41/DH45,"")</f>
        <v/>
      </c>
      <c r="DI40" s="649" t="str">
        <f>IF(DG40&lt;&gt;0,IF(DH40&gt;DG40,"Не в плане","В плане"),)</f>
        <v/>
      </c>
      <c r="DJ40" s="670"/>
      <c r="DK40" s="671"/>
      <c r="DL40" s="672"/>
    </row>
    <row r="41" ht="19.5" customHeight="1">
      <c r="A41" s="673"/>
      <c r="B41" s="674" t="s">
        <v>43</v>
      </c>
      <c r="C41" s="217"/>
      <c r="D41" s="217"/>
      <c r="E41" s="218"/>
      <c r="F41" s="495">
        <v>160000.0</v>
      </c>
      <c r="G41" s="495">
        <f t="shared" ref="G41:G43" si="111">V41+AN41+BF41+BX41+CP41</f>
        <v>151582</v>
      </c>
      <c r="H41" s="543">
        <f t="shared" ref="H41:H56" si="112">IFERROR(G41/F41,"")</f>
        <v>0.9473875</v>
      </c>
      <c r="I41" s="675" t="str">
        <f>IFERROR(__xludf.DUMMYFUNCTION("IFERROR(SPARKLINE(H41,{""charttype"",""bar"";""color1"",IF(H41&gt;='Май'!green_percent,'Май'!green,IF(H41&gt;='Май'!yellow_percent,'Май'!yellow,IF(H41&gt;='Май'!orange_percent,'Май'!orange,'Май'!red)));""max"",1}))"),"")</f>
        <v/>
      </c>
      <c r="K41" s="676"/>
      <c r="L41" s="677"/>
      <c r="M41" s="676"/>
      <c r="N41" s="677"/>
      <c r="O41" s="676">
        <f t="shared" ref="O41:O43" si="113">F41/31</f>
        <v>5161.290323</v>
      </c>
      <c r="P41" s="678">
        <v>5832.0</v>
      </c>
      <c r="Q41" s="676">
        <v>5161.290322580645</v>
      </c>
      <c r="R41" s="678">
        <v>4637.0</v>
      </c>
      <c r="S41" s="676">
        <v>5161.290322580645</v>
      </c>
      <c r="T41" s="680">
        <v>5250.0</v>
      </c>
      <c r="U41" s="681">
        <f t="shared" ref="U41:V41" si="104">O41+Q41+S41</f>
        <v>15483.87097</v>
      </c>
      <c r="V41" s="682">
        <f t="shared" si="104"/>
        <v>15719</v>
      </c>
      <c r="W41" s="219">
        <f t="shared" ref="W41:W54" si="115">IFERROR(V41/U41,"")</f>
        <v>1.015185417</v>
      </c>
      <c r="X41" s="683" t="str">
        <f>IFERROR(__xludf.DUMMYFUNCTION("IFERROR(SPARKLINE(W41,{""charttype"",""bar"";""color1"",IF(W41&gt;='Май'!green_percent,'Май'!green,IF(W41&gt;='Май'!yellow_percent,'Май'!yellow,IF(W41&gt;='Май'!orange_percent,'Май'!orange,'Май'!red)));""max"",1}))"),"")</f>
        <v/>
      </c>
      <c r="Y41" s="676">
        <v>5161.290322580645</v>
      </c>
      <c r="Z41" s="680">
        <v>0.0</v>
      </c>
      <c r="AA41" s="676">
        <v>5161.290322580645</v>
      </c>
      <c r="AB41" s="686">
        <v>6345.0</v>
      </c>
      <c r="AC41" s="676">
        <v>5161.290322580645</v>
      </c>
      <c r="AD41" s="686">
        <v>7743.0</v>
      </c>
      <c r="AE41" s="676">
        <v>5161.290322580645</v>
      </c>
      <c r="AF41" s="686">
        <v>8205.0</v>
      </c>
      <c r="AG41" s="676">
        <v>5161.290322580645</v>
      </c>
      <c r="AH41" s="686">
        <v>7405.0</v>
      </c>
      <c r="AI41" s="676">
        <v>5161.290322580645</v>
      </c>
      <c r="AJ41" s="686">
        <v>1332.0</v>
      </c>
      <c r="AK41" s="676">
        <v>5161.290322580645</v>
      </c>
      <c r="AL41" s="686">
        <v>2324.0</v>
      </c>
      <c r="AM41" s="681">
        <f t="shared" ref="AM41:AN41" si="105">Y41+AA41+AC41+AE41+AG41+AI41+AK41</f>
        <v>36129.03226</v>
      </c>
      <c r="AN41" s="682">
        <f t="shared" si="105"/>
        <v>33354</v>
      </c>
      <c r="AO41" s="688">
        <f t="shared" ref="AO41:AO54" si="117">IFERROR(AN41/AM41,"")</f>
        <v>0.9231910714</v>
      </c>
      <c r="AP41" s="689" t="str">
        <f>IFERROR(__xludf.DUMMYFUNCTION("IFERROR(SPARKLINE(AO41,{""charttype"",""bar"";""color1"",IF(AO41&gt;='Май'!green_percent,'Май'!green,IF(AO41&gt;='Май'!yellow_percent,'Май'!yellow,IF(AO41&gt;='Май'!orange_percent,'Май'!orange,'Май'!red)));""max"",1}))"),"")</f>
        <v/>
      </c>
      <c r="AQ41" s="676">
        <v>5161.290322580645</v>
      </c>
      <c r="AR41" s="686">
        <v>5329.0</v>
      </c>
      <c r="AS41" s="676">
        <v>5161.290322580645</v>
      </c>
      <c r="AT41" s="680">
        <v>7716.0</v>
      </c>
      <c r="AU41" s="676">
        <v>5161.290322580645</v>
      </c>
      <c r="AV41" s="680">
        <v>5847.0</v>
      </c>
      <c r="AW41" s="676">
        <v>5161.290322580645</v>
      </c>
      <c r="AX41" s="680">
        <v>7475.0</v>
      </c>
      <c r="AY41" s="676">
        <v>5161.290322580645</v>
      </c>
      <c r="AZ41" s="680">
        <v>7527.0</v>
      </c>
      <c r="BA41" s="676">
        <v>5161.290322580645</v>
      </c>
      <c r="BB41" s="680">
        <v>1220.0</v>
      </c>
      <c r="BC41" s="676">
        <v>5161.290322580645</v>
      </c>
      <c r="BD41" s="680">
        <v>1871.0</v>
      </c>
      <c r="BE41" s="681">
        <f t="shared" ref="BE41:BF41" si="106">AQ41+AS41+AU41+AW41+AY41+BA41+BC41</f>
        <v>36129.03226</v>
      </c>
      <c r="BF41" s="682">
        <f t="shared" si="106"/>
        <v>36985</v>
      </c>
      <c r="BG41" s="688">
        <f t="shared" ref="BG41:BG54" si="119">IFERROR(BF41/BE41,"")</f>
        <v>1.023691964</v>
      </c>
      <c r="BH41" s="689" t="str">
        <f>IFERROR(__xludf.DUMMYFUNCTION("IFERROR(SPARKLINE(BG41,{""charttype"",""bar"";""color1"",IF(BG41&gt;='Май'!green_percent,'Май'!green,IF(BG41&gt;='Май'!yellow_percent,'Май'!yellow,IF(BG41&gt;='Май'!orange_percent,'Май'!orange,'Май'!red)));""max"",1}))"),"")</f>
        <v/>
      </c>
      <c r="BI41" s="676">
        <v>5161.290322580645</v>
      </c>
      <c r="BJ41" s="678">
        <v>6677.0</v>
      </c>
      <c r="BK41" s="676">
        <v>5161.290322580645</v>
      </c>
      <c r="BL41" s="678">
        <v>8462.0</v>
      </c>
      <c r="BM41" s="676">
        <v>5161.290322580645</v>
      </c>
      <c r="BN41" s="678">
        <v>6480.0</v>
      </c>
      <c r="BO41" s="676">
        <v>5161.290322580645</v>
      </c>
      <c r="BP41" s="678">
        <v>6292.0</v>
      </c>
      <c r="BQ41" s="676">
        <v>5161.290322580645</v>
      </c>
      <c r="BR41" s="678">
        <v>6253.0</v>
      </c>
      <c r="BS41" s="676">
        <v>5161.290322580645</v>
      </c>
      <c r="BT41" s="678">
        <v>256.0</v>
      </c>
      <c r="BU41" s="676">
        <v>5161.290322580645</v>
      </c>
      <c r="BV41" s="678">
        <v>1259.0</v>
      </c>
      <c r="BW41" s="681">
        <v>37333.33333333333</v>
      </c>
      <c r="BX41" s="682">
        <f t="shared" ref="BX41:BX46" si="120">BJ41+BL41+BN41+BP41+BR41+BT41+BV41</f>
        <v>35679</v>
      </c>
      <c r="BY41" s="688">
        <f t="shared" si="107"/>
        <v>0.9556875</v>
      </c>
      <c r="BZ41" s="689" t="str">
        <f>IFERROR(__xludf.DUMMYFUNCTION("IFERROR(SPARKLINE(BY41,{""charttype"",""bar"";""color1"",IF(BY41&gt;='Май'!green_percent,'Май'!green,IF(BY41&gt;='Май'!yellow_percent,'Май'!yellow,IF(BY41&gt;='Май'!orange_percent,'Май'!orange,'Май'!red)));""max"",1}))"),"")</f>
        <v/>
      </c>
      <c r="CA41" s="676">
        <v>5161.290322580645</v>
      </c>
      <c r="CB41" s="678">
        <v>6076.0</v>
      </c>
      <c r="CC41" s="676">
        <v>5161.290322580645</v>
      </c>
      <c r="CD41" s="678">
        <v>9836.0</v>
      </c>
      <c r="CE41" s="676">
        <v>5161.290322580645</v>
      </c>
      <c r="CF41" s="678">
        <v>7924.0</v>
      </c>
      <c r="CG41" s="676">
        <v>5161.290322580645</v>
      </c>
      <c r="CH41" s="678">
        <v>6009.0</v>
      </c>
      <c r="CI41" s="676">
        <v>5161.290322580645</v>
      </c>
      <c r="CJ41" s="678">
        <v>8247.0</v>
      </c>
      <c r="CK41" s="676">
        <v>5161.290322580645</v>
      </c>
      <c r="CL41" s="678">
        <v>1492.0</v>
      </c>
      <c r="CM41" s="676">
        <v>5161.290322580645</v>
      </c>
      <c r="CN41" s="678">
        <v>1811.0</v>
      </c>
      <c r="CO41" s="692">
        <f t="shared" ref="CO41:CO44" si="121">CA41+CC41+CE41+CG41+CI41+CK41+CM41</f>
        <v>36129.03226</v>
      </c>
      <c r="CP41" s="693">
        <f t="shared" ref="CP41:CP43" si="122">CB41+CD41+CF41+CH41</f>
        <v>29845</v>
      </c>
      <c r="CQ41" s="231">
        <f t="shared" ref="CQ41:CQ54" si="123">IFERROR(CP41/CO41,"")</f>
        <v>0.8260669643</v>
      </c>
      <c r="CR41" s="232" t="str">
        <f>IFERROR(__xludf.DUMMYFUNCTION("IFERROR(SPARKLINE(CQ41,{""charttype"",""bar"";""color1"",IF(CQ41&gt;='Май'!green_percent,'Май'!green,IF(CQ41&gt;='Май'!yellow_percent,'Май'!yellow,IF(CQ41&gt;='Май'!orange_percent,'Май'!orange,'Май'!red)));""max"",1}))"),"")</f>
        <v/>
      </c>
      <c r="CS41" s="694"/>
      <c r="CT41" s="695"/>
      <c r="CU41" s="695"/>
      <c r="CV41" s="695"/>
      <c r="CW41" s="696" t="str">
        <f t="shared" ref="CW41:DF41" si="108">CW158</f>
        <v/>
      </c>
      <c r="CX41" s="697" t="str">
        <f t="shared" si="108"/>
        <v/>
      </c>
      <c r="CY41" s="696" t="str">
        <f t="shared" si="108"/>
        <v/>
      </c>
      <c r="CZ41" s="697" t="str">
        <f t="shared" si="108"/>
        <v/>
      </c>
      <c r="DA41" s="696" t="str">
        <f t="shared" si="108"/>
        <v/>
      </c>
      <c r="DB41" s="697" t="str">
        <f t="shared" si="108"/>
        <v/>
      </c>
      <c r="DC41" s="696" t="str">
        <f t="shared" si="108"/>
        <v/>
      </c>
      <c r="DD41" s="697" t="str">
        <f t="shared" si="108"/>
        <v/>
      </c>
      <c r="DE41" s="696" t="str">
        <f t="shared" si="108"/>
        <v/>
      </c>
      <c r="DF41" s="697" t="str">
        <f t="shared" si="108"/>
        <v/>
      </c>
      <c r="DG41" s="698">
        <f t="shared" ref="DG41:DH41" si="109">CS41+CU41+CW41+CY41+DA41+DC41+DE41</f>
        <v>0</v>
      </c>
      <c r="DH41" s="699">
        <f t="shared" si="109"/>
        <v>0</v>
      </c>
      <c r="DI41" s="700" t="str">
        <f t="shared" ref="DI41:DI45" si="125">IFERROR(DH41/DG41,"")</f>
        <v/>
      </c>
      <c r="DJ41" s="701" t="str">
        <f>IFERROR(__xludf.DUMMYFUNCTION("IFERROR(SPARKLINE(DI41,{""charttype"",""bar"";""color1"",IF(DI41&gt;='Май'!green_percent,'Май'!green,IF(DI41&gt;='Май'!yellow_percent,'Май'!yellow,IF(DI41&gt;='Май'!orange_percent,'Май'!orange,'Май'!red)));""max"",1}))"),"")</f>
        <v/>
      </c>
      <c r="DK41" s="702" t="str">
        <f t="shared" ref="DK41:DL41" si="110">DK158</f>
        <v/>
      </c>
      <c r="DL41" s="702" t="str">
        <f t="shared" si="110"/>
        <v/>
      </c>
    </row>
    <row r="42">
      <c r="A42" s="703"/>
      <c r="B42" s="579" t="s">
        <v>44</v>
      </c>
      <c r="C42" s="242"/>
      <c r="D42" s="242"/>
      <c r="E42" s="243"/>
      <c r="F42" s="244">
        <v>22000.0</v>
      </c>
      <c r="G42" s="244">
        <f t="shared" si="111"/>
        <v>23601</v>
      </c>
      <c r="H42" s="704">
        <f t="shared" si="112"/>
        <v>1.072772727</v>
      </c>
      <c r="I42" s="705" t="str">
        <f>IFERROR(__xludf.DUMMYFUNCTION("IFERROR(SPARKLINE(H42,{""charttype"",""bar"";""color1"",IF(H42&gt;='Май'!green_percent,'Май'!green,IF(H42&gt;='Май'!yellow_percent,'Май'!yellow,IF(H42&gt;='Май'!orange_percent,'Май'!orange,'Май'!red)));""max"",1}))"),"")</f>
        <v/>
      </c>
      <c r="K42" s="706"/>
      <c r="L42" s="707"/>
      <c r="M42" s="706"/>
      <c r="N42" s="708"/>
      <c r="O42" s="709">
        <f t="shared" si="113"/>
        <v>709.6774194</v>
      </c>
      <c r="P42" s="710">
        <v>951.0</v>
      </c>
      <c r="Q42" s="709">
        <v>709.6774193548387</v>
      </c>
      <c r="R42" s="710">
        <v>1284.0</v>
      </c>
      <c r="S42" s="709">
        <v>709.6774193548387</v>
      </c>
      <c r="T42" s="710">
        <v>1174.0</v>
      </c>
      <c r="U42" s="535">
        <f t="shared" ref="U42:V42" si="114">O42+Q42+S42</f>
        <v>2129.032258</v>
      </c>
      <c r="V42" s="486">
        <f t="shared" si="114"/>
        <v>3409</v>
      </c>
      <c r="W42" s="412">
        <f t="shared" si="115"/>
        <v>1.60119697</v>
      </c>
      <c r="X42" s="424" t="str">
        <f>IFERROR(__xludf.DUMMYFUNCTION("IFERROR(SPARKLINE(W42,{""charttype"",""bar"";""color1"",IF(W42&gt;='Май'!green_percent,'Май'!green,IF(W42&gt;='Май'!yellow_percent,'Май'!yellow,IF(W42&gt;='Май'!orange_percent,'Май'!orange,'Май'!red)));""max"",1}))"),"")</f>
        <v/>
      </c>
      <c r="Y42" s="709">
        <v>709.6774193548387</v>
      </c>
      <c r="Z42" s="712">
        <v>0.0</v>
      </c>
      <c r="AA42" s="709">
        <v>709.6774193548387</v>
      </c>
      <c r="AB42" s="713">
        <v>313.0</v>
      </c>
      <c r="AC42" s="709">
        <v>709.6774193548387</v>
      </c>
      <c r="AD42" s="714">
        <v>425.0</v>
      </c>
      <c r="AE42" s="709">
        <v>709.6774193548387</v>
      </c>
      <c r="AF42" s="713">
        <v>544.0</v>
      </c>
      <c r="AG42" s="709">
        <v>709.6774193548387</v>
      </c>
      <c r="AH42" s="713">
        <v>506.0</v>
      </c>
      <c r="AI42" s="709">
        <v>709.6774193548387</v>
      </c>
      <c r="AJ42" s="713">
        <v>67.0</v>
      </c>
      <c r="AK42" s="709">
        <v>709.6774193548387</v>
      </c>
      <c r="AL42" s="713">
        <v>75.0</v>
      </c>
      <c r="AM42" s="535">
        <f t="shared" ref="AM42:AN42" si="116">Y42+AA42+AC42+AE42+AG42+AI42+AK42</f>
        <v>4967.741935</v>
      </c>
      <c r="AN42" s="486">
        <f t="shared" si="116"/>
        <v>1930</v>
      </c>
      <c r="AO42" s="253">
        <f t="shared" si="117"/>
        <v>0.3885064935</v>
      </c>
      <c r="AP42" s="427" t="str">
        <f>IFERROR(__xludf.DUMMYFUNCTION("IFERROR(SPARKLINE(AO42,{""charttype"",""bar"";""color1"",IF(AO42&gt;='Май'!green_percent,'Май'!green,IF(AO42&gt;='Май'!yellow_percent,'Май'!yellow,IF(AO42&gt;='Май'!orange_percent,'Май'!orange,'Май'!red)));""max"",1}))"),"")</f>
        <v/>
      </c>
      <c r="AQ42" s="709">
        <v>709.6774193548387</v>
      </c>
      <c r="AR42" s="715">
        <v>701.0</v>
      </c>
      <c r="AS42" s="709">
        <v>709.6774193548387</v>
      </c>
      <c r="AT42" s="712">
        <v>840.0</v>
      </c>
      <c r="AU42" s="709">
        <v>709.6774193548387</v>
      </c>
      <c r="AV42" s="710">
        <v>541.0</v>
      </c>
      <c r="AW42" s="709">
        <v>709.6774193548387</v>
      </c>
      <c r="AX42" s="710">
        <v>863.0</v>
      </c>
      <c r="AY42" s="709">
        <v>709.6774193548387</v>
      </c>
      <c r="AZ42" s="710">
        <v>747.0</v>
      </c>
      <c r="BA42" s="709">
        <v>709.6774193548387</v>
      </c>
      <c r="BB42" s="710">
        <v>50.0</v>
      </c>
      <c r="BC42" s="709">
        <v>709.6774193548387</v>
      </c>
      <c r="BD42" s="710">
        <v>40.0</v>
      </c>
      <c r="BE42" s="535">
        <f t="shared" ref="BE42:BF42" si="118">AQ42+AS42+AU42+AW42+AY42+BA42+BC42</f>
        <v>4967.741935</v>
      </c>
      <c r="BF42" s="486">
        <f t="shared" si="118"/>
        <v>3782</v>
      </c>
      <c r="BG42" s="253">
        <f t="shared" si="119"/>
        <v>0.7613116883</v>
      </c>
      <c r="BH42" s="427" t="str">
        <f>IFERROR(__xludf.DUMMYFUNCTION("IFERROR(SPARKLINE(BG42,{""charttype"",""bar"";""color1"",IF(BG42&gt;='Май'!green_percent,'Май'!green,IF(BG42&gt;='Май'!yellow_percent,'Май'!yellow,IF(BG42&gt;='Май'!orange_percent,'Май'!orange,'Май'!red)));""max"",1}))"),"")</f>
        <v/>
      </c>
      <c r="BI42" s="709">
        <v>709.6774193548387</v>
      </c>
      <c r="BJ42" s="710">
        <v>281.0</v>
      </c>
      <c r="BK42" s="709">
        <v>709.6774193548387</v>
      </c>
      <c r="BL42" s="716">
        <v>528.0</v>
      </c>
      <c r="BM42" s="709">
        <v>709.6774193548387</v>
      </c>
      <c r="BN42" s="716">
        <v>613.0</v>
      </c>
      <c r="BO42" s="709">
        <v>709.6774193548387</v>
      </c>
      <c r="BP42" s="716">
        <v>401.0</v>
      </c>
      <c r="BQ42" s="709">
        <v>709.6774193548387</v>
      </c>
      <c r="BR42" s="716">
        <v>409.0</v>
      </c>
      <c r="BS42" s="709">
        <v>709.6774193548387</v>
      </c>
      <c r="BT42" s="716">
        <v>33.0</v>
      </c>
      <c r="BU42" s="709">
        <v>709.6774193548387</v>
      </c>
      <c r="BV42" s="716">
        <v>36.0</v>
      </c>
      <c r="BW42" s="535">
        <v>396.6666666666667</v>
      </c>
      <c r="BX42" s="486">
        <f t="shared" si="120"/>
        <v>2301</v>
      </c>
      <c r="BY42" s="253">
        <f t="shared" si="107"/>
        <v>5.800840336</v>
      </c>
      <c r="BZ42" s="427" t="str">
        <f>IFERROR(__xludf.DUMMYFUNCTION("IFERROR(SPARKLINE(BY42,{""charttype"",""bar"";""color1"",IF(BY42&gt;='Май'!green_percent,'Май'!green,IF(BY42&gt;='Май'!yellow_percent,'Май'!yellow,IF(BY42&gt;='Май'!orange_percent,'Май'!orange,'Май'!red)));""max"",1}))"),"")</f>
        <v/>
      </c>
      <c r="CA42" s="709">
        <v>709.6774193548387</v>
      </c>
      <c r="CB42" s="710">
        <v>1591.0</v>
      </c>
      <c r="CC42" s="709">
        <v>709.6774193548387</v>
      </c>
      <c r="CD42" s="710">
        <v>3818.0</v>
      </c>
      <c r="CE42" s="709">
        <v>709.6774193548387</v>
      </c>
      <c r="CF42" s="710">
        <v>3094.0</v>
      </c>
      <c r="CG42" s="709">
        <v>709.6774193548387</v>
      </c>
      <c r="CH42" s="710">
        <v>3676.0</v>
      </c>
      <c r="CI42" s="709">
        <v>709.6774193548387</v>
      </c>
      <c r="CJ42" s="710">
        <v>3501.0</v>
      </c>
      <c r="CK42" s="709">
        <v>709.6774193548387</v>
      </c>
      <c r="CL42" s="710">
        <v>1492.0</v>
      </c>
      <c r="CM42" s="709">
        <v>709.6774193548387</v>
      </c>
      <c r="CN42" s="710">
        <v>2082.0</v>
      </c>
      <c r="CO42" s="1633">
        <f t="shared" si="121"/>
        <v>4967.741935</v>
      </c>
      <c r="CP42" s="258">
        <f t="shared" si="122"/>
        <v>12179</v>
      </c>
      <c r="CQ42" s="259">
        <f t="shared" si="123"/>
        <v>2.451616883</v>
      </c>
      <c r="CR42" s="260" t="str">
        <f>IFERROR(__xludf.DUMMYFUNCTION("IFERROR(SPARKLINE(CQ42,{""charttype"",""bar"";""color1"",IF(CQ42&gt;='Май'!green_percent,'Май'!green,IF(CQ42&gt;='Май'!yellow_percent,'Май'!yellow,IF(CQ42&gt;='Май'!orange_percent,'Май'!orange,'Май'!red)));""max"",1}))"),"")</f>
        <v/>
      </c>
      <c r="CS42" s="261"/>
      <c r="CT42" s="718"/>
      <c r="CU42" s="719"/>
      <c r="CV42" s="718"/>
      <c r="CW42" s="720"/>
      <c r="CX42" s="721"/>
      <c r="CY42" s="720"/>
      <c r="CZ42" s="721"/>
      <c r="DA42" s="720"/>
      <c r="DB42" s="721"/>
      <c r="DC42" s="720"/>
      <c r="DD42" s="721"/>
      <c r="DE42" s="720"/>
      <c r="DF42" s="721"/>
      <c r="DG42" s="722">
        <f t="shared" ref="DG42:DH42" si="124">CS42+CU42+CW42+CY42+DA42+DC42+DE42</f>
        <v>0</v>
      </c>
      <c r="DH42" s="264">
        <f t="shared" si="124"/>
        <v>0</v>
      </c>
      <c r="DI42" s="300" t="str">
        <f t="shared" si="125"/>
        <v/>
      </c>
      <c r="DJ42" s="445" t="str">
        <f>IFERROR(__xludf.DUMMYFUNCTION("IFERROR(SPARKLINE(DI42,{""charttype"",""bar"";""color1"",IF(DI42&gt;='Май'!green_percent,'Май'!green,IF(DI42&gt;='Май'!yellow_percent,'Май'!yellow,IF(DI42&gt;='Май'!orange_percent,'Май'!orange,'Май'!red)));""max"",1}))"),"")</f>
        <v/>
      </c>
      <c r="DK42" s="723"/>
      <c r="DL42" s="723"/>
    </row>
    <row r="43">
      <c r="A43" s="673"/>
      <c r="B43" s="724" t="s">
        <v>45</v>
      </c>
      <c r="C43" s="217"/>
      <c r="D43" s="217"/>
      <c r="E43" s="218"/>
      <c r="F43" s="448">
        <v>60.0</v>
      </c>
      <c r="G43" s="448">
        <f t="shared" si="111"/>
        <v>50</v>
      </c>
      <c r="H43" s="543">
        <f t="shared" si="112"/>
        <v>0.8333333333</v>
      </c>
      <c r="I43" s="675" t="str">
        <f>IFERROR(__xludf.DUMMYFUNCTION("IFERROR(SPARKLINE(H43,{""charttype"",""bar"";""color1"",IF(H43&gt;='Май'!green_percent,'Май'!green,IF(H43&gt;='Май'!yellow_percent,'Май'!yellow,IF(H43&gt;='Май'!orange_percent,'Май'!orange,'Май'!red)));""max"",1}))"),"")</f>
        <v/>
      </c>
      <c r="K43" s="725"/>
      <c r="L43" s="726"/>
      <c r="M43" s="725"/>
      <c r="N43" s="726"/>
      <c r="O43" s="727">
        <f t="shared" si="113"/>
        <v>1.935483871</v>
      </c>
      <c r="P43" s="466">
        <v>0.0</v>
      </c>
      <c r="Q43" s="727">
        <v>1.935483870967742</v>
      </c>
      <c r="R43" s="466">
        <v>0.0</v>
      </c>
      <c r="S43" s="727">
        <v>1.935483870967742</v>
      </c>
      <c r="T43" s="466">
        <v>0.0</v>
      </c>
      <c r="U43" s="460">
        <f t="shared" ref="U43:V43" si="126">O43+Q43+S43</f>
        <v>5.806451613</v>
      </c>
      <c r="V43" s="464">
        <f t="shared" si="126"/>
        <v>0</v>
      </c>
      <c r="W43" s="220">
        <f t="shared" si="115"/>
        <v>0</v>
      </c>
      <c r="X43" s="458" t="str">
        <f>IFERROR(__xludf.DUMMYFUNCTION("IFERROR(SPARKLINE(W43,{""charttype"",""bar"";""color1"",IF(W43&gt;='Май'!green_percent,'Май'!green,IF(W43&gt;='Май'!yellow_percent,'Май'!yellow,IF(W43&gt;='Май'!orange_percent,'Май'!orange,'Май'!red)));""max"",1}))"),"")</f>
        <v/>
      </c>
      <c r="Y43" s="727">
        <v>1.935483870967742</v>
      </c>
      <c r="Z43" s="459">
        <v>2.0</v>
      </c>
      <c r="AA43" s="727">
        <v>1.935483870967742</v>
      </c>
      <c r="AB43" s="712">
        <v>2.0</v>
      </c>
      <c r="AC43" s="727">
        <v>1.935483870967742</v>
      </c>
      <c r="AD43" s="712">
        <v>1.0</v>
      </c>
      <c r="AE43" s="727">
        <v>1.935483870967742</v>
      </c>
      <c r="AF43" s="730">
        <v>6.0</v>
      </c>
      <c r="AG43" s="727">
        <v>1.935483870967742</v>
      </c>
      <c r="AH43" s="712">
        <v>0.0</v>
      </c>
      <c r="AI43" s="727">
        <v>1.935483870967742</v>
      </c>
      <c r="AJ43" s="712">
        <v>0.0</v>
      </c>
      <c r="AK43" s="727">
        <v>1.935483870967742</v>
      </c>
      <c r="AL43" s="712">
        <v>0.0</v>
      </c>
      <c r="AM43" s="460">
        <f t="shared" ref="AM43:AN43" si="127">Y43+AA43+AC43+AE43+AG43+AI43+AK43</f>
        <v>13.5483871</v>
      </c>
      <c r="AN43" s="464">
        <f t="shared" si="127"/>
        <v>11</v>
      </c>
      <c r="AO43" s="279">
        <f t="shared" si="117"/>
        <v>0.8119047619</v>
      </c>
      <c r="AP43" s="462" t="str">
        <f>IFERROR(__xludf.DUMMYFUNCTION("IFERROR(SPARKLINE(AO43,{""charttype"",""bar"";""color1"",IF(AO43&gt;='Май'!green_percent,'Май'!green,IF(AO43&gt;='Май'!yellow_percent,'Май'!yellow,IF(AO43&gt;='Май'!orange_percent,'Май'!orange,'Май'!red)));""max"",1}))"),"")</f>
        <v/>
      </c>
      <c r="AQ43" s="727">
        <v>1.935483870967742</v>
      </c>
      <c r="AR43" s="466">
        <v>0.0</v>
      </c>
      <c r="AS43" s="727">
        <v>1.935483870967742</v>
      </c>
      <c r="AT43" s="731">
        <v>4.0</v>
      </c>
      <c r="AU43" s="727">
        <v>1.935483870967742</v>
      </c>
      <c r="AV43" s="466">
        <v>2.0</v>
      </c>
      <c r="AW43" s="727">
        <v>1.935483870967742</v>
      </c>
      <c r="AX43" s="466">
        <v>2.0</v>
      </c>
      <c r="AY43" s="727">
        <v>1.935483870967742</v>
      </c>
      <c r="AZ43" s="466">
        <v>2.0</v>
      </c>
      <c r="BA43" s="727">
        <v>1.935483870967742</v>
      </c>
      <c r="BB43" s="466">
        <v>4.0</v>
      </c>
      <c r="BC43" s="727">
        <v>1.935483870967742</v>
      </c>
      <c r="BD43" s="466">
        <v>0.0</v>
      </c>
      <c r="BE43" s="460">
        <f t="shared" ref="BE43:BF43" si="128">AQ43+AS43+AU43+AW43+AY43+BA43+BC43</f>
        <v>13.5483871</v>
      </c>
      <c r="BF43" s="464">
        <f t="shared" si="128"/>
        <v>14</v>
      </c>
      <c r="BG43" s="279">
        <f t="shared" si="119"/>
        <v>1.033333333</v>
      </c>
      <c r="BH43" s="462" t="str">
        <f>IFERROR(__xludf.DUMMYFUNCTION("IFERROR(SPARKLINE(BG43,{""charttype"",""bar"";""color1"",IF(BG43&gt;='Май'!green_percent,'Май'!green,IF(BG43&gt;='Май'!yellow_percent,'Май'!yellow,IF(BG43&gt;='Май'!orange_percent,'Май'!orange,'Май'!red)));""max"",1}))"),"")</f>
        <v/>
      </c>
      <c r="BI43" s="727">
        <v>1.935483870967742</v>
      </c>
      <c r="BJ43" s="466">
        <v>3.0</v>
      </c>
      <c r="BK43" s="727">
        <v>1.935483870967742</v>
      </c>
      <c r="BL43" s="271">
        <v>4.0</v>
      </c>
      <c r="BM43" s="727">
        <v>1.935483870967742</v>
      </c>
      <c r="BN43" s="465">
        <v>0.0</v>
      </c>
      <c r="BO43" s="727">
        <v>1.935483870967742</v>
      </c>
      <c r="BP43" s="465">
        <v>1.0</v>
      </c>
      <c r="BQ43" s="727">
        <v>1.935483870967742</v>
      </c>
      <c r="BR43" s="465">
        <v>2.0</v>
      </c>
      <c r="BS43" s="727">
        <v>1.935483870967742</v>
      </c>
      <c r="BT43" s="465">
        <v>0.0</v>
      </c>
      <c r="BU43" s="727">
        <v>1.935483870967742</v>
      </c>
      <c r="BV43" s="465">
        <v>1.0</v>
      </c>
      <c r="BW43" s="725">
        <v>13.55</v>
      </c>
      <c r="BX43" s="464">
        <f t="shared" si="120"/>
        <v>11</v>
      </c>
      <c r="BY43" s="279">
        <f t="shared" si="107"/>
        <v>0.8118081181</v>
      </c>
      <c r="BZ43" s="462" t="str">
        <f>IFERROR(__xludf.DUMMYFUNCTION("IFERROR(SPARKLINE(BY43,{""charttype"",""bar"";""color1"",IF(BY43&gt;='Май'!green_percent,'Май'!green,IF(BY43&gt;='Май'!yellow_percent,'Май'!yellow,IF(BY43&gt;='Май'!orange_percent,'Май'!orange,'Май'!red)));""max"",1}))"),"")</f>
        <v/>
      </c>
      <c r="CA43" s="727">
        <v>1.935483870967742</v>
      </c>
      <c r="CB43" s="466">
        <v>3.0</v>
      </c>
      <c r="CC43" s="727">
        <v>1.935483870967742</v>
      </c>
      <c r="CD43" s="466">
        <v>4.0</v>
      </c>
      <c r="CE43" s="727">
        <v>1.935483870967742</v>
      </c>
      <c r="CF43" s="466">
        <v>4.0</v>
      </c>
      <c r="CG43" s="727">
        <v>1.935483870967742</v>
      </c>
      <c r="CH43" s="466">
        <v>3.0</v>
      </c>
      <c r="CI43" s="727">
        <v>1.935483870967742</v>
      </c>
      <c r="CJ43" s="466">
        <v>2.0</v>
      </c>
      <c r="CK43" s="727">
        <v>1.935483870967742</v>
      </c>
      <c r="CL43" s="466">
        <v>1.0</v>
      </c>
      <c r="CM43" s="727">
        <v>1.935483870967742</v>
      </c>
      <c r="CN43" s="466">
        <v>1.0</v>
      </c>
      <c r="CO43" s="732">
        <f t="shared" si="121"/>
        <v>13.5483871</v>
      </c>
      <c r="CP43" s="733">
        <f t="shared" si="122"/>
        <v>14</v>
      </c>
      <c r="CQ43" s="231">
        <f t="shared" si="123"/>
        <v>1.033333333</v>
      </c>
      <c r="CR43" s="232" t="str">
        <f>IFERROR(__xludf.DUMMYFUNCTION("IFERROR(SPARKLINE(CQ43,{""charttype"",""bar"";""color1"",IF(CQ43&gt;='Май'!green_percent,'Май'!green,IF(CQ43&gt;='Май'!yellow_percent,'Май'!yellow,IF(CQ43&gt;='Май'!orange_percent,'Май'!orange,'Май'!red)));""max"",1}))"),"")</f>
        <v/>
      </c>
      <c r="CS43" s="261"/>
      <c r="CT43" s="734"/>
      <c r="CU43" s="719"/>
      <c r="CV43" s="734"/>
      <c r="CW43" s="735"/>
      <c r="CX43" s="736"/>
      <c r="CY43" s="735"/>
      <c r="CZ43" s="736"/>
      <c r="DA43" s="735"/>
      <c r="DB43" s="736"/>
      <c r="DC43" s="735"/>
      <c r="DD43" s="736"/>
      <c r="DE43" s="735"/>
      <c r="DF43" s="736"/>
      <c r="DG43" s="737">
        <f t="shared" ref="DG43:DH43" si="129">CS43+CU43+CW43+CY43+DA43+DC43+DE43</f>
        <v>0</v>
      </c>
      <c r="DH43" s="290">
        <f t="shared" si="129"/>
        <v>0</v>
      </c>
      <c r="DI43" s="478" t="str">
        <f t="shared" si="125"/>
        <v/>
      </c>
      <c r="DJ43" s="479" t="str">
        <f>IFERROR(__xludf.DUMMYFUNCTION("IFERROR(SPARKLINE(DI43,{""charttype"",""bar"";""color1"",IF(DI43&gt;='Май'!green_percent,'Май'!green,IF(DI43&gt;='Май'!yellow_percent,'Май'!yellow,IF(DI43&gt;='Май'!orange_percent,'Май'!orange,'Май'!red)));""max"",1}))"),"")</f>
        <v/>
      </c>
      <c r="DK43" s="738"/>
      <c r="DL43" s="738"/>
    </row>
    <row r="44">
      <c r="A44" s="703"/>
      <c r="B44" s="579" t="s">
        <v>22</v>
      </c>
      <c r="C44" s="242"/>
      <c r="D44" s="242"/>
      <c r="E44" s="243"/>
      <c r="F44" s="411">
        <f t="shared" ref="F44:G44" si="130">F41/F43</f>
        <v>2666.666667</v>
      </c>
      <c r="G44" s="411">
        <f t="shared" si="130"/>
        <v>3031.64</v>
      </c>
      <c r="H44" s="704">
        <f t="shared" si="112"/>
        <v>1.136865</v>
      </c>
      <c r="I44" s="705" t="str">
        <f>IFERROR(__xludf.DUMMYFUNCTION("IFERROR(SPARKLINE(H44,{""charttype"",""bar"";""color1"",IF(H44&gt;='Май'!green_percent,'Май'!green,IF(H44&gt;='Май'!yellow_percent,'Май'!yellow,IF(H44&gt;='Май'!orange_percent,'Май'!orange,'Май'!red)));""max"",1}))"),"")</f>
        <v/>
      </c>
      <c r="K44" s="706"/>
      <c r="L44" s="708"/>
      <c r="M44" s="706"/>
      <c r="N44" s="708"/>
      <c r="O44" s="676">
        <f>F44</f>
        <v>2666.666667</v>
      </c>
      <c r="P44" s="739" t="str">
        <f>P41/P43</f>
        <v>#DIV/0!</v>
      </c>
      <c r="Q44" s="676">
        <v>2666.6666666666665</v>
      </c>
      <c r="R44" s="710" t="str">
        <f>R41/R43</f>
        <v>#DIV/0!</v>
      </c>
      <c r="S44" s="676">
        <v>2666.6666666666665</v>
      </c>
      <c r="T44" s="739" t="str">
        <f>T41/T43</f>
        <v>#DIV/0!</v>
      </c>
      <c r="U44" s="423">
        <f>F44</f>
        <v>2666.666667</v>
      </c>
      <c r="V44" s="428" t="str">
        <f>V41/V43</f>
        <v>#DIV/0!</v>
      </c>
      <c r="W44" s="412" t="str">
        <f t="shared" si="115"/>
        <v/>
      </c>
      <c r="X44" s="424" t="str">
        <f>IFERROR(__xludf.DUMMYFUNCTION("IFERROR(SPARKLINE(W44,{""charttype"",""bar"";""color1"",IF(W44&gt;='Май'!green_percent,'Май'!green,IF(W44&gt;='Май'!yellow_percent,'Май'!yellow,IF(W44&gt;='Май'!orange_percent,'Май'!orange,'Май'!red)));""max"",1}))"),"")</f>
        <v/>
      </c>
      <c r="Y44" s="676">
        <v>2666.6666666666665</v>
      </c>
      <c r="Z44" s="712">
        <v>0.0</v>
      </c>
      <c r="AA44" s="676">
        <v>2666.6666666666665</v>
      </c>
      <c r="AB44" s="742">
        <f>AB41/AB43</f>
        <v>3172.5</v>
      </c>
      <c r="AC44" s="676">
        <v>2666.6666666666665</v>
      </c>
      <c r="AD44" s="742">
        <f>AD41/AD43</f>
        <v>7743</v>
      </c>
      <c r="AE44" s="676">
        <v>2666.6666666666665</v>
      </c>
      <c r="AF44" s="742">
        <f>AF41/AF43</f>
        <v>1367.5</v>
      </c>
      <c r="AG44" s="676">
        <v>2666.6666666666665</v>
      </c>
      <c r="AH44" s="742" t="str">
        <f>AH41/AH43</f>
        <v>#DIV/0!</v>
      </c>
      <c r="AI44" s="676">
        <v>2666.6666666666665</v>
      </c>
      <c r="AJ44" s="459"/>
      <c r="AK44" s="676">
        <v>2666.6666666666665</v>
      </c>
      <c r="AL44" s="459"/>
      <c r="AM44" s="1634">
        <v>3625.0</v>
      </c>
      <c r="AN44" s="428">
        <f>AN41/AN43</f>
        <v>3032.181818</v>
      </c>
      <c r="AO44" s="253">
        <f t="shared" si="117"/>
        <v>0.8364639498</v>
      </c>
      <c r="AP44" s="427" t="str">
        <f>IFERROR(__xludf.DUMMYFUNCTION("IFERROR(SPARKLINE(AO44,{""charttype"",""bar"";""color1"",IF(AO44&gt;='Май'!green_percent,'Май'!green,IF(AO44&gt;='Май'!yellow_percent,'Май'!yellow,IF(AO44&gt;='Май'!orange_percent,'Май'!orange,'Май'!red)));""max"",1}))"),"")</f>
        <v/>
      </c>
      <c r="AQ44" s="676">
        <v>2666.6666666666665</v>
      </c>
      <c r="AR44" s="739" t="str">
        <f>AR41/AR43</f>
        <v>#DIV/0!</v>
      </c>
      <c r="AS44" s="676">
        <v>2666.6666666666665</v>
      </c>
      <c r="AT44" s="743">
        <f>AT41/AT43</f>
        <v>1929</v>
      </c>
      <c r="AU44" s="676">
        <v>2666.6666666666665</v>
      </c>
      <c r="AV44" s="739">
        <f>AV41/AV43</f>
        <v>2923.5</v>
      </c>
      <c r="AW44" s="676">
        <v>2666.6666666666665</v>
      </c>
      <c r="AX44" s="739">
        <f>AX41/AX43</f>
        <v>3737.5</v>
      </c>
      <c r="AY44" s="676">
        <v>2666.6666666666665</v>
      </c>
      <c r="AZ44" s="739">
        <f>AZ41/AZ43</f>
        <v>3763.5</v>
      </c>
      <c r="BA44" s="676">
        <v>2666.6666666666665</v>
      </c>
      <c r="BB44" s="739">
        <f>BB41/BB43</f>
        <v>305</v>
      </c>
      <c r="BC44" s="676">
        <v>2666.6666666666665</v>
      </c>
      <c r="BD44" s="710"/>
      <c r="BE44" s="1634">
        <v>3625.0</v>
      </c>
      <c r="BF44" s="428">
        <f>BF41/BF43</f>
        <v>2641.785714</v>
      </c>
      <c r="BG44" s="253">
        <f t="shared" si="119"/>
        <v>0.7287684729</v>
      </c>
      <c r="BH44" s="427" t="str">
        <f>IFERROR(__xludf.DUMMYFUNCTION("IFERROR(SPARKLINE(BG44,{""charttype"",""bar"";""color1"",IF(BG44&gt;='Май'!green_percent,'Май'!green,IF(BG44&gt;='Май'!yellow_percent,'Май'!yellow,IF(BG44&gt;='Май'!orange_percent,'Май'!orange,'Май'!red)));""max"",1}))"),"")</f>
        <v/>
      </c>
      <c r="BI44" s="676">
        <v>2666.6666666666665</v>
      </c>
      <c r="BJ44" s="739">
        <f>BJ41/BJ43</f>
        <v>2225.666667</v>
      </c>
      <c r="BK44" s="676">
        <v>2666.6666666666665</v>
      </c>
      <c r="BL44" s="342">
        <f>BL41/BL43</f>
        <v>2115.5</v>
      </c>
      <c r="BM44" s="676">
        <v>2666.6666666666665</v>
      </c>
      <c r="BN44" s="744" t="str">
        <f>BN41/BN43</f>
        <v>#DIV/0!</v>
      </c>
      <c r="BO44" s="676">
        <v>2666.6666666666665</v>
      </c>
      <c r="BP44" s="744">
        <f>BP41/BP43</f>
        <v>6292</v>
      </c>
      <c r="BQ44" s="676">
        <v>2666.6666666666665</v>
      </c>
      <c r="BR44" s="744">
        <f>BR41/BR43</f>
        <v>3126.5</v>
      </c>
      <c r="BS44" s="676">
        <v>2666.6666666666665</v>
      </c>
      <c r="BT44" s="716" t="str">
        <f>BT41/BT43</f>
        <v>#DIV/0!</v>
      </c>
      <c r="BU44" s="676">
        <v>2666.6666666666665</v>
      </c>
      <c r="BV44" s="744">
        <f>BV41/BV43</f>
        <v>1259</v>
      </c>
      <c r="BW44" s="1634">
        <v>2666.6666666666665</v>
      </c>
      <c r="BX44" s="486" t="str">
        <f t="shared" si="120"/>
        <v>#DIV/0!</v>
      </c>
      <c r="BY44" s="253" t="str">
        <f t="shared" si="107"/>
        <v/>
      </c>
      <c r="BZ44" s="427" t="str">
        <f>IFERROR(__xludf.DUMMYFUNCTION("IFERROR(SPARKLINE(BY44,{""charttype"",""bar"";""color1"",IF(BY44&gt;='Май'!green_percent,'Май'!green,IF(BY44&gt;='Май'!yellow_percent,'Май'!yellow,IF(BY44&gt;='Май'!orange_percent,'Май'!orange,'Май'!red)));""max"",1}))"),"")</f>
        <v/>
      </c>
      <c r="CA44" s="676">
        <v>2666.6666666666665</v>
      </c>
      <c r="CB44" s="739">
        <f>CB41/CB43</f>
        <v>2025.333333</v>
      </c>
      <c r="CC44" s="676">
        <v>2666.6666666666665</v>
      </c>
      <c r="CD44" s="739">
        <f>CD41/CD43</f>
        <v>2459</v>
      </c>
      <c r="CE44" s="676">
        <v>2666.6666666666665</v>
      </c>
      <c r="CF44" s="739">
        <f>CF41/CF43</f>
        <v>1981</v>
      </c>
      <c r="CG44" s="676">
        <v>2666.6666666666665</v>
      </c>
      <c r="CH44" s="739">
        <f>CH41/CH43</f>
        <v>2003</v>
      </c>
      <c r="CI44" s="676">
        <v>2666.6666666666665</v>
      </c>
      <c r="CJ44" s="739">
        <f>CJ41/CJ43</f>
        <v>4123.5</v>
      </c>
      <c r="CK44" s="676">
        <v>2666.6666666666665</v>
      </c>
      <c r="CL44" s="739">
        <f>CL41/CL43</f>
        <v>1492</v>
      </c>
      <c r="CM44" s="676">
        <v>2666.6666666666665</v>
      </c>
      <c r="CN44" s="739">
        <f>CN41/CN43</f>
        <v>1811</v>
      </c>
      <c r="CO44" s="717">
        <f t="shared" si="121"/>
        <v>18666.66667</v>
      </c>
      <c r="CP44" s="437">
        <f>CP41/CP43</f>
        <v>2131.785714</v>
      </c>
      <c r="CQ44" s="259">
        <f t="shared" si="123"/>
        <v>0.1142028061</v>
      </c>
      <c r="CR44" s="260" t="str">
        <f>IFERROR(__xludf.DUMMYFUNCTION("IFERROR(SPARKLINE(CQ44,{""charttype"",""bar"";""color1"",IF(CQ44&gt;='Май'!green_percent,'Май'!green,IF(CQ44&gt;='Май'!yellow_percent,'Май'!yellow,IF(CQ44&gt;='Май'!orange_percent,'Май'!orange,'Май'!red)));""max"",1}))"),"")</f>
        <v/>
      </c>
      <c r="CS44" s="261"/>
      <c r="CT44" s="746"/>
      <c r="CU44" s="719"/>
      <c r="CV44" s="746"/>
      <c r="CW44" s="747"/>
      <c r="CX44" s="748"/>
      <c r="CY44" s="747"/>
      <c r="CZ44" s="748"/>
      <c r="DA44" s="747"/>
      <c r="DB44" s="748"/>
      <c r="DC44" s="747"/>
      <c r="DD44" s="748"/>
      <c r="DE44" s="747"/>
      <c r="DF44" s="748"/>
      <c r="DG44" s="722">
        <f t="shared" ref="DG44:DH44" si="131">CS44+CU44+CW44+CY44+DA44+DC44+DE44</f>
        <v>0</v>
      </c>
      <c r="DH44" s="749">
        <f t="shared" si="131"/>
        <v>0</v>
      </c>
      <c r="DI44" s="444" t="str">
        <f t="shared" si="125"/>
        <v/>
      </c>
      <c r="DJ44" s="445" t="str">
        <f>IFERROR(__xludf.DUMMYFUNCTION("IFERROR(SPARKLINE(DI44,{""charttype"",""bar"";""color1"",IF(DI44&gt;='Май'!green_percent,'Май'!green,IF(DI44&gt;='Май'!yellow_percent,'Май'!yellow,IF(DI44&gt;='Май'!orange_percent,'Май'!orange,'Май'!red)));""max"",1}))"),"")</f>
        <v/>
      </c>
      <c r="DK44" s="750"/>
      <c r="DL44" s="750"/>
    </row>
    <row r="45">
      <c r="A45" s="673"/>
      <c r="B45" s="724" t="s">
        <v>46</v>
      </c>
      <c r="C45" s="217"/>
      <c r="D45" s="217"/>
      <c r="E45" s="218"/>
      <c r="F45" s="219">
        <v>0.0025</v>
      </c>
      <c r="G45" s="219">
        <f>G43/G42</f>
        <v>0.002118554299</v>
      </c>
      <c r="H45" s="543">
        <f t="shared" si="112"/>
        <v>0.8474217194</v>
      </c>
      <c r="I45" s="675" t="str">
        <f>IFERROR(__xludf.DUMMYFUNCTION("IFERROR(SPARKLINE(H45,{""charttype"",""bar"";""color1"",IF(H45&gt;='Май'!green_percent,'Май'!green,IF(H45&gt;='Май'!yellow_percent,'Май'!yellow,IF(H45&gt;='Май'!orange_percent,'Май'!orange,'Май'!red)));""max"",1}))"),"")</f>
        <v/>
      </c>
      <c r="K45" s="751"/>
      <c r="L45" s="752"/>
      <c r="M45" s="751"/>
      <c r="N45" s="753"/>
      <c r="O45" s="754">
        <f t="shared" ref="O45:P45" si="132">O43/O42</f>
        <v>0.002727272727</v>
      </c>
      <c r="P45" s="755">
        <f t="shared" si="132"/>
        <v>0</v>
      </c>
      <c r="Q45" s="754">
        <v>0.0027272727272727275</v>
      </c>
      <c r="R45" s="755">
        <f>R43/R42</f>
        <v>0</v>
      </c>
      <c r="S45" s="754">
        <v>0.0027272727272727275</v>
      </c>
      <c r="T45" s="756">
        <f t="shared" ref="T45:V45" si="133">T43/T42</f>
        <v>0</v>
      </c>
      <c r="U45" s="348">
        <f t="shared" si="133"/>
        <v>0.002727272727</v>
      </c>
      <c r="V45" s="757">
        <f t="shared" si="133"/>
        <v>0</v>
      </c>
      <c r="W45" s="220">
        <f t="shared" si="115"/>
        <v>0</v>
      </c>
      <c r="X45" s="458" t="str">
        <f>IFERROR(__xludf.DUMMYFUNCTION("IFERROR(SPARKLINE(W45,{""charttype"",""bar"";""color1"",IF(W45&gt;='Май'!green_percent,'Май'!green,IF(W45&gt;='Май'!yellow_percent,'Май'!yellow,IF(W45&gt;='Май'!orange_percent,'Май'!orange,'Май'!red)));""max"",1}))"),"")</f>
        <v/>
      </c>
      <c r="Y45" s="754">
        <v>0.0027272727272727275</v>
      </c>
      <c r="Z45" s="758"/>
      <c r="AA45" s="754">
        <v>0.0027272727272727275</v>
      </c>
      <c r="AB45" s="759">
        <f>AB43/AB42</f>
        <v>0.006389776358</v>
      </c>
      <c r="AC45" s="754">
        <v>0.0027272727272727275</v>
      </c>
      <c r="AD45" s="759">
        <f>AD43/AD42</f>
        <v>0.002352941176</v>
      </c>
      <c r="AE45" s="754">
        <v>0.0027272727272727275</v>
      </c>
      <c r="AF45" s="759">
        <f>AF43/AF42</f>
        <v>0.01102941176</v>
      </c>
      <c r="AG45" s="754">
        <v>0.0027272727272727275</v>
      </c>
      <c r="AH45" s="759">
        <f>AH43/AH42</f>
        <v>0</v>
      </c>
      <c r="AI45" s="754">
        <v>0.0027272727272727275</v>
      </c>
      <c r="AJ45" s="760"/>
      <c r="AK45" s="754">
        <v>0.0027272727272727275</v>
      </c>
      <c r="AL45" s="760"/>
      <c r="AM45" s="761">
        <f t="shared" ref="AM45:AN45" si="134">AM43/AM42</f>
        <v>0.002727272727</v>
      </c>
      <c r="AN45" s="762">
        <f t="shared" si="134"/>
        <v>0.005699481865</v>
      </c>
      <c r="AO45" s="279">
        <f t="shared" si="117"/>
        <v>2.089810017</v>
      </c>
      <c r="AP45" s="462" t="str">
        <f>IFERROR(__xludf.DUMMYFUNCTION("IFERROR(SPARKLINE(AO45,{""charttype"",""bar"";""color1"",IF(AO45&gt;='Май'!green_percent,'Май'!green,IF(AO45&gt;='Май'!yellow_percent,'Май'!yellow,IF(AO45&gt;='Май'!orange_percent,'Май'!orange,'Май'!red)));""max"",1}))"),"")</f>
        <v/>
      </c>
      <c r="AQ45" s="754">
        <v>0.0027272727272727275</v>
      </c>
      <c r="AR45" s="539">
        <f>AR43/AR42</f>
        <v>0</v>
      </c>
      <c r="AS45" s="754">
        <v>0.0027272727272727275</v>
      </c>
      <c r="AT45" s="539">
        <f>AT43/AT42</f>
        <v>0.004761904762</v>
      </c>
      <c r="AU45" s="754">
        <v>0.0027272727272727275</v>
      </c>
      <c r="AV45" s="755">
        <f>AV43/AV42</f>
        <v>0.003696857671</v>
      </c>
      <c r="AW45" s="754">
        <v>0.0027272727272727275</v>
      </c>
      <c r="AX45" s="755">
        <f>AX43/AX42</f>
        <v>0.002317497103</v>
      </c>
      <c r="AY45" s="754">
        <v>0.0027272727272727275</v>
      </c>
      <c r="AZ45" s="755">
        <f>AZ43/AZ42</f>
        <v>0.002677376171</v>
      </c>
      <c r="BA45" s="754">
        <v>0.0027272727272727275</v>
      </c>
      <c r="BB45" s="755">
        <f>BB43/BB42</f>
        <v>0.08</v>
      </c>
      <c r="BC45" s="754">
        <v>0.0027272727272727275</v>
      </c>
      <c r="BD45" s="763"/>
      <c r="BE45" s="348">
        <v>0.02352941176470588</v>
      </c>
      <c r="BF45" s="279">
        <f t="shared" ref="BF45:BF46" si="140">AR45+AT45+AV45+AX45+AZ45+BB45+BD45</f>
        <v>0.09345363571</v>
      </c>
      <c r="BG45" s="279">
        <f t="shared" si="119"/>
        <v>3.971779518</v>
      </c>
      <c r="BH45" s="462" t="str">
        <f>IFERROR(__xludf.DUMMYFUNCTION("IFERROR(SPARKLINE(BG45,{""charttype"",""bar"";""color1"",IF(BG45&gt;='Май'!green_percent,'Май'!green,IF(BG45&gt;='Май'!yellow_percent,'Май'!yellow,IF(BG45&gt;='Май'!orange_percent,'Май'!orange,'Май'!red)));""max"",1}))"),"")</f>
        <v/>
      </c>
      <c r="BI45" s="754">
        <v>0.0027272727272727275</v>
      </c>
      <c r="BJ45" s="533">
        <f>BJ43/BJ42</f>
        <v>0.01067615658</v>
      </c>
      <c r="BK45" s="754">
        <v>0.0027272727272727275</v>
      </c>
      <c r="BL45" s="532">
        <f>BL43/BL42</f>
        <v>0.007575757576</v>
      </c>
      <c r="BM45" s="754">
        <v>0.0027272727272727275</v>
      </c>
      <c r="BN45" s="532">
        <f>BN43/BN42</f>
        <v>0</v>
      </c>
      <c r="BO45" s="754">
        <v>0.0027272727272727275</v>
      </c>
      <c r="BP45" s="532">
        <f>BP43/BP42</f>
        <v>0.002493765586</v>
      </c>
      <c r="BQ45" s="754">
        <v>0.0027272727272727275</v>
      </c>
      <c r="BR45" s="532">
        <f>BR43/BR42</f>
        <v>0.00488997555</v>
      </c>
      <c r="BS45" s="754">
        <v>0.0027272727272727275</v>
      </c>
      <c r="BT45" s="503"/>
      <c r="BU45" s="754">
        <v>0.0027272727272727275</v>
      </c>
      <c r="BV45" s="532">
        <f>BV43/BV42</f>
        <v>0.02777777778</v>
      </c>
      <c r="BW45" s="348">
        <v>0.02352941176470588</v>
      </c>
      <c r="BX45" s="279">
        <f t="shared" si="120"/>
        <v>0.05341343307</v>
      </c>
      <c r="BY45" s="279">
        <f t="shared" si="107"/>
        <v>2.270070906</v>
      </c>
      <c r="BZ45" s="462" t="str">
        <f>IFERROR(__xludf.DUMMYFUNCTION("IFERROR(SPARKLINE(BY45,{""charttype"",""bar"";""color1"",IF(BY45&gt;='Май'!green_percent,'Май'!green,IF(BY45&gt;='Май'!yellow_percent,'Май'!yellow,IF(BY45&gt;='Май'!orange_percent,'Май'!orange,'Май'!red)));""max"",1}))"),"")</f>
        <v/>
      </c>
      <c r="CA45" s="754">
        <v>0.0027272727272727275</v>
      </c>
      <c r="CB45" s="533">
        <f>CB43/CB42</f>
        <v>0.001885606537</v>
      </c>
      <c r="CC45" s="754">
        <v>0.0027272727272727275</v>
      </c>
      <c r="CD45" s="533">
        <f>CD43/CD42</f>
        <v>0.001047668937</v>
      </c>
      <c r="CE45" s="754">
        <v>0.0027272727272727275</v>
      </c>
      <c r="CF45" s="533">
        <f>CF43/CF42</f>
        <v>0.001292824822</v>
      </c>
      <c r="CG45" s="754">
        <v>0.0027272727272727275</v>
      </c>
      <c r="CH45" s="533">
        <f>CH43/CH42</f>
        <v>0.0008161044614</v>
      </c>
      <c r="CI45" s="754">
        <v>0.0027272727272727275</v>
      </c>
      <c r="CJ45" s="533">
        <f>CJ43/CJ42</f>
        <v>0.0005712653528</v>
      </c>
      <c r="CK45" s="754">
        <v>0.0027272727272727275</v>
      </c>
      <c r="CL45" s="533">
        <f>CL43/CL42</f>
        <v>0.0006702412869</v>
      </c>
      <c r="CM45" s="754">
        <v>0.0027272727272727275</v>
      </c>
      <c r="CN45" s="533">
        <f>CN43/CN42</f>
        <v>0.0004803073967</v>
      </c>
      <c r="CO45" s="764">
        <v>0.023529411764705882</v>
      </c>
      <c r="CP45" s="230">
        <f>CB45+CD45+CF45+CH45+CJ45+CL45+CN45</f>
        <v>0.006764018793</v>
      </c>
      <c r="CQ45" s="231">
        <f t="shared" si="123"/>
        <v>0.2874707987</v>
      </c>
      <c r="CR45" s="232" t="str">
        <f>IFERROR(__xludf.DUMMYFUNCTION("IFERROR(SPARKLINE(CQ45,{""charttype"",""bar"";""color1"",IF(CQ45&gt;='Май'!green_percent,'Май'!green,IF(CQ45&gt;='Май'!yellow_percent,'Май'!yellow,IF(CQ45&gt;='Май'!orange_percent,'Май'!orange,'Май'!red)));""max"",1}))"),"")</f>
        <v/>
      </c>
      <c r="CS45" s="473"/>
      <c r="CT45" s="765"/>
      <c r="CU45" s="766"/>
      <c r="CV45" s="765"/>
      <c r="CW45" s="767" t="str">
        <f t="shared" ref="CW45:DF45" si="135">CW158</f>
        <v/>
      </c>
      <c r="CX45" s="765" t="str">
        <f t="shared" si="135"/>
        <v/>
      </c>
      <c r="CY45" s="767" t="str">
        <f t="shared" si="135"/>
        <v/>
      </c>
      <c r="CZ45" s="765" t="str">
        <f t="shared" si="135"/>
        <v/>
      </c>
      <c r="DA45" s="767" t="str">
        <f t="shared" si="135"/>
        <v/>
      </c>
      <c r="DB45" s="765" t="str">
        <f t="shared" si="135"/>
        <v/>
      </c>
      <c r="DC45" s="767" t="str">
        <f t="shared" si="135"/>
        <v/>
      </c>
      <c r="DD45" s="765" t="str">
        <f t="shared" si="135"/>
        <v/>
      </c>
      <c r="DE45" s="767" t="str">
        <f t="shared" si="135"/>
        <v/>
      </c>
      <c r="DF45" s="765" t="str">
        <f t="shared" si="135"/>
        <v/>
      </c>
      <c r="DG45" s="476">
        <f t="shared" ref="DG45:DH45" si="136">CS45+CU45+CW45+CY45+DA45+DC45+DE45</f>
        <v>0</v>
      </c>
      <c r="DH45" s="768">
        <f t="shared" si="136"/>
        <v>0</v>
      </c>
      <c r="DI45" s="769" t="str">
        <f t="shared" si="125"/>
        <v/>
      </c>
      <c r="DJ45" s="770" t="str">
        <f>IFERROR(__xludf.DUMMYFUNCTION("IFERROR(SPARKLINE(DI45,{""charttype"",""bar"";""color1"",IF(DI45&gt;='Май'!green_percent,'Май'!green,IF(DI45&gt;='Май'!yellow_percent,'Май'!yellow,IF(DI45&gt;='Май'!orange_percent,'Май'!orange,'Май'!red)));""max"",1}))"),"")</f>
        <v/>
      </c>
      <c r="DK45" s="771" t="str">
        <f t="shared" ref="DK45:DL45" si="137">DK158</f>
        <v/>
      </c>
      <c r="DL45" s="771" t="str">
        <f t="shared" si="137"/>
        <v/>
      </c>
    </row>
    <row r="46">
      <c r="A46" s="703"/>
      <c r="B46" s="579" t="s">
        <v>35</v>
      </c>
      <c r="C46" s="242"/>
      <c r="D46" s="242"/>
      <c r="E46" s="243"/>
      <c r="F46" s="244">
        <v>24.0</v>
      </c>
      <c r="G46" s="244">
        <f>V46+AN46+BF46+BX46+CP46</f>
        <v>20</v>
      </c>
      <c r="H46" s="704">
        <f t="shared" si="112"/>
        <v>0.8333333333</v>
      </c>
      <c r="I46" s="705" t="str">
        <f>IFERROR(__xludf.DUMMYFUNCTION("IFERROR(SPARKLINE(H46,{""charttype"",""bar"";""color1"",IF(H46&gt;='Май'!green_percent,'Май'!green,IF(H46&gt;='Май'!yellow_percent,'Май'!yellow,IF(H46&gt;='Май'!orange_percent,'Май'!orange,'Май'!red)));""max"",1}))"),"")</f>
        <v/>
      </c>
      <c r="K46" s="772"/>
      <c r="L46" s="773"/>
      <c r="M46" s="772"/>
      <c r="N46" s="774"/>
      <c r="O46" s="727">
        <f>F46/31</f>
        <v>0.7741935484</v>
      </c>
      <c r="P46" s="776">
        <v>0.0</v>
      </c>
      <c r="Q46" s="727">
        <v>0.7741935483870968</v>
      </c>
      <c r="R46" s="776">
        <v>0.0</v>
      </c>
      <c r="S46" s="727">
        <v>0.7741935483870968</v>
      </c>
      <c r="T46" s="777">
        <v>0.0</v>
      </c>
      <c r="U46" s="531">
        <f t="shared" ref="U46:V46" si="138">O46+Q46+S46</f>
        <v>2.322580645</v>
      </c>
      <c r="V46" s="486">
        <f t="shared" si="138"/>
        <v>0</v>
      </c>
      <c r="W46" s="412">
        <f t="shared" si="115"/>
        <v>0</v>
      </c>
      <c r="X46" s="424" t="str">
        <f>IFERROR(__xludf.DUMMYFUNCTION("IFERROR(SPARKLINE(W46,{""charttype"",""bar"";""color1"",IF(W46&gt;='Май'!green_percent,'Май'!green,IF(W46&gt;='Май'!yellow_percent,'Май'!yellow,IF(W46&gt;='Май'!orange_percent,'Май'!orange,'Май'!red)));""max"",1}))"),"")</f>
        <v/>
      </c>
      <c r="Y46" s="727">
        <v>0.7741935483870968</v>
      </c>
      <c r="Z46" s="459">
        <v>0.0</v>
      </c>
      <c r="AA46" s="727">
        <v>0.7741935483870968</v>
      </c>
      <c r="AB46" s="712">
        <v>0.0</v>
      </c>
      <c r="AC46" s="727">
        <v>0.7741935483870968</v>
      </c>
      <c r="AD46" s="712">
        <v>1.0</v>
      </c>
      <c r="AE46" s="727">
        <v>0.7741935483870968</v>
      </c>
      <c r="AF46" s="712">
        <v>3.0</v>
      </c>
      <c r="AG46" s="727">
        <v>0.7741935483870968</v>
      </c>
      <c r="AH46" s="712">
        <v>0.0</v>
      </c>
      <c r="AI46" s="727">
        <v>0.7741935483870968</v>
      </c>
      <c r="AJ46" s="712">
        <v>0.0</v>
      </c>
      <c r="AK46" s="727">
        <v>0.7741935483870968</v>
      </c>
      <c r="AL46" s="712">
        <v>0.0</v>
      </c>
      <c r="AM46" s="779">
        <f t="shared" ref="AM46:AN46" si="139">Y46+AA46+AC46+AE46+AG46+AI46+AK46</f>
        <v>5.419354839</v>
      </c>
      <c r="AN46" s="486">
        <f t="shared" si="139"/>
        <v>4</v>
      </c>
      <c r="AO46" s="253">
        <f t="shared" si="117"/>
        <v>0.7380952381</v>
      </c>
      <c r="AP46" s="427" t="str">
        <f>IFERROR(__xludf.DUMMYFUNCTION("IFERROR(SPARKLINE(AO46,{""charttype"",""bar"";""color1"",IF(AO46&gt;='Май'!green_percent,'Май'!green,IF(AO46&gt;='Май'!yellow_percent,'Май'!yellow,IF(AO46&gt;='Май'!orange_percent,'Май'!orange,'Май'!red)));""max"",1}))"),"")</f>
        <v/>
      </c>
      <c r="AQ46" s="727">
        <v>0.7741935483870968</v>
      </c>
      <c r="AR46" s="463">
        <v>0.0</v>
      </c>
      <c r="AS46" s="727">
        <v>0.7741935483870968</v>
      </c>
      <c r="AT46" s="463">
        <v>2.0</v>
      </c>
      <c r="AU46" s="727">
        <v>0.7741935483870968</v>
      </c>
      <c r="AV46" s="776">
        <v>0.0</v>
      </c>
      <c r="AW46" s="727">
        <v>0.7741935483870968</v>
      </c>
      <c r="AX46" s="776">
        <v>0.0</v>
      </c>
      <c r="AY46" s="727">
        <v>0.7741935483870968</v>
      </c>
      <c r="AZ46" s="776">
        <v>1.0</v>
      </c>
      <c r="BA46" s="727">
        <v>0.7741935483870968</v>
      </c>
      <c r="BB46" s="776">
        <v>0.0</v>
      </c>
      <c r="BC46" s="727">
        <v>0.7741935483870968</v>
      </c>
      <c r="BD46" s="463">
        <v>0.0</v>
      </c>
      <c r="BE46" s="535">
        <v>3.033333333333334</v>
      </c>
      <c r="BF46" s="486">
        <f t="shared" si="140"/>
        <v>3</v>
      </c>
      <c r="BG46" s="253">
        <f t="shared" si="119"/>
        <v>0.989010989</v>
      </c>
      <c r="BH46" s="427" t="str">
        <f>IFERROR(__xludf.DUMMYFUNCTION("IFERROR(SPARKLINE(BG46,{""charttype"",""bar"";""color1"",IF(BG46&gt;='Май'!green_percent,'Май'!green,IF(BG46&gt;='Май'!yellow_percent,'Май'!yellow,IF(BG46&gt;='Май'!orange_percent,'Май'!orange,'Май'!red)));""max"",1}))"),"")</f>
        <v/>
      </c>
      <c r="BI46" s="727">
        <v>0.7741935483870968</v>
      </c>
      <c r="BJ46" s="710">
        <v>1.0</v>
      </c>
      <c r="BK46" s="727">
        <v>0.7741935483870968</v>
      </c>
      <c r="BL46" s="465">
        <v>2.0</v>
      </c>
      <c r="BM46" s="727">
        <v>0.7741935483870968</v>
      </c>
      <c r="BN46" s="716">
        <v>0.0</v>
      </c>
      <c r="BO46" s="727">
        <v>0.7741935483870968</v>
      </c>
      <c r="BP46" s="465">
        <v>1.0</v>
      </c>
      <c r="BQ46" s="727">
        <v>0.7741935483870968</v>
      </c>
      <c r="BR46" s="716">
        <v>1.0</v>
      </c>
      <c r="BS46" s="727">
        <v>0.7741935483870968</v>
      </c>
      <c r="BT46" s="716">
        <v>0.0</v>
      </c>
      <c r="BU46" s="727">
        <v>0.7741935483870968</v>
      </c>
      <c r="BV46" s="716">
        <v>0.0</v>
      </c>
      <c r="BW46" s="535">
        <v>3.033333333333334</v>
      </c>
      <c r="BX46" s="486">
        <f t="shared" si="120"/>
        <v>5</v>
      </c>
      <c r="BY46" s="253">
        <f t="shared" si="107"/>
        <v>1.648351648</v>
      </c>
      <c r="BZ46" s="427" t="str">
        <f>IFERROR(__xludf.DUMMYFUNCTION("IFERROR(SPARKLINE(BY46,{""charttype"",""bar"";""color1"",IF(BY46&gt;='Май'!green_percent,'Май'!green,IF(BY46&gt;='Май'!yellow_percent,'Май'!yellow,IF(BY46&gt;='Май'!orange_percent,'Май'!orange,'Май'!red)));""max"",1}))"),"")</f>
        <v/>
      </c>
      <c r="CA46" s="727">
        <v>0.7741935483870968</v>
      </c>
      <c r="CB46" s="710">
        <v>2.0</v>
      </c>
      <c r="CC46" s="727">
        <v>0.7741935483870968</v>
      </c>
      <c r="CD46" s="710">
        <v>1.0</v>
      </c>
      <c r="CE46" s="727">
        <v>0.7741935483870968</v>
      </c>
      <c r="CF46" s="710">
        <v>2.0</v>
      </c>
      <c r="CG46" s="727">
        <v>0.7741935483870968</v>
      </c>
      <c r="CH46" s="710">
        <v>3.0</v>
      </c>
      <c r="CI46" s="727">
        <v>0.7741935483870968</v>
      </c>
      <c r="CJ46" s="710">
        <v>0.0</v>
      </c>
      <c r="CK46" s="727">
        <v>0.7741935483870968</v>
      </c>
      <c r="CL46" s="710">
        <v>0.0</v>
      </c>
      <c r="CM46" s="727">
        <v>0.7741935483870968</v>
      </c>
      <c r="CN46" s="710">
        <v>0.0</v>
      </c>
      <c r="CO46" s="717">
        <f>CA46+CC46+CE46+CG46+CI46+CK46+CM46</f>
        <v>5.419354839</v>
      </c>
      <c r="CP46" s="258">
        <f>CB46+CD46+CF46+CH46</f>
        <v>8</v>
      </c>
      <c r="CQ46" s="259">
        <f t="shared" si="123"/>
        <v>1.476190476</v>
      </c>
      <c r="CR46" s="260" t="str">
        <f>IFERROR(__xludf.DUMMYFUNCTION("IFERROR(SPARKLINE(CQ46,{""charttype"",""bar"";""color1"",IF(CQ46&gt;='Май'!green_percent,'Май'!green,IF(CQ46&gt;='Май'!yellow_percent,'Май'!yellow,IF(CQ46&gt;='Май'!orange_percent,'Май'!orange,'Май'!red)));""max"",1}))"),"")</f>
        <v/>
      </c>
      <c r="CS46" s="473"/>
      <c r="CT46" s="552"/>
      <c r="CU46" s="766"/>
      <c r="CV46" s="552"/>
      <c r="CW46" s="552"/>
      <c r="CX46" s="552"/>
      <c r="CY46" s="552"/>
      <c r="CZ46" s="552"/>
      <c r="DA46" s="552"/>
      <c r="DB46" s="552"/>
      <c r="DC46" s="552"/>
      <c r="DD46" s="552"/>
      <c r="DE46" s="552"/>
      <c r="DF46" s="552"/>
      <c r="DG46" s="782"/>
      <c r="DH46" s="783"/>
      <c r="DI46" s="784"/>
      <c r="DJ46" s="785"/>
      <c r="DK46" s="552"/>
      <c r="DL46" s="552"/>
    </row>
    <row r="47">
      <c r="A47" s="673"/>
      <c r="B47" s="724" t="s">
        <v>25</v>
      </c>
      <c r="C47" s="217"/>
      <c r="D47" s="217"/>
      <c r="E47" s="218"/>
      <c r="F47" s="219">
        <f>F46/F43</f>
        <v>0.4</v>
      </c>
      <c r="G47" s="219">
        <f>IF(G41=0,0,(G42)/G41)</f>
        <v>0.1556979061</v>
      </c>
      <c r="H47" s="543">
        <f t="shared" si="112"/>
        <v>0.3892447652</v>
      </c>
      <c r="I47" s="675" t="str">
        <f>IFERROR(__xludf.DUMMYFUNCTION("IFERROR(SPARKLINE(H47,{""charttype"",""bar"";""color1"",IF(H47&gt;='Май'!green_percent,'Май'!green,IF(H47&gt;='Май'!yellow_percent,'Май'!yellow,IF(H47&gt;='Май'!orange_percent,'Май'!orange,'Май'!red)));""max"",1}))"),"")</f>
        <v/>
      </c>
      <c r="K47" s="751"/>
      <c r="L47" s="752"/>
      <c r="M47" s="751"/>
      <c r="N47" s="753"/>
      <c r="O47" s="754">
        <f t="shared" ref="O47:P47" si="141">O46/O43</f>
        <v>0.4</v>
      </c>
      <c r="P47" s="755" t="str">
        <f t="shared" si="141"/>
        <v>#DIV/0!</v>
      </c>
      <c r="Q47" s="754">
        <v>0.39999999999999997</v>
      </c>
      <c r="R47" s="755" t="str">
        <f>R46/R43</f>
        <v>#DIV/0!</v>
      </c>
      <c r="S47" s="754">
        <v>0.39999999999999997</v>
      </c>
      <c r="T47" s="756" t="str">
        <f t="shared" ref="T47:V47" si="142">T46/T43</f>
        <v>#DIV/0!</v>
      </c>
      <c r="U47" s="348">
        <f t="shared" si="142"/>
        <v>0.4</v>
      </c>
      <c r="V47" s="279" t="str">
        <f t="shared" si="142"/>
        <v>#DIV/0!</v>
      </c>
      <c r="W47" s="220" t="str">
        <f t="shared" si="115"/>
        <v/>
      </c>
      <c r="X47" s="458" t="str">
        <f>IFERROR(__xludf.DUMMYFUNCTION("IFERROR(SPARKLINE(W47,{""charttype"",""bar"";""color1"",IF(W47&gt;='Май'!green_percent,'Май'!green,IF(W47&gt;='Май'!yellow_percent,'Май'!yellow,IF(W47&gt;='Май'!orange_percent,'Май'!orange,'Май'!red)));""max"",1}))"),"")</f>
        <v/>
      </c>
      <c r="Y47" s="754">
        <v>0.39999999999999997</v>
      </c>
      <c r="Z47" s="1184">
        <f>Z46/Z43</f>
        <v>0</v>
      </c>
      <c r="AA47" s="754">
        <v>0.39999999999999997</v>
      </c>
      <c r="AB47" s="759">
        <f>AB46/AB43</f>
        <v>0</v>
      </c>
      <c r="AC47" s="754">
        <v>0.39999999999999997</v>
      </c>
      <c r="AD47" s="759">
        <f>AD46/AD43</f>
        <v>1</v>
      </c>
      <c r="AE47" s="754">
        <v>0.39999999999999997</v>
      </c>
      <c r="AF47" s="759">
        <f>AF46/AF43</f>
        <v>0.5</v>
      </c>
      <c r="AG47" s="754">
        <v>0.39999999999999997</v>
      </c>
      <c r="AH47" s="759" t="str">
        <f>AH46/AH43</f>
        <v>#DIV/0!</v>
      </c>
      <c r="AI47" s="754">
        <v>0.39999999999999997</v>
      </c>
      <c r="AJ47" s="760"/>
      <c r="AK47" s="754">
        <v>0.39999999999999997</v>
      </c>
      <c r="AL47" s="760"/>
      <c r="AM47" s="761">
        <f t="shared" ref="AM47:AN47" si="143">AM46/AM43</f>
        <v>0.4</v>
      </c>
      <c r="AN47" s="279">
        <f t="shared" si="143"/>
        <v>0.3636363636</v>
      </c>
      <c r="AO47" s="279">
        <f t="shared" si="117"/>
        <v>0.9090909091</v>
      </c>
      <c r="AP47" s="462" t="str">
        <f>IFERROR(__xludf.DUMMYFUNCTION("IFERROR(SPARKLINE(AO47,{""charttype"",""bar"";""color1"",IF(AO47&gt;='Май'!green_percent,'Май'!green,IF(AO47&gt;='Май'!yellow_percent,'Май'!yellow,IF(AO47&gt;='Май'!orange_percent,'Май'!orange,'Май'!red)));""max"",1}))"),"")</f>
        <v/>
      </c>
      <c r="AQ47" s="754">
        <v>0.39999999999999997</v>
      </c>
      <c r="AR47" s="763"/>
      <c r="AS47" s="754">
        <v>0.39999999999999997</v>
      </c>
      <c r="AT47" s="539">
        <f>AT46/AT43</f>
        <v>0.5</v>
      </c>
      <c r="AU47" s="754">
        <v>0.39999999999999997</v>
      </c>
      <c r="AV47" s="755">
        <f>AV46/AV43</f>
        <v>0</v>
      </c>
      <c r="AW47" s="754">
        <v>0.39999999999999997</v>
      </c>
      <c r="AX47" s="755">
        <f>AX46/AX43</f>
        <v>0</v>
      </c>
      <c r="AY47" s="754">
        <v>0.39999999999999997</v>
      </c>
      <c r="AZ47" s="755">
        <f>AZ46/AZ43</f>
        <v>0.5</v>
      </c>
      <c r="BA47" s="754">
        <v>0.39999999999999997</v>
      </c>
      <c r="BB47" s="786"/>
      <c r="BC47" s="754">
        <v>0.39999999999999997</v>
      </c>
      <c r="BD47" s="463"/>
      <c r="BE47" s="348">
        <v>0.3250000000000001</v>
      </c>
      <c r="BF47" s="279">
        <f>BF46/BF43</f>
        <v>0.2142857143</v>
      </c>
      <c r="BG47" s="279">
        <f t="shared" si="119"/>
        <v>0.6593406593</v>
      </c>
      <c r="BH47" s="462" t="str">
        <f>IFERROR(__xludf.DUMMYFUNCTION("IFERROR(SPARKLINE(BG47,{""charttype"",""bar"";""color1"",IF(BG47&gt;='Май'!green_percent,'Май'!green,IF(BG47&gt;='Май'!yellow_percent,'Май'!yellow,IF(BG47&gt;='Май'!orange_percent,'Май'!orange,'Май'!red)));""max"",1}))"),"")</f>
        <v/>
      </c>
      <c r="BI47" s="754">
        <v>0.39999999999999997</v>
      </c>
      <c r="BJ47" s="533">
        <f>BJ46/BJ43</f>
        <v>0.3333333333</v>
      </c>
      <c r="BK47" s="754">
        <v>0.39999999999999997</v>
      </c>
      <c r="BL47" s="532">
        <f>BL46/BL43</f>
        <v>0.5</v>
      </c>
      <c r="BM47" s="754">
        <v>0.39999999999999997</v>
      </c>
      <c r="BN47" s="532" t="str">
        <f>BN46/BN43</f>
        <v>#DIV/0!</v>
      </c>
      <c r="BO47" s="754">
        <v>0.39999999999999997</v>
      </c>
      <c r="BP47" s="532">
        <f>BP46/BP43</f>
        <v>1</v>
      </c>
      <c r="BQ47" s="754">
        <v>0.39999999999999997</v>
      </c>
      <c r="BR47" s="532">
        <f>BR46/BR43</f>
        <v>0.5</v>
      </c>
      <c r="BS47" s="754">
        <v>0.39999999999999997</v>
      </c>
      <c r="BT47" s="503"/>
      <c r="BU47" s="754">
        <v>0.39999999999999997</v>
      </c>
      <c r="BV47" s="503"/>
      <c r="BW47" s="348">
        <v>0.3250000000000001</v>
      </c>
      <c r="BX47" s="279">
        <f>BX46/BX43</f>
        <v>0.4545454545</v>
      </c>
      <c r="BY47" s="279">
        <f t="shared" si="107"/>
        <v>1.398601399</v>
      </c>
      <c r="BZ47" s="462" t="str">
        <f>IFERROR(__xludf.DUMMYFUNCTION("IFERROR(SPARKLINE(BY47,{""charttype"",""bar"";""color1"",IF(BY47&gt;='Май'!green_percent,'Май'!green,IF(BY47&gt;='Май'!yellow_percent,'Май'!yellow,IF(BY47&gt;='Май'!orange_percent,'Май'!orange,'Май'!red)));""max"",1}))"),"")</f>
        <v/>
      </c>
      <c r="CA47" s="754">
        <v>0.39999999999999997</v>
      </c>
      <c r="CB47" s="533">
        <f>CB46/CB43</f>
        <v>0.6666666667</v>
      </c>
      <c r="CC47" s="754">
        <v>0.39999999999999997</v>
      </c>
      <c r="CD47" s="533">
        <f>CD46/CD43</f>
        <v>0.25</v>
      </c>
      <c r="CE47" s="754">
        <v>0.39999999999999997</v>
      </c>
      <c r="CF47" s="533">
        <f>CF46/CF43</f>
        <v>0.5</v>
      </c>
      <c r="CG47" s="754">
        <v>0.39999999999999997</v>
      </c>
      <c r="CH47" s="533">
        <f>CH46/CH43</f>
        <v>1</v>
      </c>
      <c r="CI47" s="754">
        <v>0.39999999999999997</v>
      </c>
      <c r="CJ47" s="533">
        <f>CJ46/CJ43</f>
        <v>0</v>
      </c>
      <c r="CK47" s="754">
        <v>0.39999999999999997</v>
      </c>
      <c r="CL47" s="533">
        <f>CL46/CL43</f>
        <v>0</v>
      </c>
      <c r="CM47" s="754">
        <v>0.39999999999999997</v>
      </c>
      <c r="CN47" s="533">
        <f>CN46/CN43</f>
        <v>0</v>
      </c>
      <c r="CO47" s="787">
        <v>0.325</v>
      </c>
      <c r="CP47" s="230">
        <f>CP46/CP43</f>
        <v>0.5714285714</v>
      </c>
      <c r="CQ47" s="231">
        <f t="shared" si="123"/>
        <v>1.758241758</v>
      </c>
      <c r="CR47" s="232" t="str">
        <f>IFERROR(__xludf.DUMMYFUNCTION("IFERROR(SPARKLINE(CQ47,{""charttype"",""bar"";""color1"",IF(CQ47&gt;='Май'!green_percent,'Май'!green,IF(CQ47&gt;='Май'!yellow_percent,'Май'!yellow,IF(CQ47&gt;='Май'!orange_percent,'Май'!orange,'Май'!red)));""max"",1}))"),"")</f>
        <v/>
      </c>
      <c r="CS47" s="473"/>
      <c r="CT47" s="771"/>
      <c r="CU47" s="766"/>
      <c r="CV47" s="771"/>
      <c r="CW47" s="771"/>
      <c r="CX47" s="771"/>
      <c r="CY47" s="771"/>
      <c r="CZ47" s="771"/>
      <c r="DA47" s="771"/>
      <c r="DB47" s="771"/>
      <c r="DC47" s="771"/>
      <c r="DD47" s="771"/>
      <c r="DE47" s="771"/>
      <c r="DF47" s="771"/>
      <c r="DG47" s="788"/>
      <c r="DH47" s="789"/>
      <c r="DI47" s="790"/>
      <c r="DJ47" s="791"/>
      <c r="DK47" s="771"/>
      <c r="DL47" s="771"/>
    </row>
    <row r="48">
      <c r="A48" s="703"/>
      <c r="B48" s="579" t="s">
        <v>36</v>
      </c>
      <c r="C48" s="242"/>
      <c r="D48" s="242"/>
      <c r="E48" s="243"/>
      <c r="F48" s="581">
        <f t="shared" ref="F48:G48" si="144">F41/F46</f>
        <v>6666.666667</v>
      </c>
      <c r="G48" s="581">
        <f t="shared" si="144"/>
        <v>7579.1</v>
      </c>
      <c r="H48" s="704">
        <f t="shared" si="112"/>
        <v>1.136865</v>
      </c>
      <c r="I48" s="705" t="str">
        <f>IFERROR(__xludf.DUMMYFUNCTION("IFERROR(SPARKLINE(H48,{""charttype"",""bar"";""color1"",IF(H48&gt;='Май'!green_percent,'Май'!green,IF(H48&gt;='Май'!yellow_percent,'Май'!yellow,IF(H48&gt;='Май'!orange_percent,'Май'!orange,'Май'!red)));""max"",1}))"),"")</f>
        <v/>
      </c>
      <c r="K48" s="772"/>
      <c r="L48" s="753"/>
      <c r="M48" s="278"/>
      <c r="N48" s="753"/>
      <c r="O48" s="792">
        <f>F48</f>
        <v>6666.666667</v>
      </c>
      <c r="P48" s="786" t="str">
        <f>P41/P46</f>
        <v>#DIV/0!</v>
      </c>
      <c r="Q48" s="792">
        <v>6666.666666666667</v>
      </c>
      <c r="R48" s="786" t="str">
        <f>R41/R46</f>
        <v>#DIV/0!</v>
      </c>
      <c r="S48" s="792">
        <v>6666.666666666667</v>
      </c>
      <c r="T48" s="793" t="str">
        <f>T41/T46</f>
        <v>#DIV/0!</v>
      </c>
      <c r="U48" s="276">
        <v>11153.846153846154</v>
      </c>
      <c r="V48" s="428" t="str">
        <f>P48+R48+T48</f>
        <v>#DIV/0!</v>
      </c>
      <c r="W48" s="412" t="str">
        <f t="shared" si="115"/>
        <v/>
      </c>
      <c r="X48" s="424" t="str">
        <f>IFERROR(__xludf.DUMMYFUNCTION("IFERROR(SPARKLINE(W48,{""charttype"",""bar"";""color1"",IF(W48&gt;='Май'!green_percent,'Май'!green,IF(W48&gt;='Май'!yellow_percent,'Май'!yellow,IF(W48&gt;='Май'!orange_percent,'Май'!orange,'Май'!red)));""max"",1}))"),"")</f>
        <v/>
      </c>
      <c r="Y48" s="792">
        <v>6666.666666666667</v>
      </c>
      <c r="Z48" s="758"/>
      <c r="AA48" s="792">
        <v>6666.666666666667</v>
      </c>
      <c r="AB48" s="760" t="str">
        <f>AB41/AB46</f>
        <v>#DIV/0!</v>
      </c>
      <c r="AC48" s="792">
        <v>6666.666666666667</v>
      </c>
      <c r="AD48" s="760">
        <f>AD41/AD46</f>
        <v>7743</v>
      </c>
      <c r="AE48" s="792">
        <v>6666.666666666667</v>
      </c>
      <c r="AF48" s="760">
        <f>AF41/AF46</f>
        <v>2735</v>
      </c>
      <c r="AG48" s="792">
        <v>6666.666666666667</v>
      </c>
      <c r="AH48" s="760" t="str">
        <f>AH41/AH46</f>
        <v>#DIV/0!</v>
      </c>
      <c r="AI48" s="792">
        <v>6666.666666666667</v>
      </c>
      <c r="AJ48" s="760"/>
      <c r="AK48" s="792">
        <v>6666.666666666667</v>
      </c>
      <c r="AL48" s="760"/>
      <c r="AM48" s="276">
        <v>11153.846153846154</v>
      </c>
      <c r="AN48" s="428">
        <f>AN41/AN46</f>
        <v>8338.5</v>
      </c>
      <c r="AO48" s="253">
        <f t="shared" si="117"/>
        <v>0.7475896552</v>
      </c>
      <c r="AP48" s="427" t="str">
        <f>IFERROR(__xludf.DUMMYFUNCTION("IFERROR(SPARKLINE(AO48,{""charttype"",""bar"";""color1"",IF(AO48&gt;='Май'!green_percent,'Май'!green,IF(AO48&gt;='Май'!yellow_percent,'Май'!yellow,IF(AO48&gt;='Май'!orange_percent,'Май'!orange,'Май'!red)));""max"",1}))"),"")</f>
        <v/>
      </c>
      <c r="AQ48" s="792">
        <v>6666.666666666667</v>
      </c>
      <c r="AR48" s="763"/>
      <c r="AS48" s="792">
        <v>6666.666666666667</v>
      </c>
      <c r="AT48" s="763">
        <f>AT41/AT46</f>
        <v>3858</v>
      </c>
      <c r="AU48" s="792">
        <v>6666.666666666667</v>
      </c>
      <c r="AV48" s="786"/>
      <c r="AW48" s="792">
        <v>6666.666666666667</v>
      </c>
      <c r="AX48" s="786" t="str">
        <f>AX41/AX46</f>
        <v>#DIV/0!</v>
      </c>
      <c r="AY48" s="792">
        <v>6666.666666666667</v>
      </c>
      <c r="AZ48" s="786">
        <f>AZ41/AZ46</f>
        <v>7527</v>
      </c>
      <c r="BA48" s="792">
        <v>6666.666666666667</v>
      </c>
      <c r="BB48" s="786"/>
      <c r="BC48" s="792">
        <v>6666.666666666667</v>
      </c>
      <c r="BD48" s="463"/>
      <c r="BE48" s="276">
        <v>11153.846153846154</v>
      </c>
      <c r="BF48" s="428">
        <f>BF41/BF46</f>
        <v>12328.33333</v>
      </c>
      <c r="BG48" s="253">
        <f t="shared" si="119"/>
        <v>1.105298851</v>
      </c>
      <c r="BH48" s="427" t="str">
        <f>IFERROR(__xludf.DUMMYFUNCTION("IFERROR(SPARKLINE(BG48,{""charttype"",""bar"";""color1"",IF(BG48&gt;='Май'!green_percent,'Май'!green,IF(BG48&gt;='Май'!yellow_percent,'Май'!yellow,IF(BG48&gt;='Май'!orange_percent,'Май'!orange,'Май'!red)));""max"",1}))"),"")</f>
        <v/>
      </c>
      <c r="BI48" s="792">
        <v>6666.666666666667</v>
      </c>
      <c r="BJ48" s="739">
        <f>BJ41/BJ46</f>
        <v>6677</v>
      </c>
      <c r="BK48" s="792">
        <v>6666.666666666667</v>
      </c>
      <c r="BL48" s="503">
        <f>BL41/BL46</f>
        <v>4231</v>
      </c>
      <c r="BM48" s="792">
        <v>6666.666666666667</v>
      </c>
      <c r="BN48" s="744" t="str">
        <f>BN41/BN46</f>
        <v>#DIV/0!</v>
      </c>
      <c r="BO48" s="792">
        <v>6666.666666666667</v>
      </c>
      <c r="BP48" s="503">
        <f>BP41/BP46</f>
        <v>6292</v>
      </c>
      <c r="BQ48" s="792">
        <v>6666.666666666667</v>
      </c>
      <c r="BR48" s="744">
        <f>BR41/BR46</f>
        <v>6253</v>
      </c>
      <c r="BS48" s="792">
        <v>6666.666666666667</v>
      </c>
      <c r="BT48" s="744"/>
      <c r="BU48" s="792">
        <v>6666.666666666667</v>
      </c>
      <c r="BV48" s="744"/>
      <c r="BW48" s="276">
        <v>11153.846153846154</v>
      </c>
      <c r="BX48" s="428">
        <f>BX41/BX46</f>
        <v>7135.8</v>
      </c>
      <c r="BY48" s="253">
        <f t="shared" si="107"/>
        <v>0.6397613793</v>
      </c>
      <c r="BZ48" s="427" t="str">
        <f>IFERROR(__xludf.DUMMYFUNCTION("IFERROR(SPARKLINE(BY48,{""charttype"",""bar"";""color1"",IF(BY48&gt;='Май'!green_percent,'Май'!green,IF(BY48&gt;='Май'!yellow_percent,'Май'!yellow,IF(BY48&gt;='Май'!orange_percent,'Май'!orange,'Май'!red)));""max"",1}))"),"")</f>
        <v/>
      </c>
      <c r="CA48" s="792">
        <v>6666.666666666667</v>
      </c>
      <c r="CB48" s="739">
        <f>CB41/CB46</f>
        <v>3038</v>
      </c>
      <c r="CC48" s="792">
        <v>6666.666666666667</v>
      </c>
      <c r="CD48" s="739">
        <f>CD41/CD46</f>
        <v>9836</v>
      </c>
      <c r="CE48" s="792">
        <v>6666.666666666667</v>
      </c>
      <c r="CF48" s="739">
        <f>CF41/CF46</f>
        <v>3962</v>
      </c>
      <c r="CG48" s="792">
        <v>6666.666666666667</v>
      </c>
      <c r="CH48" s="739">
        <f>CH41/CH46</f>
        <v>2003</v>
      </c>
      <c r="CI48" s="792">
        <v>6666.666666666667</v>
      </c>
      <c r="CJ48" s="739" t="str">
        <f>CJ41/CJ46</f>
        <v>#DIV/0!</v>
      </c>
      <c r="CK48" s="792">
        <v>6666.666666666667</v>
      </c>
      <c r="CL48" s="739" t="str">
        <f>CL41/CL46</f>
        <v>#DIV/0!</v>
      </c>
      <c r="CM48" s="792">
        <v>6666.666666666667</v>
      </c>
      <c r="CN48" s="739" t="str">
        <f>CN41/CN46</f>
        <v>#DIV/0!</v>
      </c>
      <c r="CO48" s="276">
        <v>11153.846153846154</v>
      </c>
      <c r="CP48" s="437">
        <f>CP41/CP46</f>
        <v>3730.625</v>
      </c>
      <c r="CQ48" s="259">
        <f t="shared" si="123"/>
        <v>0.3344698276</v>
      </c>
      <c r="CR48" s="260" t="str">
        <f>IFERROR(__xludf.DUMMYFUNCTION("IFERROR(SPARKLINE(CQ48,{""charttype"",""bar"";""color1"",IF(CQ48&gt;='Май'!green_percent,'Май'!green,IF(CQ48&gt;='Май'!yellow_percent,'Май'!yellow,IF(CQ48&gt;='Май'!orange_percent,'Май'!orange,'Май'!red)));""max"",1}))"),"")</f>
        <v/>
      </c>
      <c r="CS48" s="473"/>
      <c r="CT48" s="552"/>
      <c r="CU48" s="766"/>
      <c r="CV48" s="552"/>
      <c r="CW48" s="552"/>
      <c r="CX48" s="552"/>
      <c r="CY48" s="552"/>
      <c r="CZ48" s="552"/>
      <c r="DA48" s="552"/>
      <c r="DB48" s="552"/>
      <c r="DC48" s="552"/>
      <c r="DD48" s="552"/>
      <c r="DE48" s="552"/>
      <c r="DF48" s="552"/>
      <c r="DG48" s="782"/>
      <c r="DH48" s="783"/>
      <c r="DI48" s="784"/>
      <c r="DJ48" s="785"/>
      <c r="DK48" s="552"/>
      <c r="DL48" s="552"/>
    </row>
    <row r="49">
      <c r="A49" s="673"/>
      <c r="B49" s="724" t="s">
        <v>37</v>
      </c>
      <c r="C49" s="217"/>
      <c r="D49" s="217"/>
      <c r="E49" s="218"/>
      <c r="F49" s="796">
        <v>19.0</v>
      </c>
      <c r="G49" s="448">
        <f>V49+AN49+BF49+BX49+CP49</f>
        <v>16</v>
      </c>
      <c r="H49" s="543">
        <f t="shared" si="112"/>
        <v>0.8421052632</v>
      </c>
      <c r="I49" s="675" t="str">
        <f>IFERROR(__xludf.DUMMYFUNCTION("IFERROR(SPARKLINE(H49,{""charttype"",""bar"";""color1"",IF(H49&gt;='Май'!green_percent,'Май'!green,IF(H49&gt;='Май'!yellow_percent,'Май'!yellow,IF(H49&gt;='Май'!orange_percent,'Май'!orange,'Май'!red)));""max"",1}))"),"")</f>
        <v/>
      </c>
      <c r="K49" s="772"/>
      <c r="L49" s="773"/>
      <c r="M49" s="772"/>
      <c r="N49" s="774"/>
      <c r="O49" s="727">
        <f>F49/31</f>
        <v>0.6129032258</v>
      </c>
      <c r="P49" s="776">
        <v>0.0</v>
      </c>
      <c r="Q49" s="727">
        <v>0.6129032258064516</v>
      </c>
      <c r="R49" s="776">
        <v>0.0</v>
      </c>
      <c r="S49" s="727">
        <v>0.6129032258064516</v>
      </c>
      <c r="T49" s="777">
        <v>0.0</v>
      </c>
      <c r="U49" s="333">
        <f t="shared" ref="U49:V49" si="145">O49+Q49+S49</f>
        <v>1.838709677</v>
      </c>
      <c r="V49" s="464">
        <f t="shared" si="145"/>
        <v>0</v>
      </c>
      <c r="W49" s="220">
        <f t="shared" si="115"/>
        <v>0</v>
      </c>
      <c r="X49" s="458" t="str">
        <f>IFERROR(__xludf.DUMMYFUNCTION("IFERROR(SPARKLINE(W49,{""charttype"",""bar"";""color1"",IF(W49&gt;='Май'!green_percent,'Май'!green,IF(W49&gt;='Май'!yellow_percent,'Май'!yellow,IF(W49&gt;='Май'!orange_percent,'Май'!orange,'Май'!red)));""max"",1}))"),"")</f>
        <v/>
      </c>
      <c r="Y49" s="727">
        <v>0.6129032258064516</v>
      </c>
      <c r="Z49" s="459">
        <v>0.0</v>
      </c>
      <c r="AA49" s="727">
        <v>0.6129032258064516</v>
      </c>
      <c r="AB49" s="712">
        <v>0.0</v>
      </c>
      <c r="AC49" s="727">
        <v>0.6129032258064516</v>
      </c>
      <c r="AD49" s="712">
        <v>0.0</v>
      </c>
      <c r="AE49" s="727">
        <v>0.6129032258064516</v>
      </c>
      <c r="AF49" s="712">
        <v>3.0</v>
      </c>
      <c r="AG49" s="727">
        <v>0.6129032258064516</v>
      </c>
      <c r="AH49" s="712">
        <v>0.0</v>
      </c>
      <c r="AI49" s="727">
        <v>0.6129032258064516</v>
      </c>
      <c r="AJ49" s="712">
        <v>0.0</v>
      </c>
      <c r="AK49" s="727">
        <v>0.6129032258064516</v>
      </c>
      <c r="AL49" s="712">
        <v>0.0</v>
      </c>
      <c r="AM49" s="779">
        <f t="shared" ref="AM49:AN49" si="146">Y49+AA49+AC49+AE49+AG49+AI49+AK49</f>
        <v>4.290322581</v>
      </c>
      <c r="AN49" s="464">
        <f t="shared" si="146"/>
        <v>3</v>
      </c>
      <c r="AO49" s="279">
        <f t="shared" si="117"/>
        <v>0.6992481203</v>
      </c>
      <c r="AP49" s="462" t="str">
        <f>IFERROR(__xludf.DUMMYFUNCTION("IFERROR(SPARKLINE(AO49,{""charttype"",""bar"";""color1"",IF(AO49&gt;='Май'!green_percent,'Май'!green,IF(AO49&gt;='Май'!yellow_percent,'Май'!yellow,IF(AO49&gt;='Май'!orange_percent,'Май'!orange,'Май'!red)));""max"",1}))"),"")</f>
        <v/>
      </c>
      <c r="AQ49" s="727">
        <v>0.6129032258064516</v>
      </c>
      <c r="AR49" s="463">
        <v>0.0</v>
      </c>
      <c r="AS49" s="727">
        <v>0.6129032258064516</v>
      </c>
      <c r="AT49" s="463">
        <v>2.0</v>
      </c>
      <c r="AU49" s="727">
        <v>0.6129032258064516</v>
      </c>
      <c r="AV49" s="776">
        <v>0.0</v>
      </c>
      <c r="AW49" s="727">
        <v>0.6129032258064516</v>
      </c>
      <c r="AX49" s="776">
        <v>0.0</v>
      </c>
      <c r="AY49" s="727">
        <v>0.6129032258064516</v>
      </c>
      <c r="AZ49" s="776">
        <v>1.0</v>
      </c>
      <c r="BA49" s="727">
        <v>0.6129032258064516</v>
      </c>
      <c r="BB49" s="776">
        <v>0.0</v>
      </c>
      <c r="BC49" s="727">
        <v>0.6129032258064516</v>
      </c>
      <c r="BD49" s="463">
        <v>0.0</v>
      </c>
      <c r="BE49" s="779">
        <v>2.333333333333333</v>
      </c>
      <c r="BF49" s="464">
        <f>AR49+AT49+AV49+AX49+AZ49+BB49+BD49</f>
        <v>3</v>
      </c>
      <c r="BG49" s="279">
        <f t="shared" si="119"/>
        <v>1.285714286</v>
      </c>
      <c r="BH49" s="462" t="str">
        <f>IFERROR(__xludf.DUMMYFUNCTION("IFERROR(SPARKLINE(BG49,{""charttype"",""bar"";""color1"",IF(BG49&gt;='Май'!green_percent,'Май'!green,IF(BG49&gt;='Май'!yellow_percent,'Май'!yellow,IF(BG49&gt;='Май'!orange_percent,'Май'!orange,'Май'!red)));""max"",1}))"),"")</f>
        <v/>
      </c>
      <c r="BI49" s="727">
        <v>0.6129032258064516</v>
      </c>
      <c r="BJ49" s="466">
        <v>1.0</v>
      </c>
      <c r="BK49" s="727">
        <v>0.6129032258064516</v>
      </c>
      <c r="BL49" s="465">
        <v>1.0</v>
      </c>
      <c r="BM49" s="727">
        <v>0.6129032258064516</v>
      </c>
      <c r="BN49" s="465">
        <v>0.0</v>
      </c>
      <c r="BO49" s="727">
        <v>0.6129032258064516</v>
      </c>
      <c r="BP49" s="465">
        <v>1.0</v>
      </c>
      <c r="BQ49" s="727">
        <v>0.6129032258064516</v>
      </c>
      <c r="BR49" s="465">
        <v>0.0</v>
      </c>
      <c r="BS49" s="727">
        <v>0.6129032258064516</v>
      </c>
      <c r="BT49" s="465">
        <v>0.0</v>
      </c>
      <c r="BU49" s="727">
        <v>0.6129032258064516</v>
      </c>
      <c r="BV49" s="465">
        <v>0.0</v>
      </c>
      <c r="BW49" s="460">
        <v>2.333333333333333</v>
      </c>
      <c r="BX49" s="464">
        <f>BJ49+BL49+BN49+BP49+BR49+BT49+BV49</f>
        <v>3</v>
      </c>
      <c r="BY49" s="279">
        <f t="shared" si="107"/>
        <v>1.285714286</v>
      </c>
      <c r="BZ49" s="462" t="str">
        <f>IFERROR(__xludf.DUMMYFUNCTION("IFERROR(SPARKLINE(BY49,{""charttype"",""bar"";""color1"",IF(BY49&gt;='Май'!green_percent,'Май'!green,IF(BY49&gt;='Май'!yellow_percent,'Май'!yellow,IF(BY49&gt;='Май'!orange_percent,'Май'!orange,'Май'!red)));""max"",1}))"),"")</f>
        <v/>
      </c>
      <c r="CA49" s="727">
        <v>0.6129032258064516</v>
      </c>
      <c r="CB49" s="466">
        <v>2.0</v>
      </c>
      <c r="CC49" s="727">
        <v>0.6129032258064516</v>
      </c>
      <c r="CD49" s="466">
        <v>1.0</v>
      </c>
      <c r="CE49" s="727">
        <v>0.6129032258064516</v>
      </c>
      <c r="CF49" s="466">
        <v>2.0</v>
      </c>
      <c r="CG49" s="727">
        <v>0.6129032258064516</v>
      </c>
      <c r="CH49" s="466">
        <v>2.0</v>
      </c>
      <c r="CI49" s="727">
        <v>0.6129032258064516</v>
      </c>
      <c r="CJ49" s="466">
        <v>0.0</v>
      </c>
      <c r="CK49" s="727">
        <v>0.6129032258064516</v>
      </c>
      <c r="CL49" s="466">
        <v>0.0</v>
      </c>
      <c r="CM49" s="727">
        <v>0.6129032258064516</v>
      </c>
      <c r="CN49" s="466">
        <v>0.0</v>
      </c>
      <c r="CO49" s="732">
        <f t="shared" ref="CO49:CP49" si="147">CA49+CC49+CE49+CG49+CI49+CK49+CM49</f>
        <v>4.290322581</v>
      </c>
      <c r="CP49" s="733">
        <f t="shared" si="147"/>
        <v>7</v>
      </c>
      <c r="CQ49" s="231">
        <f t="shared" si="123"/>
        <v>1.631578947</v>
      </c>
      <c r="CR49" s="232" t="str">
        <f>IFERROR(__xludf.DUMMYFUNCTION("IFERROR(SPARKLINE(CQ49,{""charttype"",""bar"";""color1"",IF(CQ49&gt;='Май'!green_percent,'Май'!green,IF(CQ49&gt;='Май'!yellow_percent,'Май'!yellow,IF(CQ49&gt;='Май'!orange_percent,'Май'!orange,'Май'!red)));""max"",1}))"),"")</f>
        <v/>
      </c>
      <c r="CS49" s="473"/>
      <c r="CT49" s="771"/>
      <c r="CU49" s="766"/>
      <c r="CV49" s="771"/>
      <c r="CW49" s="771"/>
      <c r="CX49" s="771"/>
      <c r="CY49" s="771"/>
      <c r="CZ49" s="771"/>
      <c r="DA49" s="771"/>
      <c r="DB49" s="771"/>
      <c r="DC49" s="771"/>
      <c r="DD49" s="771"/>
      <c r="DE49" s="771"/>
      <c r="DF49" s="771"/>
      <c r="DG49" s="788"/>
      <c r="DH49" s="789"/>
      <c r="DI49" s="790"/>
      <c r="DJ49" s="791"/>
      <c r="DK49" s="771"/>
      <c r="DL49" s="771"/>
    </row>
    <row r="50">
      <c r="A50" s="703"/>
      <c r="B50" s="579" t="s">
        <v>38</v>
      </c>
      <c r="C50" s="242"/>
      <c r="D50" s="242"/>
      <c r="E50" s="243"/>
      <c r="F50" s="412">
        <f t="shared" ref="F50:G50" si="148">F49/F46</f>
        <v>0.7916666667</v>
      </c>
      <c r="G50" s="412">
        <f t="shared" si="148"/>
        <v>0.8</v>
      </c>
      <c r="H50" s="704">
        <f t="shared" si="112"/>
        <v>1.010526316</v>
      </c>
      <c r="I50" s="705" t="str">
        <f>IFERROR(__xludf.DUMMYFUNCTION("IFERROR(SPARKLINE(H50,{""charttype"",""bar"";""color1"",IF(H50&gt;='Май'!green_percent,'Май'!green,IF(H50&gt;='Май'!yellow_percent,'Май'!yellow,IF(H50&gt;='Май'!orange_percent,'Май'!orange,'Май'!red)));""max"",1}))"),"")</f>
        <v/>
      </c>
      <c r="K50" s="751"/>
      <c r="L50" s="799"/>
      <c r="M50" s="751"/>
      <c r="N50" s="753"/>
      <c r="O50" s="754">
        <f t="shared" ref="O50:P50" si="149">O49/O46</f>
        <v>0.7916666667</v>
      </c>
      <c r="P50" s="755" t="str">
        <f t="shared" si="149"/>
        <v>#DIV/0!</v>
      </c>
      <c r="Q50" s="754">
        <v>0.7916666666666667</v>
      </c>
      <c r="R50" s="755" t="str">
        <f>R49/R46</f>
        <v>#DIV/0!</v>
      </c>
      <c r="S50" s="754">
        <v>0.7916666666666667</v>
      </c>
      <c r="T50" s="756" t="str">
        <f t="shared" ref="T50:V50" si="150">T49/T46</f>
        <v>#DIV/0!</v>
      </c>
      <c r="U50" s="316">
        <f t="shared" si="150"/>
        <v>0.7916666667</v>
      </c>
      <c r="V50" s="253" t="str">
        <f t="shared" si="150"/>
        <v>#DIV/0!</v>
      </c>
      <c r="W50" s="412" t="str">
        <f t="shared" si="115"/>
        <v/>
      </c>
      <c r="X50" s="424" t="str">
        <f>IFERROR(__xludf.DUMMYFUNCTION("IFERROR(SPARKLINE(W50,{""charttype"",""bar"";""color1"",IF(W50&gt;='Май'!green_percent,'Май'!green,IF(W50&gt;='Май'!yellow_percent,'Май'!yellow,IF(W50&gt;='Май'!orange_percent,'Май'!orange,'Май'!red)));""max"",1}))"),"")</f>
        <v/>
      </c>
      <c r="Y50" s="754">
        <v>0.7916666666666667</v>
      </c>
      <c r="Z50" s="758"/>
      <c r="AA50" s="754">
        <v>0.7916666666666667</v>
      </c>
      <c r="AB50" s="759" t="str">
        <f>AB49/AB46</f>
        <v>#DIV/0!</v>
      </c>
      <c r="AC50" s="754">
        <v>0.7916666666666667</v>
      </c>
      <c r="AD50" s="759">
        <f>AD49/AD46</f>
        <v>0</v>
      </c>
      <c r="AE50" s="754">
        <v>0.7916666666666667</v>
      </c>
      <c r="AF50" s="759">
        <f>AF49/AF46</f>
        <v>1</v>
      </c>
      <c r="AG50" s="754">
        <v>0.7916666666666667</v>
      </c>
      <c r="AH50" s="759" t="str">
        <f>AH49/AH46</f>
        <v>#DIV/0!</v>
      </c>
      <c r="AI50" s="754">
        <v>0.7916666666666667</v>
      </c>
      <c r="AJ50" s="760"/>
      <c r="AK50" s="754">
        <v>0.7916666666666667</v>
      </c>
      <c r="AL50" s="760"/>
      <c r="AM50" s="761">
        <f t="shared" ref="AM50:AN50" si="151">AM49/AM46</f>
        <v>0.7916666667</v>
      </c>
      <c r="AN50" s="253">
        <f t="shared" si="151"/>
        <v>0.75</v>
      </c>
      <c r="AO50" s="253">
        <f t="shared" si="117"/>
        <v>0.9473684211</v>
      </c>
      <c r="AP50" s="427" t="str">
        <f>IFERROR(__xludf.DUMMYFUNCTION("IFERROR(SPARKLINE(AO50,{""charttype"",""bar"";""color1"",IF(AO50&gt;='Май'!green_percent,'Май'!green,IF(AO50&gt;='Май'!yellow_percent,'Май'!yellow,IF(AO50&gt;='Май'!orange_percent,'Май'!orange,'Май'!red)));""max"",1}))"),"")</f>
        <v/>
      </c>
      <c r="AQ50" s="754">
        <v>0.7916666666666667</v>
      </c>
      <c r="AR50" s="763"/>
      <c r="AS50" s="754">
        <v>0.7916666666666667</v>
      </c>
      <c r="AT50" s="539">
        <f>AT49/AT46</f>
        <v>1</v>
      </c>
      <c r="AU50" s="754">
        <v>0.7916666666666667</v>
      </c>
      <c r="AV50" s="786"/>
      <c r="AW50" s="754">
        <v>0.7916666666666667</v>
      </c>
      <c r="AX50" s="755" t="str">
        <f>AX49/AX46</f>
        <v>#DIV/0!</v>
      </c>
      <c r="AY50" s="754">
        <v>0.7916666666666667</v>
      </c>
      <c r="AZ50" s="755">
        <f>AZ49/AZ46</f>
        <v>1</v>
      </c>
      <c r="BA50" s="754">
        <v>0.7916666666666667</v>
      </c>
      <c r="BB50" s="786"/>
      <c r="BC50" s="754">
        <v>0.7916666666666667</v>
      </c>
      <c r="BD50" s="463"/>
      <c r="BE50" s="761">
        <v>0.7692307692307689</v>
      </c>
      <c r="BF50" s="253">
        <f>BF49/BF46</f>
        <v>1</v>
      </c>
      <c r="BG50" s="253">
        <f t="shared" si="119"/>
        <v>1.3</v>
      </c>
      <c r="BH50" s="427" t="str">
        <f>IFERROR(__xludf.DUMMYFUNCTION("IFERROR(SPARKLINE(BG50,{""charttype"",""bar"";""color1"",IF(BG50&gt;='Май'!green_percent,'Май'!green,IF(BG50&gt;='Май'!yellow_percent,'Май'!yellow,IF(BG50&gt;='Май'!orange_percent,'Май'!orange,'Май'!red)));""max"",1}))"),"")</f>
        <v/>
      </c>
      <c r="BI50" s="754">
        <v>0.7916666666666667</v>
      </c>
      <c r="BJ50" s="522">
        <f>BJ49/BJ46</f>
        <v>1</v>
      </c>
      <c r="BK50" s="754">
        <v>0.7916666666666667</v>
      </c>
      <c r="BL50" s="532">
        <f>BL49/BL46</f>
        <v>0.5</v>
      </c>
      <c r="BM50" s="754">
        <v>0.7916666666666667</v>
      </c>
      <c r="BN50" s="521" t="str">
        <f>BN49/BN46</f>
        <v>#DIV/0!</v>
      </c>
      <c r="BO50" s="754">
        <v>0.7916666666666667</v>
      </c>
      <c r="BP50" s="532">
        <f>BP49/BP46</f>
        <v>1</v>
      </c>
      <c r="BQ50" s="754">
        <v>0.7916666666666667</v>
      </c>
      <c r="BR50" s="521">
        <f>BR49/BR46</f>
        <v>0</v>
      </c>
      <c r="BS50" s="754">
        <v>0.7916666666666667</v>
      </c>
      <c r="BT50" s="744"/>
      <c r="BU50" s="754">
        <v>0.7916666666666667</v>
      </c>
      <c r="BV50" s="744"/>
      <c r="BW50" s="316">
        <v>0.7692307692307689</v>
      </c>
      <c r="BX50" s="253">
        <f>BX49/BX46</f>
        <v>0.6</v>
      </c>
      <c r="BY50" s="253">
        <f t="shared" si="107"/>
        <v>0.78</v>
      </c>
      <c r="BZ50" s="427" t="str">
        <f>IFERROR(__xludf.DUMMYFUNCTION("IFERROR(SPARKLINE(BY50,{""charttype"",""bar"";""color1"",IF(BY50&gt;='Май'!green_percent,'Май'!green,IF(BY50&gt;='Май'!yellow_percent,'Май'!yellow,IF(BY50&gt;='Май'!orange_percent,'Май'!orange,'Май'!red)));""max"",1}))"),"")</f>
        <v/>
      </c>
      <c r="CA50" s="754">
        <v>0.7916666666666667</v>
      </c>
      <c r="CB50" s="522">
        <f>CB49/CB46</f>
        <v>1</v>
      </c>
      <c r="CC50" s="754">
        <v>0.7916666666666667</v>
      </c>
      <c r="CD50" s="522">
        <f>CD49/CD46</f>
        <v>1</v>
      </c>
      <c r="CE50" s="754">
        <v>0.7916666666666667</v>
      </c>
      <c r="CF50" s="522">
        <f>CF49/CF46</f>
        <v>1</v>
      </c>
      <c r="CG50" s="754">
        <v>0.7916666666666667</v>
      </c>
      <c r="CH50" s="522">
        <f>CH49/CH46</f>
        <v>0.6666666667</v>
      </c>
      <c r="CI50" s="754">
        <v>0.7916666666666667</v>
      </c>
      <c r="CJ50" s="522" t="str">
        <f>CJ49/CJ46</f>
        <v>#DIV/0!</v>
      </c>
      <c r="CK50" s="754">
        <v>0.7916666666666667</v>
      </c>
      <c r="CL50" s="522" t="str">
        <f>CL49/CL46</f>
        <v>#DIV/0!</v>
      </c>
      <c r="CM50" s="754">
        <v>0.7916666666666667</v>
      </c>
      <c r="CN50" s="522" t="str">
        <f>CN49/CN46</f>
        <v>#DIV/0!</v>
      </c>
      <c r="CO50" s="801">
        <v>0.7692307692307693</v>
      </c>
      <c r="CP50" s="802">
        <f>CP49/CP46</f>
        <v>0.875</v>
      </c>
      <c r="CQ50" s="259">
        <f t="shared" si="123"/>
        <v>1.1375</v>
      </c>
      <c r="CR50" s="260" t="str">
        <f>IFERROR(__xludf.DUMMYFUNCTION("IFERROR(SPARKLINE(CQ50,{""charttype"",""bar"";""color1"",IF(CQ50&gt;='Май'!green_percent,'Май'!green,IF(CQ50&gt;='Май'!yellow_percent,'Май'!yellow,IF(CQ50&gt;='Май'!orange_percent,'Май'!orange,'Май'!red)));""max"",1}))"),"")</f>
        <v/>
      </c>
      <c r="CS50" s="473"/>
      <c r="CT50" s="552"/>
      <c r="CU50" s="766"/>
      <c r="CV50" s="552"/>
      <c r="CW50" s="552"/>
      <c r="CX50" s="552"/>
      <c r="CY50" s="552"/>
      <c r="CZ50" s="552"/>
      <c r="DA50" s="552"/>
      <c r="DB50" s="552"/>
      <c r="DC50" s="552"/>
      <c r="DD50" s="552"/>
      <c r="DE50" s="552"/>
      <c r="DF50" s="552"/>
      <c r="DG50" s="782"/>
      <c r="DH50" s="783"/>
      <c r="DI50" s="784"/>
      <c r="DJ50" s="785"/>
      <c r="DK50" s="552"/>
      <c r="DL50" s="552"/>
    </row>
    <row r="51">
      <c r="A51" s="673"/>
      <c r="B51" s="724" t="s">
        <v>26</v>
      </c>
      <c r="C51" s="217"/>
      <c r="D51" s="217"/>
      <c r="E51" s="218"/>
      <c r="F51" s="448">
        <v>3.0</v>
      </c>
      <c r="G51" s="448">
        <f t="shared" ref="G51:G52" si="154">V51+AN51+BF51+BX51+CP51</f>
        <v>0</v>
      </c>
      <c r="H51" s="543">
        <f t="shared" si="112"/>
        <v>0</v>
      </c>
      <c r="I51" s="675" t="str">
        <f>IFERROR(__xludf.DUMMYFUNCTION("IFERROR(SPARKLINE(H51,{""charttype"",""bar"";""color1"",IF(H51&gt;='Май'!green_percent,'Май'!green,IF(H51&gt;='Май'!yellow_percent,'Май'!yellow,IF(H51&gt;='Май'!orange_percent,'Май'!orange,'Май'!red)));""max"",1}))"),"")</f>
        <v/>
      </c>
      <c r="K51" s="772"/>
      <c r="L51" s="799"/>
      <c r="M51" s="772"/>
      <c r="N51" s="753"/>
      <c r="O51" s="727">
        <f t="shared" ref="O51:O52" si="155">F51/31</f>
        <v>0.09677419355</v>
      </c>
      <c r="P51" s="776">
        <v>0.0</v>
      </c>
      <c r="Q51" s="727">
        <v>0.0967741935483871</v>
      </c>
      <c r="R51" s="1024">
        <v>0.0</v>
      </c>
      <c r="S51" s="727">
        <v>0.0967741935483871</v>
      </c>
      <c r="T51" s="1635">
        <v>0.0</v>
      </c>
      <c r="U51" s="333">
        <f t="shared" ref="U51:V51" si="152">O51+Q51+S51</f>
        <v>0.2903225806</v>
      </c>
      <c r="V51" s="464">
        <f t="shared" si="152"/>
        <v>0</v>
      </c>
      <c r="W51" s="220">
        <f t="shared" si="115"/>
        <v>0</v>
      </c>
      <c r="X51" s="458" t="str">
        <f>IFERROR(__xludf.DUMMYFUNCTION("IFERROR(SPARKLINE(W51,{""charttype"",""bar"";""color1"",IF(W51&gt;='Май'!green_percent,'Май'!green,IF(W51&gt;='Май'!yellow_percent,'Май'!yellow,IF(W51&gt;='Май'!orange_percent,'Май'!orange,'Май'!red)));""max"",1}))"),"")</f>
        <v/>
      </c>
      <c r="Y51" s="727">
        <v>0.0967741935483871</v>
      </c>
      <c r="Z51" s="459">
        <v>0.0</v>
      </c>
      <c r="AA51" s="727">
        <v>0.0967741935483871</v>
      </c>
      <c r="AB51" s="712">
        <v>0.0</v>
      </c>
      <c r="AC51" s="727">
        <v>0.0967741935483871</v>
      </c>
      <c r="AD51" s="712">
        <v>0.0</v>
      </c>
      <c r="AE51" s="727">
        <v>0.0967741935483871</v>
      </c>
      <c r="AF51" s="712">
        <v>0.0</v>
      </c>
      <c r="AG51" s="727">
        <v>0.0967741935483871</v>
      </c>
      <c r="AH51" s="712">
        <v>0.0</v>
      </c>
      <c r="AI51" s="727">
        <v>0.0967741935483871</v>
      </c>
      <c r="AJ51" s="712">
        <v>0.0</v>
      </c>
      <c r="AK51" s="727">
        <v>0.0967741935483871</v>
      </c>
      <c r="AL51" s="712">
        <v>0.0</v>
      </c>
      <c r="AM51" s="779">
        <f t="shared" ref="AM51:AN51" si="153">Y51+AA51+AC51+AE51+AG51+AI51+AK51</f>
        <v>0.6774193548</v>
      </c>
      <c r="AN51" s="464">
        <f t="shared" si="153"/>
        <v>0</v>
      </c>
      <c r="AO51" s="279">
        <f t="shared" si="117"/>
        <v>0</v>
      </c>
      <c r="AP51" s="462" t="str">
        <f>IFERROR(__xludf.DUMMYFUNCTION("IFERROR(SPARKLINE(AO51,{""charttype"",""bar"";""color1"",IF(AO51&gt;='Май'!green_percent,'Май'!green,IF(AO51&gt;='Май'!yellow_percent,'Май'!yellow,IF(AO51&gt;='Май'!orange_percent,'Май'!orange,'Май'!red)));""max"",1}))"),"")</f>
        <v/>
      </c>
      <c r="AQ51" s="727">
        <v>0.0967741935483871</v>
      </c>
      <c r="AR51" s="463">
        <v>0.0</v>
      </c>
      <c r="AS51" s="727">
        <v>0.0967741935483871</v>
      </c>
      <c r="AT51" s="463">
        <v>0.0</v>
      </c>
      <c r="AU51" s="727">
        <v>0.0967741935483871</v>
      </c>
      <c r="AV51" s="786"/>
      <c r="AW51" s="727">
        <v>0.0967741935483871</v>
      </c>
      <c r="AX51" s="776">
        <v>0.0</v>
      </c>
      <c r="AY51" s="727">
        <v>0.0967741935483871</v>
      </c>
      <c r="AZ51" s="776">
        <v>0.0</v>
      </c>
      <c r="BA51" s="727">
        <v>0.0967741935483871</v>
      </c>
      <c r="BB51" s="776">
        <v>0.0</v>
      </c>
      <c r="BC51" s="727">
        <v>0.0967741935483871</v>
      </c>
      <c r="BD51" s="463">
        <v>0.0</v>
      </c>
      <c r="BE51" s="779">
        <v>0.7</v>
      </c>
      <c r="BF51" s="464">
        <f>AR51+AT51+AV51+AX51+AZ51+BB51+BD51</f>
        <v>0</v>
      </c>
      <c r="BG51" s="279">
        <f t="shared" si="119"/>
        <v>0</v>
      </c>
      <c r="BH51" s="462" t="str">
        <f>IFERROR(__xludf.DUMMYFUNCTION("IFERROR(SPARKLINE(BG51,{""charttype"",""bar"";""color1"",IF(BG51&gt;='Май'!green_percent,'Май'!green,IF(BG51&gt;='Май'!yellow_percent,'Май'!yellow,IF(BG51&gt;='Май'!orange_percent,'Май'!orange,'Май'!red)));""max"",1}))"),"")</f>
        <v/>
      </c>
      <c r="BI51" s="727">
        <v>0.0967741935483871</v>
      </c>
      <c r="BJ51" s="466">
        <v>0.0</v>
      </c>
      <c r="BK51" s="727">
        <v>0.0967741935483871</v>
      </c>
      <c r="BL51" s="465">
        <v>0.0</v>
      </c>
      <c r="BM51" s="727">
        <v>0.0967741935483871</v>
      </c>
      <c r="BN51" s="465">
        <v>0.0</v>
      </c>
      <c r="BO51" s="727">
        <v>0.0967741935483871</v>
      </c>
      <c r="BP51" s="465">
        <v>0.0</v>
      </c>
      <c r="BQ51" s="727">
        <v>0.0967741935483871</v>
      </c>
      <c r="BR51" s="465">
        <v>0.0</v>
      </c>
      <c r="BS51" s="727">
        <v>0.0967741935483871</v>
      </c>
      <c r="BT51" s="465">
        <v>0.0</v>
      </c>
      <c r="BU51" s="727">
        <v>0.0967741935483871</v>
      </c>
      <c r="BV51" s="465">
        <v>0.0</v>
      </c>
      <c r="BW51" s="460">
        <v>0.7</v>
      </c>
      <c r="BX51" s="464">
        <f t="shared" ref="BX51:BX52" si="159">BJ51+BL51+BN51+BP51+BR51+BT51+BV51</f>
        <v>0</v>
      </c>
      <c r="BY51" s="279">
        <f t="shared" si="107"/>
        <v>0</v>
      </c>
      <c r="BZ51" s="462" t="str">
        <f>IFERROR(__xludf.DUMMYFUNCTION("IFERROR(SPARKLINE(BY51,{""charttype"",""bar"";""color1"",IF(BY51&gt;='Май'!green_percent,'Май'!green,IF(BY51&gt;='Май'!yellow_percent,'Май'!yellow,IF(BY51&gt;='Май'!orange_percent,'Май'!orange,'Май'!red)));""max"",1}))"),"")</f>
        <v/>
      </c>
      <c r="CA51" s="727">
        <v>0.0967741935483871</v>
      </c>
      <c r="CB51" s="466">
        <v>0.0</v>
      </c>
      <c r="CC51" s="727">
        <v>0.0967741935483871</v>
      </c>
      <c r="CD51" s="466">
        <v>0.0</v>
      </c>
      <c r="CE51" s="727">
        <v>0.0967741935483871</v>
      </c>
      <c r="CF51" s="466">
        <v>0.0</v>
      </c>
      <c r="CG51" s="727">
        <v>0.0967741935483871</v>
      </c>
      <c r="CH51" s="466">
        <v>0.0</v>
      </c>
      <c r="CI51" s="727">
        <v>0.0967741935483871</v>
      </c>
      <c r="CJ51" s="466">
        <v>0.0</v>
      </c>
      <c r="CK51" s="727">
        <v>0.0967741935483871</v>
      </c>
      <c r="CL51" s="466">
        <v>0.0</v>
      </c>
      <c r="CM51" s="727">
        <v>0.0967741935483871</v>
      </c>
      <c r="CN51" s="466">
        <v>0.0</v>
      </c>
      <c r="CO51" s="732">
        <f t="shared" ref="CO51:CO52" si="160">CA51+CC51+CE51+CG51+CI51+CK51+CM51</f>
        <v>0.6774193548</v>
      </c>
      <c r="CP51" s="733">
        <f t="shared" ref="CP51:CP52" si="161">CB51+CD51+CF51+CH51</f>
        <v>0</v>
      </c>
      <c r="CQ51" s="231">
        <f t="shared" si="123"/>
        <v>0</v>
      </c>
      <c r="CR51" s="232" t="str">
        <f>IFERROR(__xludf.DUMMYFUNCTION("IFERROR(SPARKLINE(CQ51,{""charttype"",""bar"";""color1"",IF(CQ51&gt;='Май'!green_percent,'Май'!green,IF(CQ51&gt;='Май'!yellow_percent,'Май'!yellow,IF(CQ51&gt;='Май'!orange_percent,'Май'!orange,'Май'!red)));""max"",1}))"),"")</f>
        <v/>
      </c>
      <c r="CS51" s="473"/>
      <c r="CT51" s="771"/>
      <c r="CU51" s="766"/>
      <c r="CV51" s="771"/>
      <c r="CW51" s="771"/>
      <c r="CX51" s="771"/>
      <c r="CY51" s="771"/>
      <c r="CZ51" s="771"/>
      <c r="DA51" s="771"/>
      <c r="DB51" s="771"/>
      <c r="DC51" s="771"/>
      <c r="DD51" s="771"/>
      <c r="DE51" s="771"/>
      <c r="DF51" s="771"/>
      <c r="DG51" s="788"/>
      <c r="DH51" s="789"/>
      <c r="DI51" s="790"/>
      <c r="DJ51" s="791"/>
      <c r="DK51" s="771"/>
      <c r="DL51" s="771"/>
    </row>
    <row r="52">
      <c r="A52" s="703"/>
      <c r="B52" s="579" t="s">
        <v>39</v>
      </c>
      <c r="C52" s="242"/>
      <c r="D52" s="242"/>
      <c r="E52" s="243"/>
      <c r="F52" s="581">
        <v>600000.0</v>
      </c>
      <c r="G52" s="581">
        <f t="shared" si="154"/>
        <v>0</v>
      </c>
      <c r="H52" s="704">
        <f t="shared" si="112"/>
        <v>0</v>
      </c>
      <c r="I52" s="705" t="str">
        <f>IFERROR(__xludf.DUMMYFUNCTION("IFERROR(SPARKLINE(H52,{""charttype"",""bar"";""color1"",IF(H52&gt;='Май'!green_percent,'Май'!green,IF(H52&gt;='Май'!yellow_percent,'Май'!yellow,IF(H52&gt;='Май'!orange_percent,'Май'!orange,'Май'!red)));""max"",1}))"),"")</f>
        <v/>
      </c>
      <c r="K52" s="278"/>
      <c r="L52" s="753"/>
      <c r="M52" s="278"/>
      <c r="N52" s="753"/>
      <c r="O52" s="792">
        <f t="shared" si="155"/>
        <v>19354.83871</v>
      </c>
      <c r="P52" s="786"/>
      <c r="Q52" s="792">
        <v>19354.83870967742</v>
      </c>
      <c r="R52" s="786"/>
      <c r="S52" s="792">
        <v>19354.83870967742</v>
      </c>
      <c r="T52" s="793"/>
      <c r="U52" s="423">
        <f t="shared" ref="U52:V52" si="156">O52+Q52+S52</f>
        <v>58064.51613</v>
      </c>
      <c r="V52" s="428">
        <f t="shared" si="156"/>
        <v>0</v>
      </c>
      <c r="W52" s="412">
        <f t="shared" si="115"/>
        <v>0</v>
      </c>
      <c r="X52" s="424" t="str">
        <f>IFERROR(__xludf.DUMMYFUNCTION("IFERROR(SPARKLINE(W52,{""charttype"",""bar"";""color1"",IF(W52&gt;='Май'!green_percent,'Май'!green,IF(W52&gt;='Май'!yellow_percent,'Май'!yellow,IF(W52&gt;='Май'!orange_percent,'Май'!orange,'Май'!red)));""max"",1}))"),"")</f>
        <v/>
      </c>
      <c r="Y52" s="792">
        <v>19354.83870967742</v>
      </c>
      <c r="Z52" s="758"/>
      <c r="AA52" s="792">
        <v>19354.83870967742</v>
      </c>
      <c r="AB52" s="760">
        <v>0.0</v>
      </c>
      <c r="AC52" s="792">
        <v>19354.83870967742</v>
      </c>
      <c r="AD52" s="760">
        <v>0.0</v>
      </c>
      <c r="AE52" s="792">
        <v>19354.83870967742</v>
      </c>
      <c r="AF52" s="760"/>
      <c r="AG52" s="792">
        <v>19354.83870967742</v>
      </c>
      <c r="AH52" s="760"/>
      <c r="AI52" s="792">
        <v>19354.83870967742</v>
      </c>
      <c r="AJ52" s="760"/>
      <c r="AK52" s="792">
        <v>19354.83870967742</v>
      </c>
      <c r="AL52" s="760"/>
      <c r="AM52" s="779">
        <f t="shared" ref="AM52:AN52" si="157">Y52+AA52+AC52+AE52+AG52+AI52+AK52</f>
        <v>135483.871</v>
      </c>
      <c r="AN52" s="486">
        <f t="shared" si="157"/>
        <v>0</v>
      </c>
      <c r="AO52" s="253">
        <f t="shared" si="117"/>
        <v>0</v>
      </c>
      <c r="AP52" s="427" t="str">
        <f>IFERROR(__xludf.DUMMYFUNCTION("IFERROR(SPARKLINE(AO52,{""charttype"",""bar"";""color1"",IF(AO52&gt;='Май'!green_percent,'Май'!green,IF(AO52&gt;='Май'!yellow_percent,'Май'!yellow,IF(AO52&gt;='Май'!orange_percent,'Май'!orange,'Май'!red)));""max"",1}))"),"")</f>
        <v/>
      </c>
      <c r="AQ52" s="792">
        <v>19354.83870967742</v>
      </c>
      <c r="AR52" s="763"/>
      <c r="AS52" s="792">
        <v>19354.83870967742</v>
      </c>
      <c r="AT52" s="763"/>
      <c r="AU52" s="792">
        <v>19354.83870967742</v>
      </c>
      <c r="AV52" s="786"/>
      <c r="AW52" s="792">
        <v>19354.83870967742</v>
      </c>
      <c r="AX52" s="786"/>
      <c r="AY52" s="792">
        <v>19354.83870967742</v>
      </c>
      <c r="AZ52" s="786"/>
      <c r="BA52" s="792">
        <v>19354.83870967742</v>
      </c>
      <c r="BB52" s="786"/>
      <c r="BC52" s="792">
        <v>19354.83870967742</v>
      </c>
      <c r="BD52" s="763"/>
      <c r="BE52" s="423">
        <f t="shared" ref="BE52:BF52" si="158">AQ52+AS52+AU52+AW52+AY52+BA52+BC52</f>
        <v>135483.871</v>
      </c>
      <c r="BF52" s="428">
        <f t="shared" si="158"/>
        <v>0</v>
      </c>
      <c r="BG52" s="253">
        <f t="shared" si="119"/>
        <v>0</v>
      </c>
      <c r="BH52" s="427" t="str">
        <f>IFERROR(__xludf.DUMMYFUNCTION("IFERROR(SPARKLINE(BG52,{""charttype"",""bar"";""color1"",IF(BG52&gt;='Май'!green_percent,'Май'!green,IF(BG52&gt;='Май'!yellow_percent,'Май'!yellow,IF(BG52&gt;='Май'!orange_percent,'Май'!orange,'Май'!red)));""max"",1}))"),"")</f>
        <v/>
      </c>
      <c r="BI52" s="792">
        <v>19354.83870967742</v>
      </c>
      <c r="BJ52" s="739"/>
      <c r="BK52" s="792">
        <v>19354.83870967742</v>
      </c>
      <c r="BL52" s="503"/>
      <c r="BM52" s="792">
        <v>19354.83870967742</v>
      </c>
      <c r="BN52" s="744"/>
      <c r="BO52" s="792">
        <v>19354.83870967742</v>
      </c>
      <c r="BP52" s="503"/>
      <c r="BQ52" s="792">
        <v>19354.83870967742</v>
      </c>
      <c r="BR52" s="744"/>
      <c r="BS52" s="792">
        <v>19354.83870967742</v>
      </c>
      <c r="BT52" s="744"/>
      <c r="BU52" s="792">
        <v>19354.83870967742</v>
      </c>
      <c r="BV52" s="744"/>
      <c r="BW52" s="423">
        <v>840000.0</v>
      </c>
      <c r="BX52" s="428">
        <f t="shared" si="159"/>
        <v>0</v>
      </c>
      <c r="BY52" s="253">
        <f t="shared" si="107"/>
        <v>0</v>
      </c>
      <c r="BZ52" s="427" t="str">
        <f>IFERROR(__xludf.DUMMYFUNCTION("IFERROR(SPARKLINE(BY52,{""charttype"",""bar"";""color1"",IF(BY52&gt;='Май'!green_percent,'Май'!green,IF(BY52&gt;='Май'!yellow_percent,'Май'!yellow,IF(BY52&gt;='Май'!orange_percent,'Май'!orange,'Май'!red)));""max"",1}))"),"")</f>
        <v/>
      </c>
      <c r="CA52" s="792">
        <v>19354.83870967742</v>
      </c>
      <c r="CB52" s="739"/>
      <c r="CC52" s="792">
        <v>19354.83870967742</v>
      </c>
      <c r="CD52" s="739"/>
      <c r="CE52" s="792">
        <v>19354.83870967742</v>
      </c>
      <c r="CF52" s="739"/>
      <c r="CG52" s="792">
        <v>19354.83870967742</v>
      </c>
      <c r="CH52" s="739"/>
      <c r="CI52" s="792">
        <v>19354.83870967742</v>
      </c>
      <c r="CJ52" s="739"/>
      <c r="CK52" s="792">
        <v>19354.83870967742</v>
      </c>
      <c r="CL52" s="739"/>
      <c r="CM52" s="792">
        <v>19354.83870967742</v>
      </c>
      <c r="CN52" s="739"/>
      <c r="CO52" s="717">
        <f t="shared" si="160"/>
        <v>135483.871</v>
      </c>
      <c r="CP52" s="258">
        <f t="shared" si="161"/>
        <v>0</v>
      </c>
      <c r="CQ52" s="259">
        <f t="shared" si="123"/>
        <v>0</v>
      </c>
      <c r="CR52" s="260" t="str">
        <f>IFERROR(__xludf.DUMMYFUNCTION("IFERROR(SPARKLINE(CQ52,{""charttype"",""bar"";""color1"",IF(CQ52&gt;='Май'!green_percent,'Май'!green,IF(CQ52&gt;='Май'!yellow_percent,'Май'!yellow,IF(CQ52&gt;='Май'!orange_percent,'Май'!orange,'Май'!red)));""max"",1}))"),"")</f>
        <v/>
      </c>
      <c r="CS52" s="473"/>
      <c r="CT52" s="552"/>
      <c r="CU52" s="766"/>
      <c r="CV52" s="552"/>
      <c r="CW52" s="552"/>
      <c r="CX52" s="552"/>
      <c r="CY52" s="552"/>
      <c r="CZ52" s="552"/>
      <c r="DA52" s="552"/>
      <c r="DB52" s="552"/>
      <c r="DC52" s="552"/>
      <c r="DD52" s="552"/>
      <c r="DE52" s="552"/>
      <c r="DF52" s="552"/>
      <c r="DG52" s="782"/>
      <c r="DH52" s="783"/>
      <c r="DI52" s="784"/>
      <c r="DJ52" s="785"/>
      <c r="DK52" s="552"/>
      <c r="DL52" s="552"/>
    </row>
    <row r="53">
      <c r="A53" s="673"/>
      <c r="B53" s="804" t="s">
        <v>47</v>
      </c>
      <c r="C53" s="217"/>
      <c r="D53" s="217"/>
      <c r="E53" s="218"/>
      <c r="F53" s="219">
        <f>F51/F49</f>
        <v>0.1578947368</v>
      </c>
      <c r="G53" s="219">
        <f>G51/G46</f>
        <v>0</v>
      </c>
      <c r="H53" s="543">
        <f t="shared" si="112"/>
        <v>0</v>
      </c>
      <c r="I53" s="675" t="str">
        <f>IFERROR(__xludf.DUMMYFUNCTION("IFERROR(SPARKLINE(H53,{""charttype"",""bar"";""color1"",IF(H53&gt;='Май'!green_percent,'Май'!green,IF(H53&gt;='Май'!yellow_percent,'Май'!yellow,IF(H53&gt;='Май'!orange_percent,'Май'!orange,'Май'!red)));""max"",1}))"),"")</f>
        <v/>
      </c>
      <c r="K53" s="751"/>
      <c r="L53" s="752"/>
      <c r="M53" s="751"/>
      <c r="N53" s="753"/>
      <c r="O53" s="807">
        <f>O51/O49</f>
        <v>0.1578947368</v>
      </c>
      <c r="P53" s="805"/>
      <c r="Q53" s="807">
        <v>0.15789473684210525</v>
      </c>
      <c r="R53" s="805"/>
      <c r="S53" s="807">
        <v>0.15789473684210525</v>
      </c>
      <c r="T53" s="809"/>
      <c r="U53" s="810">
        <f>U51/U49</f>
        <v>0.1578947368</v>
      </c>
      <c r="V53" s="811">
        <f t="shared" ref="V53:V54" si="164">P53+R53+T53</f>
        <v>0</v>
      </c>
      <c r="W53" s="812">
        <f t="shared" si="115"/>
        <v>0</v>
      </c>
      <c r="X53" s="458" t="str">
        <f>IFERROR(__xludf.DUMMYFUNCTION("IFERROR(SPARKLINE(W53,{""charttype"",""bar"";""color1"",IF(W53&gt;='Май'!green_percent,'Май'!green,IF(W53&gt;='Май'!yellow_percent,'Май'!yellow,IF(W53&gt;='Май'!orange_percent,'Май'!orange,'Май'!red)));""max"",1}))"),"")</f>
        <v/>
      </c>
      <c r="Y53" s="807">
        <v>0.15789473684210525</v>
      </c>
      <c r="Z53" s="758"/>
      <c r="AA53" s="807">
        <v>0.15789473684210525</v>
      </c>
      <c r="AB53" s="760"/>
      <c r="AC53" s="807">
        <v>0.15789473684210525</v>
      </c>
      <c r="AD53" s="760"/>
      <c r="AE53" s="807">
        <v>0.15789473684210525</v>
      </c>
      <c r="AF53" s="760"/>
      <c r="AG53" s="807">
        <v>0.15789473684210525</v>
      </c>
      <c r="AH53" s="760"/>
      <c r="AI53" s="807">
        <v>0.15789473684210525</v>
      </c>
      <c r="AJ53" s="760"/>
      <c r="AK53" s="807">
        <v>0.15789473684210525</v>
      </c>
      <c r="AL53" s="760"/>
      <c r="AM53" s="761">
        <f t="shared" ref="AM53:AN53" si="162">AM51/AM49</f>
        <v>0.1578947368</v>
      </c>
      <c r="AN53" s="279">
        <f t="shared" si="162"/>
        <v>0</v>
      </c>
      <c r="AO53" s="279">
        <f t="shared" si="117"/>
        <v>0</v>
      </c>
      <c r="AP53" s="462" t="str">
        <f>IFERROR(__xludf.DUMMYFUNCTION("IFERROR(SPARKLINE(AO53,{""charttype"",""bar"";""color1"",IF(AO53&gt;='Май'!green_percent,'Май'!green,IF(AO53&gt;='Май'!yellow_percent,'Май'!yellow,IF(AO53&gt;='Май'!orange_percent,'Май'!orange,'Май'!red)));""max"",1}))"),"")</f>
        <v/>
      </c>
      <c r="AQ53" s="807">
        <v>0.15789473684210525</v>
      </c>
      <c r="AR53" s="763"/>
      <c r="AS53" s="807">
        <v>0.15789473684210525</v>
      </c>
      <c r="AT53" s="763"/>
      <c r="AU53" s="807">
        <v>0.15789473684210525</v>
      </c>
      <c r="AV53" s="786"/>
      <c r="AW53" s="807">
        <v>0.15789473684210525</v>
      </c>
      <c r="AX53" s="786"/>
      <c r="AY53" s="807">
        <v>0.15789473684210525</v>
      </c>
      <c r="AZ53" s="786"/>
      <c r="BA53" s="807">
        <v>0.15789473684210525</v>
      </c>
      <c r="BB53" s="786"/>
      <c r="BC53" s="807">
        <v>0.15789473684210525</v>
      </c>
      <c r="BD53" s="763"/>
      <c r="BE53" s="348">
        <v>0.30000000000000004</v>
      </c>
      <c r="BF53" s="279">
        <f>BF51/BF49</f>
        <v>0</v>
      </c>
      <c r="BG53" s="279">
        <f t="shared" si="119"/>
        <v>0</v>
      </c>
      <c r="BH53" s="462" t="str">
        <f>IFERROR(__xludf.DUMMYFUNCTION("IFERROR(SPARKLINE(BG53,{""charttype"",""bar"";""color1"",IF(BG53&gt;='Май'!green_percent,'Май'!green,IF(BG53&gt;='Май'!yellow_percent,'Май'!yellow,IF(BG53&gt;='Май'!orange_percent,'Май'!orange,'Май'!red)));""max"",1}))"),"")</f>
        <v/>
      </c>
      <c r="BI53" s="807">
        <v>0.15789473684210525</v>
      </c>
      <c r="BJ53" s="504"/>
      <c r="BK53" s="807">
        <v>0.15789473684210525</v>
      </c>
      <c r="BL53" s="503"/>
      <c r="BM53" s="807">
        <v>0.15789473684210525</v>
      </c>
      <c r="BN53" s="503"/>
      <c r="BO53" s="807">
        <v>0.15789473684210525</v>
      </c>
      <c r="BP53" s="503"/>
      <c r="BQ53" s="807">
        <v>0.15789473684210525</v>
      </c>
      <c r="BR53" s="503"/>
      <c r="BS53" s="807">
        <v>0.15789473684210525</v>
      </c>
      <c r="BT53" s="503"/>
      <c r="BU53" s="807">
        <v>0.15789473684210525</v>
      </c>
      <c r="BV53" s="503"/>
      <c r="BW53" s="348">
        <v>0.30000000000000004</v>
      </c>
      <c r="BX53" s="499">
        <f>BX51/BX49</f>
        <v>0</v>
      </c>
      <c r="BY53" s="279">
        <f t="shared" si="107"/>
        <v>0</v>
      </c>
      <c r="BZ53" s="462" t="str">
        <f>IFERROR(__xludf.DUMMYFUNCTION("IFERROR(SPARKLINE(BY53,{""charttype"",""bar"";""color1"",IF(BY53&gt;='Май'!green_percent,'Май'!green,IF(BY53&gt;='Май'!yellow_percent,'Май'!yellow,IF(BY53&gt;='Май'!orange_percent,'Май'!orange,'Май'!red)));""max"",1}))"),"")</f>
        <v/>
      </c>
      <c r="CA53" s="807">
        <v>0.15789473684210525</v>
      </c>
      <c r="CB53" s="504"/>
      <c r="CC53" s="807">
        <v>0.15789473684210525</v>
      </c>
      <c r="CD53" s="504"/>
      <c r="CE53" s="807">
        <v>0.15789473684210525</v>
      </c>
      <c r="CF53" s="504"/>
      <c r="CG53" s="807">
        <v>0.15789473684210525</v>
      </c>
      <c r="CH53" s="504"/>
      <c r="CI53" s="807">
        <v>0.15789473684210525</v>
      </c>
      <c r="CJ53" s="504"/>
      <c r="CK53" s="807">
        <v>0.15789473684210525</v>
      </c>
      <c r="CL53" s="504"/>
      <c r="CM53" s="807">
        <v>0.15789473684210525</v>
      </c>
      <c r="CN53" s="504"/>
      <c r="CO53" s="787">
        <f t="shared" ref="CO53:CP53" si="163">CO51/CO49</f>
        <v>0.1578947368</v>
      </c>
      <c r="CP53" s="230">
        <f t="shared" si="163"/>
        <v>0</v>
      </c>
      <c r="CQ53" s="231">
        <f t="shared" si="123"/>
        <v>0</v>
      </c>
      <c r="CR53" s="232" t="str">
        <f>IFERROR(__xludf.DUMMYFUNCTION("IFERROR(SPARKLINE(CQ53,{""charttype"",""bar"";""color1"",IF(CQ53&gt;='Май'!green_percent,'Май'!green,IF(CQ53&gt;='Май'!yellow_percent,'Май'!yellow,IF(CQ53&gt;='Май'!orange_percent,'Май'!orange,'Май'!red)));""max"",1}))"),"")</f>
        <v/>
      </c>
      <c r="CS53" s="473"/>
      <c r="CT53" s="771"/>
      <c r="CU53" s="766"/>
      <c r="CV53" s="771"/>
      <c r="CW53" s="771"/>
      <c r="CX53" s="771"/>
      <c r="CY53" s="771"/>
      <c r="CZ53" s="771"/>
      <c r="DA53" s="771"/>
      <c r="DB53" s="771"/>
      <c r="DC53" s="771"/>
      <c r="DD53" s="771"/>
      <c r="DE53" s="771"/>
      <c r="DF53" s="771"/>
      <c r="DG53" s="788"/>
      <c r="DH53" s="789"/>
      <c r="DI53" s="790"/>
      <c r="DJ53" s="791"/>
      <c r="DK53" s="771"/>
      <c r="DL53" s="771"/>
    </row>
    <row r="54">
      <c r="A54" s="703"/>
      <c r="B54" s="813" t="s">
        <v>27</v>
      </c>
      <c r="C54" s="814"/>
      <c r="D54" s="814"/>
      <c r="E54" s="815"/>
      <c r="F54" s="816">
        <f>F41/F51</f>
        <v>53333.33333</v>
      </c>
      <c r="G54" s="817">
        <f>SUMIFS(O54:DJ54,$O$11:$DJ$11,"Факт",$O$3:$DJ$3,"&gt;"&amp;EOMONTH('Май'!date,-1),$O$3:$DJ$3,"&lt;="&amp;EOMONTH('Май'!date,0))</f>
        <v>0</v>
      </c>
      <c r="H54" s="818">
        <f t="shared" si="112"/>
        <v>0</v>
      </c>
      <c r="I54" s="705" t="str">
        <f>IFERROR(__xludf.DUMMYFUNCTION("IFERROR(SPARKLINE(H54,{""charttype"",""bar"";""color1"",IF(H54&gt;='Май'!green_percent,'Май'!green,IF(H54&gt;='Май'!yellow_percent,'Май'!yellow,IF(H54&gt;='Май'!orange_percent,'Май'!orange,'Май'!red)));""max"",1}))"),"")</f>
        <v/>
      </c>
      <c r="K54" s="819"/>
      <c r="L54" s="820"/>
      <c r="M54" s="819"/>
      <c r="N54" s="820"/>
      <c r="O54" s="792">
        <f>F54</f>
        <v>53333.33333</v>
      </c>
      <c r="P54" s="776"/>
      <c r="Q54" s="792">
        <v>53333.333333333336</v>
      </c>
      <c r="R54" s="776"/>
      <c r="S54" s="792">
        <v>53333.333333333336</v>
      </c>
      <c r="T54" s="822"/>
      <c r="U54" s="423">
        <f>F54</f>
        <v>53333.33333</v>
      </c>
      <c r="V54" s="486">
        <f t="shared" si="164"/>
        <v>0</v>
      </c>
      <c r="W54" s="412">
        <f t="shared" si="115"/>
        <v>0</v>
      </c>
      <c r="X54" s="823" t="str">
        <f>IFERROR(__xludf.DUMMYFUNCTION("IFERROR(SPARKLINE(W54,{""charttype"",""bar"";""color1"",IF(W54&gt;='Май'!green_percent,'Май'!green,IF(W54&gt;='Май'!yellow_percent,'Май'!yellow,IF(W54&gt;='Май'!orange_percent,'Май'!orange,'Май'!red)));""max"",1}))"),"")</f>
        <v/>
      </c>
      <c r="Y54" s="792">
        <v>53333.333333333336</v>
      </c>
      <c r="Z54" s="824"/>
      <c r="AA54" s="792">
        <v>53333.333333333336</v>
      </c>
      <c r="AB54" s="824"/>
      <c r="AC54" s="792">
        <v>53333.333333333336</v>
      </c>
      <c r="AD54" s="824"/>
      <c r="AE54" s="792">
        <v>53333.333333333336</v>
      </c>
      <c r="AF54" s="824"/>
      <c r="AG54" s="792">
        <v>53333.333333333336</v>
      </c>
      <c r="AH54" s="824"/>
      <c r="AI54" s="792">
        <v>53333.333333333336</v>
      </c>
      <c r="AJ54" s="825"/>
      <c r="AK54" s="792">
        <v>53333.333333333336</v>
      </c>
      <c r="AL54" s="459"/>
      <c r="AM54" s="423">
        <f>AM41/AM51</f>
        <v>53333.33333</v>
      </c>
      <c r="AN54" s="486" t="b">
        <f>AN41=AN52</f>
        <v>0</v>
      </c>
      <c r="AO54" s="253">
        <f t="shared" si="117"/>
        <v>0</v>
      </c>
      <c r="AP54" s="427" t="str">
        <f>IFERROR(__xludf.DUMMYFUNCTION("IFERROR(SPARKLINE(AO54,{""charttype"",""bar"";""color1"",IF(AO54&gt;='Май'!green_percent,'Май'!green,IF(AO54&gt;='Май'!yellow_percent,'Май'!yellow,IF(AO54&gt;='Май'!orange_percent,'Май'!orange,'Май'!red)));""max"",1}))"),"")</f>
        <v/>
      </c>
      <c r="AQ54" s="792">
        <v>53333.333333333336</v>
      </c>
      <c r="AR54" s="822"/>
      <c r="AS54" s="792">
        <v>53333.333333333336</v>
      </c>
      <c r="AT54" s="822"/>
      <c r="AU54" s="792">
        <v>53333.333333333336</v>
      </c>
      <c r="AV54" s="776"/>
      <c r="AW54" s="792">
        <v>53333.333333333336</v>
      </c>
      <c r="AX54" s="776"/>
      <c r="AY54" s="792">
        <v>53333.333333333336</v>
      </c>
      <c r="AZ54" s="776"/>
      <c r="BA54" s="792">
        <v>53333.333333333336</v>
      </c>
      <c r="BB54" s="776"/>
      <c r="BC54" s="792">
        <v>53333.333333333336</v>
      </c>
      <c r="BD54" s="822"/>
      <c r="BE54" s="423">
        <v>48333.333333333336</v>
      </c>
      <c r="BF54" s="486">
        <f>AR54+AT54+AV54+AX54+AZ54+BB54+BD54</f>
        <v>0</v>
      </c>
      <c r="BG54" s="253">
        <f t="shared" si="119"/>
        <v>0</v>
      </c>
      <c r="BH54" s="427" t="str">
        <f>IFERROR(__xludf.DUMMYFUNCTION("IFERROR(SPARKLINE(BG54,{""charttype"",""bar"";""color1"",IF(BG54&gt;='Май'!green_percent,'Май'!green,IF(BG54&gt;='Май'!yellow_percent,'Май'!yellow,IF(BG54&gt;='Май'!orange_percent,'Май'!orange,'Май'!red)));""max"",1}))"),"")</f>
        <v/>
      </c>
      <c r="BI54" s="792">
        <v>53333.333333333336</v>
      </c>
      <c r="BJ54" s="710"/>
      <c r="BK54" s="792">
        <v>53333.333333333336</v>
      </c>
      <c r="BL54" s="465"/>
      <c r="BM54" s="792">
        <v>53333.333333333336</v>
      </c>
      <c r="BN54" s="716"/>
      <c r="BO54" s="792">
        <v>53333.333333333336</v>
      </c>
      <c r="BP54" s="716"/>
      <c r="BQ54" s="792">
        <v>53333.333333333336</v>
      </c>
      <c r="BR54" s="716"/>
      <c r="BS54" s="792">
        <v>53333.333333333336</v>
      </c>
      <c r="BT54" s="716"/>
      <c r="BU54" s="792">
        <v>53333.333333333336</v>
      </c>
      <c r="BV54" s="716"/>
      <c r="BW54" s="423">
        <v>48333.333333333336</v>
      </c>
      <c r="BX54" s="486" t="str">
        <f>BX41/BX51</f>
        <v>#DIV/0!</v>
      </c>
      <c r="BY54" s="253" t="str">
        <f t="shared" si="107"/>
        <v/>
      </c>
      <c r="BZ54" s="427" t="str">
        <f>IFERROR(__xludf.DUMMYFUNCTION("IFERROR(SPARKLINE(BY54,{""charttype"",""bar"";""color1"",IF(BY54&gt;='Май'!green_percent,'Май'!green,IF(BY54&gt;='Май'!yellow_percent,'Май'!yellow,IF(BY54&gt;='Май'!orange_percent,'Май'!orange,'Май'!red)));""max"",1}))"),"")</f>
        <v/>
      </c>
      <c r="CA54" s="792">
        <v>53333.333333333336</v>
      </c>
      <c r="CB54" s="710"/>
      <c r="CC54" s="792">
        <v>53333.333333333336</v>
      </c>
      <c r="CD54" s="710"/>
      <c r="CE54" s="792">
        <v>53333.333333333336</v>
      </c>
      <c r="CF54" s="710"/>
      <c r="CG54" s="792">
        <v>53333.333333333336</v>
      </c>
      <c r="CH54" s="710"/>
      <c r="CI54" s="792">
        <v>53333.333333333336</v>
      </c>
      <c r="CJ54" s="710"/>
      <c r="CK54" s="792">
        <v>53333.333333333336</v>
      </c>
      <c r="CL54" s="710"/>
      <c r="CM54" s="792">
        <v>53333.333333333336</v>
      </c>
      <c r="CN54" s="710"/>
      <c r="CO54" s="423">
        <v>48333.333333333336</v>
      </c>
      <c r="CP54" s="258" t="str">
        <f>CP41/CP51</f>
        <v>#DIV/0!</v>
      </c>
      <c r="CQ54" s="259" t="str">
        <f t="shared" si="123"/>
        <v/>
      </c>
      <c r="CR54" s="260" t="str">
        <f>IFERROR(__xludf.DUMMYFUNCTION("IFERROR(SPARKLINE(CQ54,{""charttype"",""bar"";""color1"",IF(CQ54&gt;='Май'!green_percent,'Май'!green,IF(CQ54&gt;='Май'!yellow_percent,'Май'!yellow,IF(CQ54&gt;='Май'!orange_percent,'Май'!orange,'Май'!red)));""max"",1}))"),"")</f>
        <v/>
      </c>
      <c r="CS54" s="321"/>
      <c r="CT54" s="827"/>
      <c r="CU54" s="828"/>
      <c r="CV54" s="827"/>
      <c r="CW54" s="827"/>
      <c r="CX54" s="827"/>
      <c r="CY54" s="827"/>
      <c r="CZ54" s="827"/>
      <c r="DA54" s="827"/>
      <c r="DB54" s="827"/>
      <c r="DC54" s="827"/>
      <c r="DD54" s="827"/>
      <c r="DE54" s="827"/>
      <c r="DF54" s="827"/>
      <c r="DG54" s="829">
        <f t="shared" ref="DG54:DH54" si="165">CS54+CU54+CW54+CY54+DA54+DC54+DE54</f>
        <v>0</v>
      </c>
      <c r="DH54" s="830">
        <f t="shared" si="165"/>
        <v>0</v>
      </c>
      <c r="DI54" s="831" t="str">
        <f>IFERROR(DH54/DG54,"")</f>
        <v/>
      </c>
      <c r="DJ54" s="832" t="str">
        <f>IFERROR(__xludf.DUMMYFUNCTION("IFERROR(SPARKLINE(DI54,{""charttype"",""bar"";""color1"",IF(DI54&gt;='Май'!green_percent,'Май'!green,IF(DI54&gt;='Май'!yellow_percent,'Май'!yellow,IF(DI54&gt;='Май'!orange_percent,'Май'!orange,'Май'!red)));""max"",1}))"),"")</f>
        <v/>
      </c>
      <c r="DK54" s="827"/>
      <c r="DL54" s="827"/>
    </row>
    <row r="55">
      <c r="A55" s="673"/>
      <c r="B55" s="724" t="s">
        <v>28</v>
      </c>
      <c r="C55" s="217"/>
      <c r="D55" s="217"/>
      <c r="E55" s="218"/>
      <c r="F55" s="448">
        <v>0.0</v>
      </c>
      <c r="G55" s="448">
        <f>V55+AN55+BF55+BX55+CP55</f>
        <v>0</v>
      </c>
      <c r="H55" s="543" t="str">
        <f t="shared" si="112"/>
        <v/>
      </c>
      <c r="I55" s="675" t="str">
        <f>IFERROR(__xludf.DUMMYFUNCTION("IFERROR(SPARKLINE(H55,{""charttype"",""bar"";""color1"",IF(H55&gt;='Май'!green_percent,'Май'!green,IF(H55&gt;='Май'!yellow_percent,'Май'!yellow,IF(H55&gt;='Май'!orange_percent,'Май'!orange,'Май'!red)));""max"",1}))"),"")</f>
        <v/>
      </c>
      <c r="K55" s="833"/>
      <c r="L55" s="834"/>
      <c r="M55" s="833"/>
      <c r="N55" s="834"/>
      <c r="O55" s="792"/>
      <c r="P55" s="776"/>
      <c r="Q55" s="792"/>
      <c r="R55" s="776"/>
      <c r="S55" s="276"/>
      <c r="T55" s="463"/>
      <c r="U55" s="277"/>
      <c r="V55" s="464"/>
      <c r="W55" s="220"/>
      <c r="X55" s="836"/>
      <c r="Y55" s="303"/>
      <c r="Z55" s="824"/>
      <c r="AA55" s="303"/>
      <c r="AB55" s="824"/>
      <c r="AC55" s="303"/>
      <c r="AD55" s="824"/>
      <c r="AE55" s="303"/>
      <c r="AF55" s="824"/>
      <c r="AG55" s="303"/>
      <c r="AH55" s="824"/>
      <c r="AI55" s="303"/>
      <c r="AJ55" s="825"/>
      <c r="AK55" s="303"/>
      <c r="AL55" s="459"/>
      <c r="AM55" s="349"/>
      <c r="AN55" s="464"/>
      <c r="AO55" s="279"/>
      <c r="AP55" s="462"/>
      <c r="AQ55" s="303"/>
      <c r="AR55" s="463"/>
      <c r="AS55" s="362"/>
      <c r="AT55" s="1212"/>
      <c r="AU55" s="303"/>
      <c r="AV55" s="776"/>
      <c r="AW55" s="303"/>
      <c r="AX55" s="776"/>
      <c r="AY55" s="303"/>
      <c r="AZ55" s="776"/>
      <c r="BA55" s="303"/>
      <c r="BB55" s="776"/>
      <c r="BC55" s="303"/>
      <c r="BD55" s="463"/>
      <c r="BE55" s="349"/>
      <c r="BF55" s="464"/>
      <c r="BG55" s="279"/>
      <c r="BH55" s="462"/>
      <c r="BI55" s="303"/>
      <c r="BJ55" s="466"/>
      <c r="BK55" s="303"/>
      <c r="BL55" s="465"/>
      <c r="BM55" s="303"/>
      <c r="BN55" s="465"/>
      <c r="BO55" s="303"/>
      <c r="BP55" s="465"/>
      <c r="BQ55" s="303"/>
      <c r="BR55" s="465"/>
      <c r="BS55" s="303"/>
      <c r="BT55" s="465"/>
      <c r="BU55" s="303"/>
      <c r="BV55" s="465"/>
      <c r="BW55" s="349"/>
      <c r="BX55" s="464"/>
      <c r="BY55" s="838"/>
      <c r="BZ55" s="334"/>
      <c r="CA55" s="303"/>
      <c r="CB55" s="466"/>
      <c r="CC55" s="303"/>
      <c r="CD55" s="466"/>
      <c r="CE55" s="303"/>
      <c r="CF55" s="466"/>
      <c r="CG55" s="303"/>
      <c r="CH55" s="466"/>
      <c r="CI55" s="303"/>
      <c r="CJ55" s="466"/>
      <c r="CK55" s="303"/>
      <c r="CL55" s="466"/>
      <c r="CM55" s="303"/>
      <c r="CN55" s="466"/>
      <c r="CO55" s="839"/>
      <c r="CP55" s="733"/>
      <c r="CQ55" s="840"/>
      <c r="CR55" s="841"/>
      <c r="CS55" s="842"/>
      <c r="CT55" s="843"/>
      <c r="CU55" s="842"/>
      <c r="CV55" s="843"/>
      <c r="CW55" s="843"/>
      <c r="CX55" s="843"/>
      <c r="CY55" s="843"/>
      <c r="CZ55" s="843"/>
      <c r="DA55" s="843"/>
      <c r="DB55" s="843"/>
      <c r="DC55" s="843"/>
      <c r="DD55" s="843"/>
      <c r="DE55" s="843"/>
      <c r="DF55" s="843"/>
      <c r="DG55" s="289"/>
      <c r="DH55" s="844"/>
      <c r="DI55" s="310"/>
      <c r="DJ55" s="339"/>
      <c r="DK55" s="843"/>
      <c r="DL55" s="843"/>
    </row>
    <row r="56">
      <c r="A56" s="845"/>
      <c r="B56" s="846" t="s">
        <v>41</v>
      </c>
      <c r="C56" s="814"/>
      <c r="D56" s="814"/>
      <c r="E56" s="815"/>
      <c r="F56" s="581">
        <v>0.0</v>
      </c>
      <c r="G56" s="581">
        <f>SUMIFS(O56:DJ56,$O$11:$DJ$11,"Факт",$O$3:$DJ$3,"&gt;"&amp;EOMONTH('Май'!date,-1),$O$3:$DJ$3,"&lt;="&amp;EOMONTH('Май'!date,0))</f>
        <v>0</v>
      </c>
      <c r="H56" s="704" t="str">
        <f t="shared" si="112"/>
        <v/>
      </c>
      <c r="I56" s="705" t="str">
        <f>IFERROR(__xludf.DUMMYFUNCTION("IFERROR(SPARKLINE(H56,{""charttype"",""bar"";""color1"",IF(H56&gt;='Май'!green_percent,'Май'!green,IF(H56&gt;='Май'!yellow_percent,'Май'!yellow,IF(H56&gt;='Май'!orange_percent,'Май'!orange,'Май'!red)));""max"",1}))"),"")</f>
        <v/>
      </c>
      <c r="J56" s="646"/>
      <c r="K56" s="847"/>
      <c r="L56" s="834"/>
      <c r="M56" s="847"/>
      <c r="N56" s="834"/>
      <c r="O56" s="851"/>
      <c r="P56" s="849"/>
      <c r="Q56" s="851"/>
      <c r="R56" s="849"/>
      <c r="S56" s="852"/>
      <c r="T56" s="853"/>
      <c r="U56" s="854"/>
      <c r="V56" s="855"/>
      <c r="W56" s="856"/>
      <c r="X56" s="446"/>
      <c r="Y56" s="1636"/>
      <c r="Z56" s="858"/>
      <c r="AA56" s="1636"/>
      <c r="AB56" s="858"/>
      <c r="AC56" s="1636"/>
      <c r="AD56" s="858"/>
      <c r="AE56" s="1636"/>
      <c r="AF56" s="858"/>
      <c r="AG56" s="1636"/>
      <c r="AH56" s="858"/>
      <c r="AI56" s="1636"/>
      <c r="AJ56" s="859"/>
      <c r="AK56" s="1636"/>
      <c r="AL56" s="860"/>
      <c r="AM56" s="861"/>
      <c r="AN56" s="862"/>
      <c r="AO56" s="364"/>
      <c r="AP56" s="863"/>
      <c r="AQ56" s="1636"/>
      <c r="AR56" s="864"/>
      <c r="AS56" s="1637"/>
      <c r="AT56" s="1638"/>
      <c r="AU56" s="1636"/>
      <c r="AV56" s="865"/>
      <c r="AW56" s="1636"/>
      <c r="AX56" s="865"/>
      <c r="AY56" s="1636"/>
      <c r="AZ56" s="865"/>
      <c r="BA56" s="1636"/>
      <c r="BB56" s="865"/>
      <c r="BC56" s="1636"/>
      <c r="BD56" s="864"/>
      <c r="BE56" s="861"/>
      <c r="BF56" s="862"/>
      <c r="BG56" s="364"/>
      <c r="BH56" s="863"/>
      <c r="BI56" s="1636"/>
      <c r="BJ56" s="866"/>
      <c r="BK56" s="1636"/>
      <c r="BL56" s="867"/>
      <c r="BM56" s="1636"/>
      <c r="BN56" s="868"/>
      <c r="BO56" s="1636"/>
      <c r="BP56" s="868"/>
      <c r="BQ56" s="1636"/>
      <c r="BR56" s="868"/>
      <c r="BS56" s="1636"/>
      <c r="BT56" s="868"/>
      <c r="BU56" s="1636"/>
      <c r="BV56" s="868"/>
      <c r="BW56" s="861"/>
      <c r="BX56" s="862"/>
      <c r="BY56" s="869"/>
      <c r="BZ56" s="366"/>
      <c r="CA56" s="1636"/>
      <c r="CB56" s="866"/>
      <c r="CC56" s="1636"/>
      <c r="CD56" s="866"/>
      <c r="CE56" s="1636"/>
      <c r="CF56" s="866"/>
      <c r="CG56" s="1636"/>
      <c r="CH56" s="866"/>
      <c r="CI56" s="1636"/>
      <c r="CJ56" s="866"/>
      <c r="CK56" s="1636"/>
      <c r="CL56" s="866"/>
      <c r="CM56" s="1636"/>
      <c r="CN56" s="866"/>
      <c r="CO56" s="871"/>
      <c r="CP56" s="872"/>
      <c r="CQ56" s="873"/>
      <c r="CR56" s="874"/>
      <c r="CS56" s="842"/>
      <c r="CT56" s="875"/>
      <c r="CU56" s="842"/>
      <c r="CV56" s="875"/>
      <c r="CW56" s="875"/>
      <c r="CX56" s="875"/>
      <c r="CY56" s="875"/>
      <c r="CZ56" s="875"/>
      <c r="DA56" s="875"/>
      <c r="DB56" s="875"/>
      <c r="DC56" s="875"/>
      <c r="DD56" s="875"/>
      <c r="DE56" s="875"/>
      <c r="DF56" s="875"/>
      <c r="DG56" s="326"/>
      <c r="DH56" s="876"/>
      <c r="DI56" s="327"/>
      <c r="DJ56" s="329"/>
      <c r="DK56" s="875"/>
      <c r="DL56" s="875"/>
    </row>
    <row r="57">
      <c r="A57" s="877" t="s">
        <v>48</v>
      </c>
      <c r="B57" s="878" t="s">
        <v>20</v>
      </c>
      <c r="C57" s="879"/>
      <c r="D57" s="879"/>
      <c r="E57" s="880"/>
      <c r="F57" s="881">
        <f t="shared" ref="F57:G57" si="166">F58/F73</f>
        <v>0.4875</v>
      </c>
      <c r="G57" s="881">
        <f t="shared" si="166"/>
        <v>8.411214953</v>
      </c>
      <c r="H57" s="882"/>
      <c r="I57" s="883"/>
      <c r="J57" s="884"/>
      <c r="K57" s="885"/>
      <c r="L57" s="886"/>
      <c r="M57" s="887"/>
      <c r="N57" s="888"/>
      <c r="O57" s="887"/>
      <c r="P57" s="890"/>
      <c r="Q57" s="887"/>
      <c r="R57" s="890"/>
      <c r="S57" s="891"/>
      <c r="T57" s="892"/>
      <c r="U57" s="893">
        <f t="shared" ref="U57:V57" si="167">U58/U73</f>
        <v>0.73125</v>
      </c>
      <c r="V57" s="881" t="str">
        <f t="shared" si="167"/>
        <v>#DIV/0!</v>
      </c>
      <c r="W57" s="894"/>
      <c r="X57" s="895"/>
      <c r="Y57" s="306"/>
      <c r="Z57" s="896"/>
      <c r="AA57" s="306"/>
      <c r="AB57" s="896"/>
      <c r="AC57" s="306"/>
      <c r="AD57" s="896"/>
      <c r="AE57" s="306"/>
      <c r="AF57" s="896"/>
      <c r="AG57" s="306"/>
      <c r="AH57" s="896"/>
      <c r="AI57" s="306"/>
      <c r="AJ57" s="897"/>
      <c r="AK57" s="306"/>
      <c r="AL57" s="898"/>
      <c r="AM57" s="893">
        <f t="shared" ref="AM57:AN57" si="168">AM58/AM73</f>
        <v>0.975</v>
      </c>
      <c r="AN57" s="899" t="str">
        <f t="shared" si="168"/>
        <v>#DIV/0!</v>
      </c>
      <c r="AO57" s="390"/>
      <c r="AP57" s="391"/>
      <c r="AQ57" s="306"/>
      <c r="AR57" s="900"/>
      <c r="AS57" s="306"/>
      <c r="AT57" s="900"/>
      <c r="AU57" s="306"/>
      <c r="AV57" s="901"/>
      <c r="AW57" s="306"/>
      <c r="AX57" s="901"/>
      <c r="AY57" s="306"/>
      <c r="AZ57" s="901"/>
      <c r="BA57" s="306"/>
      <c r="BB57" s="901"/>
      <c r="BC57" s="306"/>
      <c r="BD57" s="900"/>
      <c r="BE57" s="893">
        <f t="shared" ref="BE57:BF57" si="169">BE58/BE73</f>
        <v>0.975</v>
      </c>
      <c r="BF57" s="899" t="str">
        <f t="shared" si="169"/>
        <v>#DIV/0!</v>
      </c>
      <c r="BG57" s="688" t="str">
        <f t="shared" ref="BG57:BG75" si="172">IFERROR(BF57/BE57,"")</f>
        <v/>
      </c>
      <c r="BH57" s="689" t="str">
        <f>IFERROR(__xludf.DUMMYFUNCTION("IFERROR(SPARKLINE(BG57,{""charttype"",""bar"";""color1"",IF(BG57&gt;='Май'!green_percent,'Май'!green,IF(BG57&gt;='Май'!yellow_percent,'Май'!yellow,IF(BG57&gt;='Май'!orange_percent,'Май'!orange,'Май'!red)));""max"",1}))"),"")</f>
        <v/>
      </c>
      <c r="BI57" s="306"/>
      <c r="BJ57" s="902"/>
      <c r="BK57" s="306"/>
      <c r="BL57" s="903"/>
      <c r="BM57" s="306"/>
      <c r="BN57" s="903"/>
      <c r="BO57" s="306"/>
      <c r="BP57" s="903"/>
      <c r="BQ57" s="306"/>
      <c r="BR57" s="903"/>
      <c r="BS57" s="306"/>
      <c r="BT57" s="903"/>
      <c r="BU57" s="306"/>
      <c r="BV57" s="903"/>
      <c r="BW57" s="893">
        <f t="shared" ref="BW57:BX57" si="170">BW58/BW73</f>
        <v>0.975</v>
      </c>
      <c r="BX57" s="899" t="str">
        <f t="shared" si="170"/>
        <v>#DIV/0!</v>
      </c>
      <c r="BY57" s="688" t="str">
        <f t="shared" ref="BY57:BY75" si="173">IFERROR(BX57/BW57,"")</f>
        <v/>
      </c>
      <c r="BZ57" s="689" t="str">
        <f>IFERROR(__xludf.DUMMYFUNCTION("IFERROR(SPARKLINE(BY57,{""charttype"",""bar"";""color1"",IF(BY57&gt;='Май'!green_percent,'Май'!green,IF(BY57&gt;='Май'!yellow_percent,'Май'!yellow,IF(BY57&gt;='Май'!orange_percent,'Май'!orange,'Май'!red)));""max"",1}))"),"")</f>
        <v/>
      </c>
      <c r="CA57" s="306"/>
      <c r="CB57" s="902"/>
      <c r="CC57" s="306"/>
      <c r="CD57" s="902"/>
      <c r="CE57" s="306"/>
      <c r="CF57" s="902"/>
      <c r="CG57" s="306"/>
      <c r="CH57" s="902"/>
      <c r="CI57" s="306"/>
      <c r="CJ57" s="902"/>
      <c r="CK57" s="306"/>
      <c r="CL57" s="902"/>
      <c r="CM57" s="306"/>
      <c r="CN57" s="902"/>
      <c r="CO57" s="893">
        <f t="shared" ref="CO57:CP57" si="171">CO58/CO73</f>
        <v>0.975</v>
      </c>
      <c r="CP57" s="899">
        <f t="shared" si="171"/>
        <v>0</v>
      </c>
      <c r="CQ57" s="688">
        <f t="shared" ref="CQ57:CQ75" si="174">IFERROR(CP57/CO57,"")</f>
        <v>0</v>
      </c>
      <c r="CR57" s="689" t="str">
        <f>IFERROR(__xludf.DUMMYFUNCTION("IFERROR(SPARKLINE(CQ57,{""charttype"",""bar"";""color1"",IF(CQ57&gt;='Май'!green_percent,'Май'!green,IF(CQ57&gt;='Май'!yellow_percent,'Май'!yellow,IF(CQ57&gt;='Май'!orange_percent,'Май'!orange,'Май'!red)));""max"",1}))"),"")</f>
        <v/>
      </c>
      <c r="CS57" s="905"/>
      <c r="CT57" s="906"/>
      <c r="CU57" s="905"/>
      <c r="CV57" s="906"/>
      <c r="CW57" s="906"/>
      <c r="CX57" s="906"/>
      <c r="CY57" s="906"/>
      <c r="CZ57" s="906"/>
      <c r="DA57" s="906"/>
      <c r="DB57" s="906"/>
      <c r="DC57" s="906"/>
      <c r="DD57" s="906"/>
      <c r="DE57" s="906"/>
      <c r="DF57" s="906"/>
      <c r="DG57" s="907"/>
      <c r="DH57" s="908"/>
      <c r="DI57" s="909"/>
      <c r="DJ57" s="910"/>
      <c r="DK57" s="906"/>
      <c r="DL57" s="911"/>
    </row>
    <row r="58" ht="21.0" customHeight="1">
      <c r="A58" s="912"/>
      <c r="B58" s="913" t="s">
        <v>49</v>
      </c>
      <c r="C58" s="242"/>
      <c r="D58" s="242"/>
      <c r="E58" s="243"/>
      <c r="F58" s="581">
        <v>390000.0</v>
      </c>
      <c r="G58" s="581">
        <f t="shared" ref="G58:G61" si="175">V58+AN58+BF58+BX58+CP58</f>
        <v>90000</v>
      </c>
      <c r="H58" s="704">
        <f t="shared" ref="H58:H75" si="176">IFERROR(G58/F58,"")</f>
        <v>0.2307692308</v>
      </c>
      <c r="I58" s="427" t="str">
        <f>IFERROR(__xludf.DUMMYFUNCTION("IFERROR(SPARKLINE(H58,{""charttype"",""bar"";""color1"",IF(H58&gt;='Май'!green_percent,'Май'!green,IF(H58&gt;='Май'!yellow_percent,'Май'!yellow,IF(H58&gt;='Май'!orange_percent,'Май'!orange,'Май'!red)));""max"",1}))"),"")</f>
        <v/>
      </c>
      <c r="K58" s="914"/>
      <c r="L58" s="915"/>
      <c r="M58" s="914"/>
      <c r="N58" s="916"/>
      <c r="O58" s="914">
        <f t="shared" ref="O58:O62" si="177">F58/31</f>
        <v>12580.64516</v>
      </c>
      <c r="P58" s="918"/>
      <c r="Q58" s="914">
        <v>12580.645161290322</v>
      </c>
      <c r="R58" s="918"/>
      <c r="S58" s="914">
        <v>12580.645161290322</v>
      </c>
      <c r="T58" s="822"/>
      <c r="U58" s="585">
        <f t="shared" ref="U58:U62" si="178">O58+Q58+S58</f>
        <v>37741.93548</v>
      </c>
      <c r="V58" s="244">
        <v>0.0</v>
      </c>
      <c r="W58" s="245">
        <f t="shared" ref="W58:W75" si="179">IFERROR(V58/U58,"")</f>
        <v>0</v>
      </c>
      <c r="X58" s="920" t="str">
        <f>IFERROR(__xludf.DUMMYFUNCTION("IFERROR(SPARKLINE(W58,{""charttype"",""bar"";""color1"",IF(W58&gt;='Май'!green_percent,'Май'!green,IF(W58&gt;='Май'!yellow_percent,'Май'!yellow,IF(W58&gt;='Май'!orange_percent,'Май'!orange,'Май'!red)));""max"",1}))"),"")</f>
        <v/>
      </c>
      <c r="Y58" s="914">
        <v>12580.645161290322</v>
      </c>
      <c r="Z58" s="824"/>
      <c r="AA58" s="914">
        <v>12580.645161290322</v>
      </c>
      <c r="AB58" s="824"/>
      <c r="AC58" s="914">
        <v>12580.645161290322</v>
      </c>
      <c r="AD58" s="824"/>
      <c r="AE58" s="914">
        <v>12580.645161290322</v>
      </c>
      <c r="AF58" s="824"/>
      <c r="AG58" s="914">
        <v>12580.645161290322</v>
      </c>
      <c r="AH58" s="824"/>
      <c r="AI58" s="914">
        <v>12580.645161290322</v>
      </c>
      <c r="AJ58" s="825"/>
      <c r="AK58" s="914">
        <v>12580.645161290322</v>
      </c>
      <c r="AL58" s="459"/>
      <c r="AM58" s="585">
        <f t="shared" ref="AM58:AM62" si="180">Y58+AA58+AC58+AE58+AG58+AI58+AK58</f>
        <v>88064.51613</v>
      </c>
      <c r="AN58" s="580">
        <v>0.0</v>
      </c>
      <c r="AO58" s="922">
        <f t="shared" ref="AO58:AO71" si="181">IFERROR(AN58/AM58,"")</f>
        <v>0</v>
      </c>
      <c r="AP58" s="923" t="str">
        <f>IFERROR(__xludf.DUMMYFUNCTION("IFERROR(SPARKLINE(AO58,{""charttype"",""bar"";""color1"",IF(AO58&gt;='Май'!green_percent,'Май'!green,IF(AO58&gt;='Май'!yellow_percent,'Май'!yellow,IF(AO58&gt;='Май'!orange_percent,'Май'!orange,'Май'!red)));""max"",1}))"),"")</f>
        <v/>
      </c>
      <c r="AQ58" s="914">
        <v>12580.645161290322</v>
      </c>
      <c r="AR58" s="822"/>
      <c r="AS58" s="914">
        <v>12580.645161290322</v>
      </c>
      <c r="AT58" s="822"/>
      <c r="AU58" s="914">
        <v>12580.645161290322</v>
      </c>
      <c r="AV58" s="776"/>
      <c r="AW58" s="914">
        <v>12580.645161290322</v>
      </c>
      <c r="AX58" s="776"/>
      <c r="AY58" s="914">
        <v>12580.645161290322</v>
      </c>
      <c r="AZ58" s="776"/>
      <c r="BA58" s="914">
        <v>12580.645161290322</v>
      </c>
      <c r="BB58" s="776"/>
      <c r="BC58" s="914">
        <v>12580.645161290322</v>
      </c>
      <c r="BD58" s="822"/>
      <c r="BE58" s="585">
        <f t="shared" ref="BE58:BE62" si="182">AQ58+AS58+AU58+AW58+AY58+BA58+BC58</f>
        <v>88064.51613</v>
      </c>
      <c r="BF58" s="580">
        <v>90000.0</v>
      </c>
      <c r="BG58" s="922">
        <f t="shared" si="172"/>
        <v>1.021978022</v>
      </c>
      <c r="BH58" s="923" t="str">
        <f>IFERROR(__xludf.DUMMYFUNCTION("IFERROR(SPARKLINE(BG58,{""charttype"",""bar"";""color1"",IF(BG58&gt;='Май'!green_percent,'Май'!green,IF(BG58&gt;='Май'!yellow_percent,'Май'!yellow,IF(BG58&gt;='Май'!orange_percent,'Май'!orange,'Май'!red)));""max"",1}))"),"")</f>
        <v/>
      </c>
      <c r="BI58" s="914">
        <v>12580.645161290322</v>
      </c>
      <c r="BJ58" s="710"/>
      <c r="BK58" s="914">
        <v>12580.645161290322</v>
      </c>
      <c r="BL58" s="465"/>
      <c r="BM58" s="914">
        <v>12580.645161290322</v>
      </c>
      <c r="BN58" s="716"/>
      <c r="BO58" s="914">
        <v>12580.645161290322</v>
      </c>
      <c r="BP58" s="716"/>
      <c r="BQ58" s="914">
        <v>12580.645161290322</v>
      </c>
      <c r="BR58" s="716"/>
      <c r="BS58" s="914">
        <v>12580.645161290322</v>
      </c>
      <c r="BT58" s="716"/>
      <c r="BU58" s="914">
        <v>12580.645161290322</v>
      </c>
      <c r="BV58" s="716"/>
      <c r="BW58" s="585">
        <f t="shared" ref="BW58:BW62" si="183">BI58+BK58+BM58+BO58+BQ58+BS58+BU58</f>
        <v>88064.51613</v>
      </c>
      <c r="BX58" s="580">
        <v>0.0</v>
      </c>
      <c r="BY58" s="922">
        <f t="shared" si="173"/>
        <v>0</v>
      </c>
      <c r="BZ58" s="923" t="str">
        <f>IFERROR(__xludf.DUMMYFUNCTION("IFERROR(SPARKLINE(BY58,{""charttype"",""bar"";""color1"",IF(BY58&gt;='Май'!green_percent,'Май'!green,IF(BY58&gt;='Май'!yellow_percent,'Май'!yellow,IF(BY58&gt;='Май'!orange_percent,'Май'!orange,'Май'!red)));""max"",1}))"),"")</f>
        <v/>
      </c>
      <c r="CA58" s="914">
        <v>12580.645161290322</v>
      </c>
      <c r="CB58" s="710"/>
      <c r="CC58" s="914">
        <v>12580.645161290322</v>
      </c>
      <c r="CD58" s="710"/>
      <c r="CE58" s="914">
        <v>12580.645161290322</v>
      </c>
      <c r="CF58" s="710"/>
      <c r="CG58" s="914">
        <v>12580.645161290322</v>
      </c>
      <c r="CH58" s="710"/>
      <c r="CI58" s="914">
        <v>12580.645161290322</v>
      </c>
      <c r="CJ58" s="710"/>
      <c r="CK58" s="914">
        <v>12580.645161290322</v>
      </c>
      <c r="CL58" s="710"/>
      <c r="CM58" s="914">
        <v>12580.645161290322</v>
      </c>
      <c r="CN58" s="710"/>
      <c r="CO58" s="585">
        <f t="shared" ref="CO58:CO62" si="184">CA58+CC58+CE58+CG58+CI58+CK58+CM58</f>
        <v>88064.51613</v>
      </c>
      <c r="CP58" s="580"/>
      <c r="CQ58" s="922">
        <f t="shared" si="174"/>
        <v>0</v>
      </c>
      <c r="CR58" s="923" t="str">
        <f>IFERROR(__xludf.DUMMYFUNCTION("IFERROR(SPARKLINE(CQ58,{""charttype"",""bar"";""color1"",IF(CQ58&gt;='Май'!green_percent,'Май'!green,IF(CQ58&gt;='Май'!yellow_percent,'Май'!yellow,IF(CQ58&gt;='Май'!orange_percent,'Май'!orange,'Май'!red)));""max"",1}))"),"")</f>
        <v/>
      </c>
      <c r="CS58" s="842"/>
      <c r="CT58" s="875"/>
      <c r="CU58" s="842"/>
      <c r="CV58" s="875"/>
      <c r="CW58" s="875"/>
      <c r="CX58" s="875"/>
      <c r="CY58" s="875"/>
      <c r="CZ58" s="875"/>
      <c r="DA58" s="875"/>
      <c r="DB58" s="875"/>
      <c r="DC58" s="875"/>
      <c r="DD58" s="875"/>
      <c r="DE58" s="875"/>
      <c r="DF58" s="875"/>
      <c r="DG58" s="326"/>
      <c r="DH58" s="876"/>
      <c r="DI58" s="327"/>
      <c r="DJ58" s="329"/>
      <c r="DK58" s="875"/>
      <c r="DL58" s="926"/>
    </row>
    <row r="59" ht="21.0" customHeight="1">
      <c r="A59" s="927"/>
      <c r="B59" s="928" t="s">
        <v>50</v>
      </c>
      <c r="C59" s="217"/>
      <c r="D59" s="217"/>
      <c r="E59" s="218"/>
      <c r="F59" s="448">
        <v>2000.0</v>
      </c>
      <c r="G59" s="448">
        <f t="shared" si="175"/>
        <v>17240</v>
      </c>
      <c r="H59" s="543">
        <f t="shared" si="176"/>
        <v>8.62</v>
      </c>
      <c r="I59" s="462" t="str">
        <f>IFERROR(__xludf.DUMMYFUNCTION("IFERROR(SPARKLINE(H59,{""charttype"",""bar"";""color1"",IF(H59&gt;='Май'!green_percent,'Май'!green,IF(H59&gt;='Май'!yellow_percent,'Май'!yellow,IF(H59&gt;='Май'!orange_percent,'Май'!orange,'Май'!red)));""max"",1}))"),"")</f>
        <v/>
      </c>
      <c r="K59" s="929"/>
      <c r="L59" s="930"/>
      <c r="M59" s="929"/>
      <c r="N59" s="773"/>
      <c r="O59" s="932">
        <f t="shared" si="177"/>
        <v>64.51612903</v>
      </c>
      <c r="P59" s="776"/>
      <c r="Q59" s="932">
        <v>64.51612903225806</v>
      </c>
      <c r="R59" s="776"/>
      <c r="S59" s="932">
        <v>64.51612903225806</v>
      </c>
      <c r="T59" s="463"/>
      <c r="U59" s="725">
        <f t="shared" si="178"/>
        <v>193.5483871</v>
      </c>
      <c r="V59" s="448">
        <v>177.0</v>
      </c>
      <c r="W59" s="220">
        <f t="shared" si="179"/>
        <v>0.9145</v>
      </c>
      <c r="X59" s="449" t="str">
        <f>IFERROR(__xludf.DUMMYFUNCTION("IFERROR(SPARKLINE(W59,{""charttype"",""bar"";""color1"",IF(W59&gt;='Май'!green_percent,'Май'!green,IF(W59&gt;='Май'!yellow_percent,'Май'!yellow,IF(W59&gt;='Май'!orange_percent,'Май'!orange,'Май'!red)));""max"",1}))"),"")</f>
        <v/>
      </c>
      <c r="Y59" s="932">
        <v>64.51612903225806</v>
      </c>
      <c r="Z59" s="824"/>
      <c r="AA59" s="932">
        <v>64.51612903225806</v>
      </c>
      <c r="AB59" s="824"/>
      <c r="AC59" s="932">
        <v>64.51612903225806</v>
      </c>
      <c r="AD59" s="824"/>
      <c r="AE59" s="932">
        <v>64.51612903225806</v>
      </c>
      <c r="AF59" s="824"/>
      <c r="AG59" s="932">
        <v>64.51612903225806</v>
      </c>
      <c r="AH59" s="824"/>
      <c r="AI59" s="932">
        <v>64.51612903225806</v>
      </c>
      <c r="AJ59" s="825"/>
      <c r="AK59" s="932">
        <v>64.51612903225806</v>
      </c>
      <c r="AL59" s="459"/>
      <c r="AM59" s="725">
        <f t="shared" si="180"/>
        <v>451.6129032</v>
      </c>
      <c r="AN59" s="448">
        <v>394.0</v>
      </c>
      <c r="AO59" s="279">
        <f t="shared" si="181"/>
        <v>0.8724285714</v>
      </c>
      <c r="AP59" s="462" t="str">
        <f>IFERROR(__xludf.DUMMYFUNCTION("IFERROR(SPARKLINE(AO59,{""charttype"",""bar"";""color1"",IF(AO59&gt;='Май'!green_percent,'Май'!green,IF(AO59&gt;='Май'!yellow_percent,'Май'!yellow,IF(AO59&gt;='Май'!orange_percent,'Май'!orange,'Май'!red)));""max"",1}))"),"")</f>
        <v/>
      </c>
      <c r="AQ59" s="932">
        <v>64.51612903225806</v>
      </c>
      <c r="AR59" s="463"/>
      <c r="AS59" s="932">
        <v>64.51612903225806</v>
      </c>
      <c r="AT59" s="463"/>
      <c r="AU59" s="932">
        <v>64.51612903225806</v>
      </c>
      <c r="AV59" s="776"/>
      <c r="AW59" s="932">
        <v>64.51612903225806</v>
      </c>
      <c r="AX59" s="776"/>
      <c r="AY59" s="932">
        <v>64.51612903225806</v>
      </c>
      <c r="AZ59" s="776"/>
      <c r="BA59" s="932">
        <v>64.51612903225806</v>
      </c>
      <c r="BB59" s="776"/>
      <c r="BC59" s="932">
        <v>64.51612903225806</v>
      </c>
      <c r="BD59" s="463"/>
      <c r="BE59" s="725">
        <f t="shared" si="182"/>
        <v>451.6129032</v>
      </c>
      <c r="BF59" s="448">
        <v>16500.0</v>
      </c>
      <c r="BG59" s="279">
        <f t="shared" si="172"/>
        <v>36.53571429</v>
      </c>
      <c r="BH59" s="462" t="str">
        <f>IFERROR(__xludf.DUMMYFUNCTION("IFERROR(SPARKLINE(BG59,{""charttype"",""bar"";""color1"",IF(BG59&gt;='Май'!green_percent,'Май'!green,IF(BG59&gt;='Май'!yellow_percent,'Май'!yellow,IF(BG59&gt;='Май'!orange_percent,'Май'!orange,'Май'!red)));""max"",1}))"),"")</f>
        <v/>
      </c>
      <c r="BI59" s="932">
        <v>64.51612903225806</v>
      </c>
      <c r="BJ59" s="466"/>
      <c r="BK59" s="932">
        <v>64.51612903225806</v>
      </c>
      <c r="BL59" s="465"/>
      <c r="BM59" s="932">
        <v>64.51612903225806</v>
      </c>
      <c r="BN59" s="465"/>
      <c r="BO59" s="932">
        <v>64.51612903225806</v>
      </c>
      <c r="BP59" s="465"/>
      <c r="BQ59" s="932">
        <v>64.51612903225806</v>
      </c>
      <c r="BR59" s="465"/>
      <c r="BS59" s="932">
        <v>64.51612903225806</v>
      </c>
      <c r="BT59" s="465"/>
      <c r="BU59" s="932">
        <v>64.51612903225806</v>
      </c>
      <c r="BV59" s="465"/>
      <c r="BW59" s="725">
        <f t="shared" si="183"/>
        <v>451.6129032</v>
      </c>
      <c r="BX59" s="448">
        <v>169.0</v>
      </c>
      <c r="BY59" s="279">
        <f t="shared" si="173"/>
        <v>0.3742142857</v>
      </c>
      <c r="BZ59" s="462" t="str">
        <f>IFERROR(__xludf.DUMMYFUNCTION("IFERROR(SPARKLINE(BY59,{""charttype"",""bar"";""color1"",IF(BY59&gt;='Май'!green_percent,'Май'!green,IF(BY59&gt;='Май'!yellow_percent,'Май'!yellow,IF(BY59&gt;='Май'!orange_percent,'Май'!orange,'Май'!red)));""max"",1}))"),"")</f>
        <v/>
      </c>
      <c r="CA59" s="932">
        <v>64.51612903225806</v>
      </c>
      <c r="CB59" s="466"/>
      <c r="CC59" s="932">
        <v>64.51612903225806</v>
      </c>
      <c r="CD59" s="466"/>
      <c r="CE59" s="932">
        <v>64.51612903225806</v>
      </c>
      <c r="CF59" s="466"/>
      <c r="CG59" s="932">
        <v>64.51612903225806</v>
      </c>
      <c r="CH59" s="466"/>
      <c r="CI59" s="932">
        <v>64.51612903225806</v>
      </c>
      <c r="CJ59" s="466"/>
      <c r="CK59" s="932">
        <v>64.51612903225806</v>
      </c>
      <c r="CL59" s="466"/>
      <c r="CM59" s="932">
        <v>64.51612903225806</v>
      </c>
      <c r="CN59" s="466"/>
      <c r="CO59" s="725">
        <f t="shared" si="184"/>
        <v>451.6129032</v>
      </c>
      <c r="CP59" s="448"/>
      <c r="CQ59" s="279">
        <f t="shared" si="174"/>
        <v>0</v>
      </c>
      <c r="CR59" s="462" t="str">
        <f>IFERROR(__xludf.DUMMYFUNCTION("IFERROR(SPARKLINE(CQ59,{""charttype"",""bar"";""color1"",IF(CQ59&gt;='Май'!green_percent,'Май'!green,IF(CQ59&gt;='Май'!yellow_percent,'Май'!yellow,IF(CQ59&gt;='Май'!orange_percent,'Май'!orange,'Май'!red)));""max"",1}))"),"")</f>
        <v/>
      </c>
      <c r="CS59" s="842"/>
      <c r="CT59" s="843"/>
      <c r="CU59" s="842"/>
      <c r="CV59" s="843"/>
      <c r="CW59" s="843"/>
      <c r="CX59" s="843"/>
      <c r="CY59" s="843"/>
      <c r="CZ59" s="843"/>
      <c r="DA59" s="843"/>
      <c r="DB59" s="843"/>
      <c r="DC59" s="843"/>
      <c r="DD59" s="843"/>
      <c r="DE59" s="843"/>
      <c r="DF59" s="843"/>
      <c r="DG59" s="289"/>
      <c r="DH59" s="844"/>
      <c r="DI59" s="310"/>
      <c r="DJ59" s="339"/>
      <c r="DK59" s="843"/>
      <c r="DL59" s="933"/>
    </row>
    <row r="60" ht="21.0" customHeight="1">
      <c r="A60" s="912"/>
      <c r="B60" s="913" t="s">
        <v>51</v>
      </c>
      <c r="C60" s="242"/>
      <c r="D60" s="242"/>
      <c r="E60" s="243"/>
      <c r="F60" s="244">
        <v>120.0</v>
      </c>
      <c r="G60" s="244">
        <f t="shared" si="175"/>
        <v>29</v>
      </c>
      <c r="H60" s="704">
        <f t="shared" si="176"/>
        <v>0.2416666667</v>
      </c>
      <c r="I60" s="427" t="str">
        <f>IFERROR(__xludf.DUMMYFUNCTION("IFERROR(SPARKLINE(H60,{""charttype"",""bar"";""color1"",IF(H60&gt;='Май'!green_percent,'Май'!green,IF(H60&gt;='Май'!yellow_percent,'Май'!yellow,IF(H60&gt;='Май'!orange_percent,'Май'!orange,'Май'!red)));""max"",1}))"),"")</f>
        <v/>
      </c>
      <c r="K60" s="929"/>
      <c r="L60" s="930"/>
      <c r="M60" s="929"/>
      <c r="N60" s="773"/>
      <c r="O60" s="932">
        <f t="shared" si="177"/>
        <v>3.870967742</v>
      </c>
      <c r="P60" s="776"/>
      <c r="Q60" s="932">
        <v>1.2903225806451613</v>
      </c>
      <c r="R60" s="776"/>
      <c r="S60" s="932">
        <v>1.2903225806451613</v>
      </c>
      <c r="T60" s="822"/>
      <c r="U60" s="706">
        <f t="shared" si="178"/>
        <v>6.451612903</v>
      </c>
      <c r="V60" s="244">
        <v>16.0</v>
      </c>
      <c r="W60" s="412">
        <f t="shared" si="179"/>
        <v>2.48</v>
      </c>
      <c r="X60" s="413" t="str">
        <f>IFERROR(__xludf.DUMMYFUNCTION("IFERROR(SPARKLINE(W60,{""charttype"",""bar"";""color1"",IF(W60&gt;='Май'!green_percent,'Май'!green,IF(W60&gt;='Май'!yellow_percent,'Май'!yellow,IF(W60&gt;='Май'!orange_percent,'Май'!orange,'Май'!red)));""max"",1}))"),"")</f>
        <v/>
      </c>
      <c r="Y60" s="932">
        <v>1.2903225806451613</v>
      </c>
      <c r="Z60" s="824"/>
      <c r="AA60" s="932">
        <v>1.2903225806451613</v>
      </c>
      <c r="AB60" s="824"/>
      <c r="AC60" s="932">
        <v>1.2903225806451613</v>
      </c>
      <c r="AD60" s="824"/>
      <c r="AE60" s="932">
        <v>1.2903225806451613</v>
      </c>
      <c r="AF60" s="824"/>
      <c r="AG60" s="932">
        <v>1.2903225806451613</v>
      </c>
      <c r="AH60" s="824"/>
      <c r="AI60" s="932">
        <v>1.2903225806451613</v>
      </c>
      <c r="AJ60" s="825"/>
      <c r="AK60" s="932">
        <v>1.2903225806451613</v>
      </c>
      <c r="AL60" s="459"/>
      <c r="AM60" s="706">
        <f t="shared" si="180"/>
        <v>9.032258065</v>
      </c>
      <c r="AN60" s="244">
        <v>1.0</v>
      </c>
      <c r="AO60" s="253">
        <f t="shared" si="181"/>
        <v>0.1107142857</v>
      </c>
      <c r="AP60" s="427" t="str">
        <f>IFERROR(__xludf.DUMMYFUNCTION("IFERROR(SPARKLINE(AO60,{""charttype"",""bar"";""color1"",IF(AO60&gt;='Май'!green_percent,'Май'!green,IF(AO60&gt;='Май'!yellow_percent,'Май'!yellow,IF(AO60&gt;='Май'!orange_percent,'Май'!orange,'Май'!red)));""max"",1}))"),"")</f>
        <v/>
      </c>
      <c r="AQ60" s="932">
        <v>1.2903225806451613</v>
      </c>
      <c r="AR60" s="822"/>
      <c r="AS60" s="932">
        <v>1.2903225806451613</v>
      </c>
      <c r="AT60" s="822"/>
      <c r="AU60" s="932">
        <v>1.2903225806451613</v>
      </c>
      <c r="AV60" s="776"/>
      <c r="AW60" s="932">
        <v>1.2903225806451613</v>
      </c>
      <c r="AX60" s="776"/>
      <c r="AY60" s="932">
        <v>1.2903225806451613</v>
      </c>
      <c r="AZ60" s="776"/>
      <c r="BA60" s="932">
        <v>1.2903225806451613</v>
      </c>
      <c r="BB60" s="776"/>
      <c r="BC60" s="932">
        <v>1.2903225806451613</v>
      </c>
      <c r="BD60" s="822"/>
      <c r="BE60" s="706">
        <f t="shared" si="182"/>
        <v>9.032258065</v>
      </c>
      <c r="BF60" s="244">
        <v>4.0</v>
      </c>
      <c r="BG60" s="253">
        <f t="shared" si="172"/>
        <v>0.4428571429</v>
      </c>
      <c r="BH60" s="427" t="str">
        <f>IFERROR(__xludf.DUMMYFUNCTION("IFERROR(SPARKLINE(BG60,{""charttype"",""bar"";""color1"",IF(BG60&gt;='Май'!green_percent,'Май'!green,IF(BG60&gt;='Май'!yellow_percent,'Май'!yellow,IF(BG60&gt;='Май'!orange_percent,'Май'!orange,'Май'!red)));""max"",1}))"),"")</f>
        <v/>
      </c>
      <c r="BI60" s="932">
        <v>1.2903225806451613</v>
      </c>
      <c r="BJ60" s="710"/>
      <c r="BK60" s="932">
        <v>1.2903225806451613</v>
      </c>
      <c r="BL60" s="465"/>
      <c r="BM60" s="932">
        <v>1.2903225806451613</v>
      </c>
      <c r="BN60" s="716"/>
      <c r="BO60" s="932">
        <v>1.2903225806451613</v>
      </c>
      <c r="BP60" s="716"/>
      <c r="BQ60" s="932">
        <v>1.2903225806451613</v>
      </c>
      <c r="BR60" s="716"/>
      <c r="BS60" s="932">
        <v>1.2903225806451613</v>
      </c>
      <c r="BT60" s="716"/>
      <c r="BU60" s="932">
        <v>1.2903225806451613</v>
      </c>
      <c r="BV60" s="716"/>
      <c r="BW60" s="706">
        <f t="shared" si="183"/>
        <v>9.032258065</v>
      </c>
      <c r="BX60" s="244">
        <v>8.0</v>
      </c>
      <c r="BY60" s="253">
        <f t="shared" si="173"/>
        <v>0.8857142857</v>
      </c>
      <c r="BZ60" s="427" t="str">
        <f>IFERROR(__xludf.DUMMYFUNCTION("IFERROR(SPARKLINE(BY60,{""charttype"",""bar"";""color1"",IF(BY60&gt;='Май'!green_percent,'Май'!green,IF(BY60&gt;='Май'!yellow_percent,'Май'!yellow,IF(BY60&gt;='Май'!orange_percent,'Май'!orange,'Май'!red)));""max"",1}))"),"")</f>
        <v/>
      </c>
      <c r="CA60" s="932">
        <v>1.2903225806451613</v>
      </c>
      <c r="CB60" s="710"/>
      <c r="CC60" s="932">
        <v>1.2903225806451613</v>
      </c>
      <c r="CD60" s="710"/>
      <c r="CE60" s="932">
        <v>1.2903225806451613</v>
      </c>
      <c r="CF60" s="710"/>
      <c r="CG60" s="932">
        <v>1.2903225806451613</v>
      </c>
      <c r="CH60" s="710"/>
      <c r="CI60" s="932">
        <v>1.2903225806451613</v>
      </c>
      <c r="CJ60" s="710"/>
      <c r="CK60" s="932">
        <v>1.2903225806451613</v>
      </c>
      <c r="CL60" s="710"/>
      <c r="CM60" s="932">
        <v>1.2903225806451613</v>
      </c>
      <c r="CN60" s="710"/>
      <c r="CO60" s="706">
        <f t="shared" si="184"/>
        <v>9.032258065</v>
      </c>
      <c r="CP60" s="244"/>
      <c r="CQ60" s="253">
        <f t="shared" si="174"/>
        <v>0</v>
      </c>
      <c r="CR60" s="427" t="str">
        <f>IFERROR(__xludf.DUMMYFUNCTION("IFERROR(SPARKLINE(CQ60,{""charttype"",""bar"";""color1"",IF(CQ60&gt;='Май'!green_percent,'Май'!green,IF(CQ60&gt;='Май'!yellow_percent,'Май'!yellow,IF(CQ60&gt;='Май'!orange_percent,'Май'!orange,'Май'!red)));""max"",1}))"),"")</f>
        <v/>
      </c>
      <c r="CS60" s="842"/>
      <c r="CT60" s="875"/>
      <c r="CU60" s="842"/>
      <c r="CV60" s="875"/>
      <c r="CW60" s="875"/>
      <c r="CX60" s="875"/>
      <c r="CY60" s="875"/>
      <c r="CZ60" s="875"/>
      <c r="DA60" s="875"/>
      <c r="DB60" s="875"/>
      <c r="DC60" s="875"/>
      <c r="DD60" s="875"/>
      <c r="DE60" s="875"/>
      <c r="DF60" s="875"/>
      <c r="DG60" s="326"/>
      <c r="DH60" s="876"/>
      <c r="DI60" s="327"/>
      <c r="DJ60" s="329"/>
      <c r="DK60" s="875"/>
      <c r="DL60" s="926"/>
    </row>
    <row r="61">
      <c r="A61" s="927"/>
      <c r="B61" s="934" t="s">
        <v>52</v>
      </c>
      <c r="C61" s="217"/>
      <c r="D61" s="217"/>
      <c r="E61" s="218"/>
      <c r="F61" s="448">
        <v>250000.0</v>
      </c>
      <c r="G61" s="448">
        <f t="shared" si="175"/>
        <v>40507</v>
      </c>
      <c r="H61" s="543">
        <f t="shared" si="176"/>
        <v>0.162028</v>
      </c>
      <c r="I61" s="462" t="str">
        <f>IFERROR(__xludf.DUMMYFUNCTION("IFERROR(SPARKLINE(H61,{""charttype"",""bar"";""color1"",IF(H61&gt;='Май'!green_percent,'Май'!green,IF(H61&gt;='Май'!yellow_percent,'Май'!yellow,IF(H61&gt;='Май'!orange_percent,'Май'!orange,'Май'!red)));""max"",1}))"),"")</f>
        <v/>
      </c>
      <c r="K61" s="929"/>
      <c r="L61" s="930"/>
      <c r="M61" s="929"/>
      <c r="N61" s="773"/>
      <c r="O61" s="929">
        <f t="shared" si="177"/>
        <v>8064.516129</v>
      </c>
      <c r="P61" s="776"/>
      <c r="Q61" s="929">
        <v>6451.612903225807</v>
      </c>
      <c r="R61" s="776"/>
      <c r="S61" s="929">
        <v>6451.612903225807</v>
      </c>
      <c r="T61" s="463"/>
      <c r="U61" s="725">
        <f t="shared" si="178"/>
        <v>20967.74194</v>
      </c>
      <c r="V61" s="448">
        <v>0.0</v>
      </c>
      <c r="W61" s="220">
        <f t="shared" si="179"/>
        <v>0</v>
      </c>
      <c r="X61" s="449" t="str">
        <f>IFERROR(__xludf.DUMMYFUNCTION("IFERROR(SPARKLINE(W61,{""charttype"",""bar"";""color1"",IF(W61&gt;='Май'!green_percent,'Май'!green,IF(W61&gt;='Май'!yellow_percent,'Май'!yellow,IF(W61&gt;='Май'!orange_percent,'Май'!orange,'Май'!red)));""max"",1}))"),"")</f>
        <v/>
      </c>
      <c r="Y61" s="929">
        <v>6451.612903225807</v>
      </c>
      <c r="Z61" s="824"/>
      <c r="AA61" s="929">
        <v>6451.612903225807</v>
      </c>
      <c r="AB61" s="824"/>
      <c r="AC61" s="929">
        <v>6451.612903225807</v>
      </c>
      <c r="AD61" s="824"/>
      <c r="AE61" s="929">
        <v>6451.612903225807</v>
      </c>
      <c r="AF61" s="824"/>
      <c r="AG61" s="929">
        <v>6451.612903225807</v>
      </c>
      <c r="AH61" s="824"/>
      <c r="AI61" s="929">
        <v>6451.612903225807</v>
      </c>
      <c r="AJ61" s="825"/>
      <c r="AK61" s="929">
        <v>6451.612903225807</v>
      </c>
      <c r="AL61" s="459"/>
      <c r="AM61" s="725">
        <f t="shared" si="180"/>
        <v>45161.29032</v>
      </c>
      <c r="AN61" s="448">
        <v>2253.0</v>
      </c>
      <c r="AO61" s="279">
        <f t="shared" si="181"/>
        <v>0.04988785714</v>
      </c>
      <c r="AP61" s="462" t="str">
        <f>IFERROR(__xludf.DUMMYFUNCTION("IFERROR(SPARKLINE(AO61,{""charttype"",""bar"";""color1"",IF(AO61&gt;='Май'!green_percent,'Май'!green,IF(AO61&gt;='Май'!yellow_percent,'Май'!yellow,IF(AO61&gt;='Май'!orange_percent,'Май'!orange,'Май'!red)));""max"",1}))"),"")</f>
        <v/>
      </c>
      <c r="AQ61" s="929">
        <v>6451.612903225807</v>
      </c>
      <c r="AR61" s="463"/>
      <c r="AS61" s="929">
        <v>6451.612903225807</v>
      </c>
      <c r="AT61" s="463"/>
      <c r="AU61" s="929">
        <v>6451.612903225807</v>
      </c>
      <c r="AV61" s="776"/>
      <c r="AW61" s="929">
        <v>6451.612903225807</v>
      </c>
      <c r="AX61" s="776"/>
      <c r="AY61" s="929">
        <v>6451.612903225807</v>
      </c>
      <c r="AZ61" s="776"/>
      <c r="BA61" s="929">
        <v>6451.612903225807</v>
      </c>
      <c r="BB61" s="776"/>
      <c r="BC61" s="929">
        <v>6451.612903225807</v>
      </c>
      <c r="BD61" s="463"/>
      <c r="BE61" s="725">
        <f t="shared" si="182"/>
        <v>45161.29032</v>
      </c>
      <c r="BF61" s="448">
        <v>38254.0</v>
      </c>
      <c r="BG61" s="279">
        <f t="shared" si="172"/>
        <v>0.8470528571</v>
      </c>
      <c r="BH61" s="462" t="str">
        <f>IFERROR(__xludf.DUMMYFUNCTION("IFERROR(SPARKLINE(BG61,{""charttype"",""bar"";""color1"",IF(BG61&gt;='Май'!green_percent,'Май'!green,IF(BG61&gt;='Май'!yellow_percent,'Май'!yellow,IF(BG61&gt;='Май'!orange_percent,'Май'!orange,'Май'!red)));""max"",1}))"),"")</f>
        <v/>
      </c>
      <c r="BI61" s="929">
        <v>6451.612903225807</v>
      </c>
      <c r="BJ61" s="466"/>
      <c r="BK61" s="929">
        <v>6451.612903225807</v>
      </c>
      <c r="BL61" s="465"/>
      <c r="BM61" s="929">
        <v>6451.612903225807</v>
      </c>
      <c r="BN61" s="465"/>
      <c r="BO61" s="929">
        <v>6451.612903225807</v>
      </c>
      <c r="BP61" s="465"/>
      <c r="BQ61" s="929">
        <v>6451.612903225807</v>
      </c>
      <c r="BR61" s="465"/>
      <c r="BS61" s="929">
        <v>6451.612903225807</v>
      </c>
      <c r="BT61" s="465"/>
      <c r="BU61" s="929">
        <v>6451.612903225807</v>
      </c>
      <c r="BV61" s="465"/>
      <c r="BW61" s="725">
        <f t="shared" si="183"/>
        <v>45161.29032</v>
      </c>
      <c r="BX61" s="448">
        <v>0.0</v>
      </c>
      <c r="BY61" s="279">
        <f t="shared" si="173"/>
        <v>0</v>
      </c>
      <c r="BZ61" s="462" t="str">
        <f>IFERROR(__xludf.DUMMYFUNCTION("IFERROR(SPARKLINE(BY61,{""charttype"",""bar"";""color1"",IF(BY61&gt;='Май'!green_percent,'Май'!green,IF(BY61&gt;='Май'!yellow_percent,'Май'!yellow,IF(BY61&gt;='Май'!orange_percent,'Май'!orange,'Май'!red)));""max"",1}))"),"")</f>
        <v/>
      </c>
      <c r="CA61" s="929">
        <v>6451.612903225807</v>
      </c>
      <c r="CB61" s="466"/>
      <c r="CC61" s="929">
        <v>6451.612903225807</v>
      </c>
      <c r="CD61" s="466"/>
      <c r="CE61" s="929">
        <v>6451.612903225807</v>
      </c>
      <c r="CF61" s="466"/>
      <c r="CG61" s="929">
        <v>6451.612903225807</v>
      </c>
      <c r="CH61" s="466"/>
      <c r="CI61" s="929">
        <v>6451.612903225807</v>
      </c>
      <c r="CJ61" s="466"/>
      <c r="CK61" s="929">
        <v>6451.612903225807</v>
      </c>
      <c r="CL61" s="466"/>
      <c r="CM61" s="929">
        <v>6451.612903225807</v>
      </c>
      <c r="CN61" s="466"/>
      <c r="CO61" s="725">
        <f t="shared" si="184"/>
        <v>45161.29032</v>
      </c>
      <c r="CP61" s="448"/>
      <c r="CQ61" s="279">
        <f t="shared" si="174"/>
        <v>0</v>
      </c>
      <c r="CR61" s="462" t="str">
        <f>IFERROR(__xludf.DUMMYFUNCTION("IFERROR(SPARKLINE(CQ61,{""charttype"",""bar"";""color1"",IF(CQ61&gt;='Май'!green_percent,'Май'!green,IF(CQ61&gt;='Май'!yellow_percent,'Май'!yellow,IF(CQ61&gt;='Май'!orange_percent,'Май'!orange,'Май'!red)));""max"",1}))"),"")</f>
        <v/>
      </c>
      <c r="CS61" s="842"/>
      <c r="CT61" s="843"/>
      <c r="CU61" s="842"/>
      <c r="CV61" s="843"/>
      <c r="CW61" s="843"/>
      <c r="CX61" s="843"/>
      <c r="CY61" s="843"/>
      <c r="CZ61" s="843"/>
      <c r="DA61" s="843"/>
      <c r="DB61" s="843"/>
      <c r="DC61" s="843"/>
      <c r="DD61" s="843"/>
      <c r="DE61" s="843"/>
      <c r="DF61" s="843"/>
      <c r="DG61" s="289"/>
      <c r="DH61" s="844"/>
      <c r="DI61" s="310"/>
      <c r="DJ61" s="339"/>
      <c r="DK61" s="843"/>
      <c r="DL61" s="933"/>
    </row>
    <row r="62">
      <c r="A62" s="912"/>
      <c r="B62" s="913" t="s">
        <v>53</v>
      </c>
      <c r="C62" s="242"/>
      <c r="D62" s="242"/>
      <c r="E62" s="243"/>
      <c r="F62" s="244">
        <v>100.0</v>
      </c>
      <c r="G62" s="244">
        <f>V62+AN62+BF62+BX62</f>
        <v>42</v>
      </c>
      <c r="H62" s="704">
        <f t="shared" si="176"/>
        <v>0.42</v>
      </c>
      <c r="I62" s="427" t="str">
        <f>IFERROR(__xludf.DUMMYFUNCTION("IFERROR(SPARKLINE(H62,{""charttype"",""bar"";""color1"",IF(H62&gt;='Май'!green_percent,'Май'!green,IF(H62&gt;='Май'!yellow_percent,'Май'!yellow,IF(H62&gt;='Май'!orange_percent,'Май'!orange,'Май'!red)));""max"",1}))"),"")</f>
        <v/>
      </c>
      <c r="K62" s="929"/>
      <c r="L62" s="930"/>
      <c r="M62" s="929"/>
      <c r="N62" s="773"/>
      <c r="O62" s="1639">
        <f t="shared" si="177"/>
        <v>3.225806452</v>
      </c>
      <c r="P62" s="776"/>
      <c r="Q62" s="1639">
        <v>1.6129032258064515</v>
      </c>
      <c r="R62" s="776"/>
      <c r="S62" s="1639">
        <v>1.6129032258064515</v>
      </c>
      <c r="T62" s="822"/>
      <c r="U62" s="706">
        <f t="shared" si="178"/>
        <v>6.451612903</v>
      </c>
      <c r="V62" s="244">
        <v>12.0</v>
      </c>
      <c r="W62" s="412">
        <f t="shared" si="179"/>
        <v>1.86</v>
      </c>
      <c r="X62" s="413" t="str">
        <f>IFERROR(__xludf.DUMMYFUNCTION("IFERROR(SPARKLINE(W62,{""charttype"",""bar"";""color1"",IF(W62&gt;='Май'!green_percent,'Май'!green,IF(W62&gt;='Май'!yellow_percent,'Май'!yellow,IF(W62&gt;='Май'!orange_percent,'Май'!orange,'Май'!red)));""max"",1}))"),"")</f>
        <v/>
      </c>
      <c r="Y62" s="1639">
        <v>1.6129032258064515</v>
      </c>
      <c r="Z62" s="824"/>
      <c r="AA62" s="1639">
        <v>1.6129032258064515</v>
      </c>
      <c r="AB62" s="824"/>
      <c r="AC62" s="1639">
        <v>1.6129032258064515</v>
      </c>
      <c r="AD62" s="824"/>
      <c r="AE62" s="1639">
        <v>1.6129032258064515</v>
      </c>
      <c r="AF62" s="824"/>
      <c r="AG62" s="1639">
        <v>1.6129032258064515</v>
      </c>
      <c r="AH62" s="824"/>
      <c r="AI62" s="1639">
        <v>1.6129032258064515</v>
      </c>
      <c r="AJ62" s="825"/>
      <c r="AK62" s="1639">
        <v>1.6129032258064515</v>
      </c>
      <c r="AL62" s="459"/>
      <c r="AM62" s="706">
        <f t="shared" si="180"/>
        <v>11.29032258</v>
      </c>
      <c r="AN62" s="244">
        <v>7.0</v>
      </c>
      <c r="AO62" s="253">
        <f t="shared" si="181"/>
        <v>0.62</v>
      </c>
      <c r="AP62" s="427" t="str">
        <f>IFERROR(__xludf.DUMMYFUNCTION("IFERROR(SPARKLINE(AO62,{""charttype"",""bar"";""color1"",IF(AO62&gt;='Май'!green_percent,'Май'!green,IF(AO62&gt;='Май'!yellow_percent,'Май'!yellow,IF(AO62&gt;='Май'!orange_percent,'Май'!orange,'Май'!red)));""max"",1}))"),"")</f>
        <v/>
      </c>
      <c r="AQ62" s="1639">
        <v>1.6129032258064515</v>
      </c>
      <c r="AR62" s="822"/>
      <c r="AS62" s="1639">
        <v>1.6129032258064515</v>
      </c>
      <c r="AT62" s="822"/>
      <c r="AU62" s="1639">
        <v>1.6129032258064515</v>
      </c>
      <c r="AV62" s="776"/>
      <c r="AW62" s="1639">
        <v>1.6129032258064515</v>
      </c>
      <c r="AX62" s="776"/>
      <c r="AY62" s="1639">
        <v>1.6129032258064515</v>
      </c>
      <c r="AZ62" s="776"/>
      <c r="BA62" s="1639">
        <v>1.6129032258064515</v>
      </c>
      <c r="BB62" s="776"/>
      <c r="BC62" s="1639">
        <v>1.6129032258064515</v>
      </c>
      <c r="BD62" s="822"/>
      <c r="BE62" s="706">
        <f t="shared" si="182"/>
        <v>11.29032258</v>
      </c>
      <c r="BF62" s="244">
        <v>17.0</v>
      </c>
      <c r="BG62" s="253">
        <f t="shared" si="172"/>
        <v>1.505714286</v>
      </c>
      <c r="BH62" s="427" t="str">
        <f>IFERROR(__xludf.DUMMYFUNCTION("IFERROR(SPARKLINE(BG62,{""charttype"",""bar"";""color1"",IF(BG62&gt;='Май'!green_percent,'Май'!green,IF(BG62&gt;='Май'!yellow_percent,'Май'!yellow,IF(BG62&gt;='Май'!orange_percent,'Май'!orange,'Май'!red)));""max"",1}))"),"")</f>
        <v/>
      </c>
      <c r="BI62" s="1639">
        <v>1.6129032258064515</v>
      </c>
      <c r="BJ62" s="710"/>
      <c r="BK62" s="1639">
        <v>1.6129032258064515</v>
      </c>
      <c r="BL62" s="465"/>
      <c r="BM62" s="1639">
        <v>1.6129032258064515</v>
      </c>
      <c r="BN62" s="716"/>
      <c r="BO62" s="1639">
        <v>1.6129032258064515</v>
      </c>
      <c r="BP62" s="716"/>
      <c r="BQ62" s="1639">
        <v>1.6129032258064515</v>
      </c>
      <c r="BR62" s="716"/>
      <c r="BS62" s="1639">
        <v>1.6129032258064515</v>
      </c>
      <c r="BT62" s="716"/>
      <c r="BU62" s="1639">
        <v>1.6129032258064515</v>
      </c>
      <c r="BV62" s="716"/>
      <c r="BW62" s="706">
        <f t="shared" si="183"/>
        <v>11.29032258</v>
      </c>
      <c r="BX62" s="244">
        <v>6.0</v>
      </c>
      <c r="BY62" s="253">
        <f t="shared" si="173"/>
        <v>0.5314285714</v>
      </c>
      <c r="BZ62" s="427" t="str">
        <f>IFERROR(__xludf.DUMMYFUNCTION("IFERROR(SPARKLINE(BY62,{""charttype"",""bar"";""color1"",IF(BY62&gt;='Май'!green_percent,'Май'!green,IF(BY62&gt;='Май'!yellow_percent,'Май'!yellow,IF(BY62&gt;='Май'!orange_percent,'Май'!orange,'Май'!red)));""max"",1}))"),"")</f>
        <v/>
      </c>
      <c r="CA62" s="1639">
        <v>1.6129032258064515</v>
      </c>
      <c r="CB62" s="710"/>
      <c r="CC62" s="1639">
        <v>1.6129032258064515</v>
      </c>
      <c r="CD62" s="710"/>
      <c r="CE62" s="1639">
        <v>1.6129032258064515</v>
      </c>
      <c r="CF62" s="710"/>
      <c r="CG62" s="1639">
        <v>1.6129032258064515</v>
      </c>
      <c r="CH62" s="710"/>
      <c r="CI62" s="1639">
        <v>1.6129032258064515</v>
      </c>
      <c r="CJ62" s="710"/>
      <c r="CK62" s="1639">
        <v>1.6129032258064515</v>
      </c>
      <c r="CL62" s="710"/>
      <c r="CM62" s="1639">
        <v>1.6129032258064515</v>
      </c>
      <c r="CN62" s="710"/>
      <c r="CO62" s="706">
        <f t="shared" si="184"/>
        <v>11.29032258</v>
      </c>
      <c r="CP62" s="244"/>
      <c r="CQ62" s="253">
        <f t="shared" si="174"/>
        <v>0</v>
      </c>
      <c r="CR62" s="427" t="str">
        <f>IFERROR(__xludf.DUMMYFUNCTION("IFERROR(SPARKLINE(CQ62,{""charttype"",""bar"";""color1"",IF(CQ62&gt;='Май'!green_percent,'Май'!green,IF(CQ62&gt;='Май'!yellow_percent,'Май'!yellow,IF(CQ62&gt;='Май'!orange_percent,'Май'!orange,'Май'!red)));""max"",1}))"),"")</f>
        <v/>
      </c>
      <c r="CS62" s="842"/>
      <c r="CT62" s="875"/>
      <c r="CU62" s="842"/>
      <c r="CV62" s="875"/>
      <c r="CW62" s="875"/>
      <c r="CX62" s="875"/>
      <c r="CY62" s="875"/>
      <c r="CZ62" s="875"/>
      <c r="DA62" s="875"/>
      <c r="DB62" s="875"/>
      <c r="DC62" s="875"/>
      <c r="DD62" s="875"/>
      <c r="DE62" s="875"/>
      <c r="DF62" s="875"/>
      <c r="DG62" s="326"/>
      <c r="DH62" s="876"/>
      <c r="DI62" s="327"/>
      <c r="DJ62" s="329"/>
      <c r="DK62" s="875"/>
      <c r="DL62" s="926"/>
    </row>
    <row r="63">
      <c r="A63" s="927"/>
      <c r="B63" s="934" t="s">
        <v>54</v>
      </c>
      <c r="C63" s="217"/>
      <c r="D63" s="217"/>
      <c r="E63" s="218"/>
      <c r="F63" s="270">
        <f t="shared" ref="F63:G63" si="185">F58/F62</f>
        <v>3900</v>
      </c>
      <c r="G63" s="270">
        <f t="shared" si="185"/>
        <v>2142.857143</v>
      </c>
      <c r="H63" s="543">
        <f t="shared" si="176"/>
        <v>0.5494505495</v>
      </c>
      <c r="I63" s="462" t="str">
        <f>IFERROR(__xludf.DUMMYFUNCTION("IFERROR(SPARKLINE(H63,{""charttype"",""bar"";""color1"",IF(H63&gt;='Май'!green_percent,'Май'!green,IF(H63&gt;='Май'!yellow_percent,'Май'!yellow,IF(H63&gt;='Май'!orange_percent,'Май'!orange,'Май'!red)));""max"",1}))"),"")</f>
        <v/>
      </c>
      <c r="K63" s="914"/>
      <c r="L63" s="930"/>
      <c r="M63" s="914"/>
      <c r="N63" s="773"/>
      <c r="O63" s="270">
        <f>O58/O62</f>
        <v>3900</v>
      </c>
      <c r="P63" s="776"/>
      <c r="Q63" s="270">
        <v>7800.0</v>
      </c>
      <c r="R63" s="776"/>
      <c r="S63" s="270">
        <v>7800.0</v>
      </c>
      <c r="T63" s="463"/>
      <c r="U63" s="565">
        <f t="shared" ref="U63:V63" si="186">U58/U62</f>
        <v>5850</v>
      </c>
      <c r="V63" s="563">
        <f t="shared" si="186"/>
        <v>0</v>
      </c>
      <c r="W63" s="220">
        <f t="shared" si="179"/>
        <v>0</v>
      </c>
      <c r="X63" s="449" t="str">
        <f>IFERROR(__xludf.DUMMYFUNCTION("IFERROR(SPARKLINE(W63,{""charttype"",""bar"";""color1"",IF(W63&gt;='Май'!green_percent,'Май'!green,IF(W63&gt;='Май'!yellow_percent,'Май'!yellow,IF(W63&gt;='Май'!orange_percent,'Май'!orange,'Май'!red)));""max"",1}))"),"")</f>
        <v/>
      </c>
      <c r="Y63" s="270">
        <v>7800.0</v>
      </c>
      <c r="Z63" s="824"/>
      <c r="AA63" s="270">
        <v>7800.0</v>
      </c>
      <c r="AB63" s="824"/>
      <c r="AC63" s="270">
        <v>7800.0</v>
      </c>
      <c r="AD63" s="824"/>
      <c r="AE63" s="270">
        <v>7800.0</v>
      </c>
      <c r="AF63" s="824"/>
      <c r="AG63" s="270">
        <v>7800.0</v>
      </c>
      <c r="AH63" s="824"/>
      <c r="AI63" s="270">
        <v>7800.0</v>
      </c>
      <c r="AJ63" s="825"/>
      <c r="AK63" s="270">
        <v>7800.0</v>
      </c>
      <c r="AL63" s="459"/>
      <c r="AM63" s="284">
        <v>7800.0</v>
      </c>
      <c r="AN63" s="563">
        <f>AN58/AN62</f>
        <v>0</v>
      </c>
      <c r="AO63" s="279">
        <f t="shared" si="181"/>
        <v>0</v>
      </c>
      <c r="AP63" s="462" t="str">
        <f>IFERROR(__xludf.DUMMYFUNCTION("IFERROR(SPARKLINE(AO63,{""charttype"",""bar"";""color1"",IF(AO63&gt;='Май'!green_percent,'Май'!green,IF(AO63&gt;='Май'!yellow_percent,'Май'!yellow,IF(AO63&gt;='Май'!orange_percent,'Май'!orange,'Май'!red)));""max"",1}))"),"")</f>
        <v/>
      </c>
      <c r="AQ63" s="270">
        <v>7800.0</v>
      </c>
      <c r="AR63" s="463"/>
      <c r="AS63" s="270">
        <v>7800.0</v>
      </c>
      <c r="AT63" s="463"/>
      <c r="AU63" s="270">
        <v>7800.0</v>
      </c>
      <c r="AV63" s="776"/>
      <c r="AW63" s="270">
        <v>7800.0</v>
      </c>
      <c r="AX63" s="776"/>
      <c r="AY63" s="270">
        <v>7800.0</v>
      </c>
      <c r="AZ63" s="776"/>
      <c r="BA63" s="270">
        <v>7800.0</v>
      </c>
      <c r="BB63" s="776"/>
      <c r="BC63" s="270">
        <v>7800.0</v>
      </c>
      <c r="BD63" s="463"/>
      <c r="BE63" s="284">
        <v>7800.0</v>
      </c>
      <c r="BF63" s="563">
        <f>BF58/BF62</f>
        <v>5294.117647</v>
      </c>
      <c r="BG63" s="279">
        <f t="shared" si="172"/>
        <v>0.6787330317</v>
      </c>
      <c r="BH63" s="462" t="str">
        <f>IFERROR(__xludf.DUMMYFUNCTION("IFERROR(SPARKLINE(BG63,{""charttype"",""bar"";""color1"",IF(BG63&gt;='Май'!green_percent,'Май'!green,IF(BG63&gt;='Май'!yellow_percent,'Май'!yellow,IF(BG63&gt;='Май'!orange_percent,'Май'!orange,'Май'!red)));""max"",1}))"),"")</f>
        <v/>
      </c>
      <c r="BI63" s="270">
        <v>7800.0</v>
      </c>
      <c r="BJ63" s="466"/>
      <c r="BK63" s="270">
        <v>7800.0</v>
      </c>
      <c r="BL63" s="465"/>
      <c r="BM63" s="270">
        <v>7800.0</v>
      </c>
      <c r="BN63" s="465"/>
      <c r="BO63" s="270">
        <v>7800.0</v>
      </c>
      <c r="BP63" s="465"/>
      <c r="BQ63" s="270">
        <v>7800.0</v>
      </c>
      <c r="BR63" s="465"/>
      <c r="BS63" s="270">
        <v>7800.0</v>
      </c>
      <c r="BT63" s="465"/>
      <c r="BU63" s="270">
        <v>7800.0</v>
      </c>
      <c r="BV63" s="465"/>
      <c r="BW63" s="284">
        <v>7800.0</v>
      </c>
      <c r="BX63" s="563">
        <f>BX58/BX62</f>
        <v>0</v>
      </c>
      <c r="BY63" s="279">
        <f t="shared" si="173"/>
        <v>0</v>
      </c>
      <c r="BZ63" s="462" t="str">
        <f>IFERROR(__xludf.DUMMYFUNCTION("IFERROR(SPARKLINE(BY63,{""charttype"",""bar"";""color1"",IF(BY63&gt;='Май'!green_percent,'Май'!green,IF(BY63&gt;='Май'!yellow_percent,'Май'!yellow,IF(BY63&gt;='Май'!orange_percent,'Май'!orange,'Май'!red)));""max"",1}))"),"")</f>
        <v/>
      </c>
      <c r="CA63" s="270">
        <v>7800.0</v>
      </c>
      <c r="CB63" s="466"/>
      <c r="CC63" s="270">
        <v>7800.0</v>
      </c>
      <c r="CD63" s="466"/>
      <c r="CE63" s="270">
        <v>7800.0</v>
      </c>
      <c r="CF63" s="466"/>
      <c r="CG63" s="270">
        <v>7800.0</v>
      </c>
      <c r="CH63" s="466"/>
      <c r="CI63" s="270">
        <v>7800.0</v>
      </c>
      <c r="CJ63" s="466"/>
      <c r="CK63" s="270">
        <v>7800.0</v>
      </c>
      <c r="CL63" s="466"/>
      <c r="CM63" s="270">
        <v>7800.0</v>
      </c>
      <c r="CN63" s="466"/>
      <c r="CO63" s="284">
        <v>7800.0</v>
      </c>
      <c r="CP63" s="563" t="str">
        <f>CP58/CP62</f>
        <v>#DIV/0!</v>
      </c>
      <c r="CQ63" s="279" t="str">
        <f t="shared" si="174"/>
        <v/>
      </c>
      <c r="CR63" s="462" t="str">
        <f>IFERROR(__xludf.DUMMYFUNCTION("IFERROR(SPARKLINE(CQ63,{""charttype"",""bar"";""color1"",IF(CQ63&gt;='Май'!green_percent,'Май'!green,IF(CQ63&gt;='Май'!yellow_percent,'Май'!yellow,IF(CQ63&gt;='Май'!orange_percent,'Май'!orange,'Май'!red)));""max"",1}))"),"")</f>
        <v/>
      </c>
      <c r="CS63" s="842"/>
      <c r="CT63" s="843"/>
      <c r="CU63" s="842"/>
      <c r="CV63" s="843"/>
      <c r="CW63" s="843"/>
      <c r="CX63" s="843"/>
      <c r="CY63" s="843"/>
      <c r="CZ63" s="843"/>
      <c r="DA63" s="843"/>
      <c r="DB63" s="843"/>
      <c r="DC63" s="843"/>
      <c r="DD63" s="843"/>
      <c r="DE63" s="843"/>
      <c r="DF63" s="843"/>
      <c r="DG63" s="289"/>
      <c r="DH63" s="844"/>
      <c r="DI63" s="310"/>
      <c r="DJ63" s="339"/>
      <c r="DK63" s="843"/>
      <c r="DL63" s="933"/>
    </row>
    <row r="64">
      <c r="A64" s="912"/>
      <c r="B64" s="937" t="s">
        <v>55</v>
      </c>
      <c r="C64" s="242"/>
      <c r="D64" s="242"/>
      <c r="E64" s="243"/>
      <c r="F64" s="244">
        <v>10.0</v>
      </c>
      <c r="G64" s="244">
        <f>V64+AN64+BF64+BX64+CP64</f>
        <v>14</v>
      </c>
      <c r="H64" s="704">
        <f t="shared" si="176"/>
        <v>1.4</v>
      </c>
      <c r="I64" s="427" t="str">
        <f>IFERROR(__xludf.DUMMYFUNCTION("IFERROR(SPARKLINE(H64,{""charttype"",""bar"";""color1"",IF(H64&gt;='Май'!green_percent,'Май'!green,IF(H64&gt;='Май'!yellow_percent,'Май'!yellow,IF(H64&gt;='Май'!orange_percent,'Май'!orange,'Май'!red)));""max"",1}))"),"")</f>
        <v/>
      </c>
      <c r="K64" s="929"/>
      <c r="L64" s="773">
        <v>0.0</v>
      </c>
      <c r="M64" s="929"/>
      <c r="N64" s="773">
        <v>3.0</v>
      </c>
      <c r="O64" s="932">
        <f>F64/31</f>
        <v>0.3225806452</v>
      </c>
      <c r="P64" s="776"/>
      <c r="Q64" s="932">
        <v>0.6451612903225806</v>
      </c>
      <c r="R64" s="776">
        <v>0.0</v>
      </c>
      <c r="S64" s="932">
        <v>0.6451612903225806</v>
      </c>
      <c r="T64" s="822">
        <v>0.0</v>
      </c>
      <c r="U64" s="255">
        <f>O64+Q64+S64</f>
        <v>1.612903226</v>
      </c>
      <c r="V64" s="244">
        <v>0.0</v>
      </c>
      <c r="W64" s="412">
        <f t="shared" si="179"/>
        <v>0</v>
      </c>
      <c r="X64" s="413" t="str">
        <f>IFERROR(__xludf.DUMMYFUNCTION("IFERROR(SPARKLINE(W64,{""charttype"",""bar"";""color1"",IF(W64&gt;='Май'!green_percent,'Май'!green,IF(W64&gt;='Май'!yellow_percent,'Май'!yellow,IF(W64&gt;='Май'!orange_percent,'Май'!orange,'Май'!red)));""max"",1}))"),"")</f>
        <v/>
      </c>
      <c r="Y64" s="932">
        <v>0.6451612903225806</v>
      </c>
      <c r="Z64" s="824"/>
      <c r="AA64" s="932">
        <v>0.6451612903225806</v>
      </c>
      <c r="AB64" s="824"/>
      <c r="AC64" s="932">
        <v>0.6451612903225806</v>
      </c>
      <c r="AD64" s="824"/>
      <c r="AE64" s="932">
        <v>0.6451612903225806</v>
      </c>
      <c r="AF64" s="824"/>
      <c r="AG64" s="932">
        <v>0.6451612903225806</v>
      </c>
      <c r="AH64" s="824"/>
      <c r="AI64" s="932">
        <v>0.6451612903225806</v>
      </c>
      <c r="AJ64" s="825"/>
      <c r="AK64" s="932">
        <v>0.6451612903225806</v>
      </c>
      <c r="AL64" s="459"/>
      <c r="AM64" s="255">
        <f>Y64+AA64+AC64+AE64+AG64+AI64+AK64</f>
        <v>4.516129032</v>
      </c>
      <c r="AN64" s="244">
        <v>1.0</v>
      </c>
      <c r="AO64" s="253">
        <f t="shared" si="181"/>
        <v>0.2214285714</v>
      </c>
      <c r="AP64" s="427" t="str">
        <f>IFERROR(__xludf.DUMMYFUNCTION("IFERROR(SPARKLINE(AO64,{""charttype"",""bar"";""color1"",IF(AO64&gt;='Май'!green_percent,'Май'!green,IF(AO64&gt;='Май'!yellow_percent,'Май'!yellow,IF(AO64&gt;='Май'!orange_percent,'Май'!orange,'Май'!red)));""max"",1}))"),"")</f>
        <v/>
      </c>
      <c r="AQ64" s="932">
        <v>0.6451612903225806</v>
      </c>
      <c r="AR64" s="822"/>
      <c r="AS64" s="932">
        <v>0.6451612903225806</v>
      </c>
      <c r="AT64" s="822"/>
      <c r="AU64" s="932">
        <v>0.6451612903225806</v>
      </c>
      <c r="AV64" s="776"/>
      <c r="AW64" s="932">
        <v>0.6451612903225806</v>
      </c>
      <c r="AX64" s="776"/>
      <c r="AY64" s="932">
        <v>0.6451612903225806</v>
      </c>
      <c r="AZ64" s="776"/>
      <c r="BA64" s="932">
        <v>0.6451612903225806</v>
      </c>
      <c r="BB64" s="776"/>
      <c r="BC64" s="932">
        <v>0.6451612903225806</v>
      </c>
      <c r="BD64" s="822"/>
      <c r="BE64" s="255">
        <f>AQ64+AS64+AU64+AW64+AY64+BA64+BC64</f>
        <v>4.516129032</v>
      </c>
      <c r="BF64" s="244">
        <v>1.0</v>
      </c>
      <c r="BG64" s="253">
        <f t="shared" si="172"/>
        <v>0.2214285714</v>
      </c>
      <c r="BH64" s="427" t="str">
        <f>IFERROR(__xludf.DUMMYFUNCTION("IFERROR(SPARKLINE(BG64,{""charttype"",""bar"";""color1"",IF(BG64&gt;='Май'!green_percent,'Май'!green,IF(BG64&gt;='Май'!yellow_percent,'Май'!yellow,IF(BG64&gt;='Май'!orange_percent,'Май'!orange,'Май'!red)));""max"",1}))"),"")</f>
        <v/>
      </c>
      <c r="BI64" s="932">
        <v>0.6451612903225806</v>
      </c>
      <c r="BJ64" s="710"/>
      <c r="BK64" s="932">
        <v>0.6451612903225806</v>
      </c>
      <c r="BL64" s="465"/>
      <c r="BM64" s="932">
        <v>0.6451612903225806</v>
      </c>
      <c r="BN64" s="716"/>
      <c r="BO64" s="932">
        <v>0.6451612903225806</v>
      </c>
      <c r="BP64" s="716"/>
      <c r="BQ64" s="932">
        <v>0.6451612903225806</v>
      </c>
      <c r="BR64" s="716"/>
      <c r="BS64" s="932">
        <v>0.6451612903225806</v>
      </c>
      <c r="BT64" s="716"/>
      <c r="BU64" s="932">
        <v>0.6451612903225806</v>
      </c>
      <c r="BV64" s="716"/>
      <c r="BW64" s="255">
        <f>BI64+BK64+BM64+BO64+BQ64+BS64+BU64</f>
        <v>4.516129032</v>
      </c>
      <c r="BX64" s="244">
        <v>2.0</v>
      </c>
      <c r="BY64" s="253">
        <f t="shared" si="173"/>
        <v>0.4428571429</v>
      </c>
      <c r="BZ64" s="427" t="str">
        <f>IFERROR(__xludf.DUMMYFUNCTION("IFERROR(SPARKLINE(BY64,{""charttype"",""bar"";""color1"",IF(BY64&gt;='Май'!green_percent,'Май'!green,IF(BY64&gt;='Май'!yellow_percent,'Май'!yellow,IF(BY64&gt;='Май'!orange_percent,'Май'!orange,'Май'!red)));""max"",1}))"),"")</f>
        <v/>
      </c>
      <c r="CA64" s="932">
        <v>0.6451612903225806</v>
      </c>
      <c r="CB64" s="710">
        <v>3.0</v>
      </c>
      <c r="CC64" s="932">
        <v>0.6451612903225806</v>
      </c>
      <c r="CD64" s="710">
        <v>2.0</v>
      </c>
      <c r="CE64" s="932">
        <v>0.6451612903225806</v>
      </c>
      <c r="CF64" s="710"/>
      <c r="CG64" s="932">
        <v>0.6451612903225806</v>
      </c>
      <c r="CH64" s="710">
        <v>3.0</v>
      </c>
      <c r="CI64" s="932">
        <v>0.6451612903225806</v>
      </c>
      <c r="CJ64" s="710">
        <v>2.0</v>
      </c>
      <c r="CK64" s="932">
        <v>0.6451612903225806</v>
      </c>
      <c r="CL64" s="710"/>
      <c r="CM64" s="932">
        <v>0.6451612903225806</v>
      </c>
      <c r="CN64" s="710"/>
      <c r="CO64" s="255">
        <f t="shared" ref="CO64:CP64" si="187">CA64+CC64+CE64+CG64+CI64+CK64+CM64</f>
        <v>4.516129032</v>
      </c>
      <c r="CP64" s="244">
        <f t="shared" si="187"/>
        <v>10</v>
      </c>
      <c r="CQ64" s="253">
        <f t="shared" si="174"/>
        <v>2.214285714</v>
      </c>
      <c r="CR64" s="427" t="str">
        <f>IFERROR(__xludf.DUMMYFUNCTION("IFERROR(SPARKLINE(CQ64,{""charttype"",""bar"";""color1"",IF(CQ64&gt;='Май'!green_percent,'Май'!green,IF(CQ64&gt;='Май'!yellow_percent,'Май'!yellow,IF(CQ64&gt;='Май'!orange_percent,'Май'!orange,'Май'!red)));""max"",1}))"),"")</f>
        <v/>
      </c>
      <c r="CS64" s="842"/>
      <c r="CT64" s="875"/>
      <c r="CU64" s="842"/>
      <c r="CV64" s="875"/>
      <c r="CW64" s="875"/>
      <c r="CX64" s="875"/>
      <c r="CY64" s="875"/>
      <c r="CZ64" s="875"/>
      <c r="DA64" s="875"/>
      <c r="DB64" s="875"/>
      <c r="DC64" s="875"/>
      <c r="DD64" s="875"/>
      <c r="DE64" s="875"/>
      <c r="DF64" s="875"/>
      <c r="DG64" s="326"/>
      <c r="DH64" s="876"/>
      <c r="DI64" s="327"/>
      <c r="DJ64" s="329"/>
      <c r="DK64" s="875"/>
      <c r="DL64" s="926"/>
    </row>
    <row r="65">
      <c r="A65" s="927"/>
      <c r="B65" s="934" t="s">
        <v>22</v>
      </c>
      <c r="C65" s="217"/>
      <c r="D65" s="217"/>
      <c r="E65" s="218"/>
      <c r="F65" s="448">
        <f t="shared" ref="F65:G65" si="188">F58/F64</f>
        <v>39000</v>
      </c>
      <c r="G65" s="270">
        <f t="shared" si="188"/>
        <v>6428.571429</v>
      </c>
      <c r="H65" s="543">
        <f t="shared" si="176"/>
        <v>0.1648351648</v>
      </c>
      <c r="I65" s="462" t="str">
        <f>IFERROR(__xludf.DUMMYFUNCTION("IFERROR(SPARKLINE(H65,{""charttype"",""bar"";""color1"",IF(H65&gt;='Май'!green_percent,'Май'!green,IF(H65&gt;='Май'!yellow_percent,'Май'!yellow,IF(H65&gt;='Май'!orange_percent,'Май'!orange,'Май'!red)));""max"",1}))"),"")</f>
        <v/>
      </c>
      <c r="K65" s="914"/>
      <c r="L65" s="930"/>
      <c r="M65" s="914"/>
      <c r="N65" s="773"/>
      <c r="O65" s="448">
        <f>O58/O64</f>
        <v>39000</v>
      </c>
      <c r="P65" s="776"/>
      <c r="Q65" s="448">
        <v>19500.0</v>
      </c>
      <c r="R65" s="776"/>
      <c r="S65" s="448">
        <v>19500.0</v>
      </c>
      <c r="T65" s="463"/>
      <c r="U65" s="565">
        <f t="shared" ref="U65:V65" si="189">U58/U64</f>
        <v>23400</v>
      </c>
      <c r="V65" s="563" t="str">
        <f t="shared" si="189"/>
        <v>#DIV/0!</v>
      </c>
      <c r="W65" s="220" t="str">
        <f t="shared" si="179"/>
        <v/>
      </c>
      <c r="X65" s="449" t="str">
        <f>IFERROR(__xludf.DUMMYFUNCTION("IFERROR(SPARKLINE(W65,{""charttype"",""bar"";""color1"",IF(W65&gt;='Май'!green_percent,'Май'!green,IF(W65&gt;='Май'!yellow_percent,'Май'!yellow,IF(W65&gt;='Май'!orange_percent,'Май'!orange,'Май'!red)));""max"",1}))"),"")</f>
        <v/>
      </c>
      <c r="Y65" s="448">
        <v>19500.0</v>
      </c>
      <c r="Z65" s="824"/>
      <c r="AA65" s="448">
        <v>19500.0</v>
      </c>
      <c r="AB65" s="824"/>
      <c r="AC65" s="448">
        <v>19500.0</v>
      </c>
      <c r="AD65" s="824"/>
      <c r="AE65" s="448">
        <v>19500.0</v>
      </c>
      <c r="AF65" s="824"/>
      <c r="AG65" s="448">
        <v>19500.0</v>
      </c>
      <c r="AH65" s="824"/>
      <c r="AI65" s="448">
        <v>19500.0</v>
      </c>
      <c r="AJ65" s="825"/>
      <c r="AK65" s="448">
        <v>19500.0</v>
      </c>
      <c r="AL65" s="459"/>
      <c r="AM65" s="560">
        <v>19500.0</v>
      </c>
      <c r="AN65" s="448">
        <v>0.0</v>
      </c>
      <c r="AO65" s="279">
        <f t="shared" si="181"/>
        <v>0</v>
      </c>
      <c r="AP65" s="462" t="str">
        <f>IFERROR(__xludf.DUMMYFUNCTION("IFERROR(SPARKLINE(AO65,{""charttype"",""bar"";""color1"",IF(AO65&gt;='Май'!green_percent,'Май'!green,IF(AO65&gt;='Май'!yellow_percent,'Май'!yellow,IF(AO65&gt;='Май'!orange_percent,'Май'!orange,'Май'!red)));""max"",1}))"),"")</f>
        <v/>
      </c>
      <c r="AQ65" s="448">
        <v>19500.0</v>
      </c>
      <c r="AR65" s="463"/>
      <c r="AS65" s="448">
        <v>19500.0</v>
      </c>
      <c r="AT65" s="463"/>
      <c r="AU65" s="448">
        <v>19500.0</v>
      </c>
      <c r="AV65" s="776"/>
      <c r="AW65" s="448">
        <v>19500.0</v>
      </c>
      <c r="AX65" s="776"/>
      <c r="AY65" s="448">
        <v>19500.0</v>
      </c>
      <c r="AZ65" s="776"/>
      <c r="BA65" s="448">
        <v>19500.0</v>
      </c>
      <c r="BB65" s="776"/>
      <c r="BC65" s="448">
        <v>19500.0</v>
      </c>
      <c r="BD65" s="463"/>
      <c r="BE65" s="560">
        <v>19500.0</v>
      </c>
      <c r="BF65" s="448">
        <f>BF58/BF64</f>
        <v>90000</v>
      </c>
      <c r="BG65" s="279">
        <f t="shared" si="172"/>
        <v>4.615384615</v>
      </c>
      <c r="BH65" s="462" t="str">
        <f>IFERROR(__xludf.DUMMYFUNCTION("IFERROR(SPARKLINE(BG65,{""charttype"",""bar"";""color1"",IF(BG65&gt;='Май'!green_percent,'Май'!green,IF(BG65&gt;='Май'!yellow_percent,'Май'!yellow,IF(BG65&gt;='Май'!orange_percent,'Май'!orange,'Май'!red)));""max"",1}))"),"")</f>
        <v/>
      </c>
      <c r="BI65" s="448">
        <v>19500.0</v>
      </c>
      <c r="BJ65" s="466"/>
      <c r="BK65" s="448">
        <v>19500.0</v>
      </c>
      <c r="BL65" s="465"/>
      <c r="BM65" s="448">
        <v>19500.0</v>
      </c>
      <c r="BN65" s="465"/>
      <c r="BO65" s="448">
        <v>19500.0</v>
      </c>
      <c r="BP65" s="465"/>
      <c r="BQ65" s="448">
        <v>19500.0</v>
      </c>
      <c r="BR65" s="465"/>
      <c r="BS65" s="448">
        <v>19500.0</v>
      </c>
      <c r="BT65" s="465"/>
      <c r="BU65" s="448">
        <v>19500.0</v>
      </c>
      <c r="BV65" s="465"/>
      <c r="BW65" s="560">
        <v>19500.0</v>
      </c>
      <c r="BX65" s="448">
        <f>BX58/BX64</f>
        <v>0</v>
      </c>
      <c r="BY65" s="279">
        <f t="shared" si="173"/>
        <v>0</v>
      </c>
      <c r="BZ65" s="462" t="str">
        <f>IFERROR(__xludf.DUMMYFUNCTION("IFERROR(SPARKLINE(BY65,{""charttype"",""bar"";""color1"",IF(BY65&gt;='Май'!green_percent,'Май'!green,IF(BY65&gt;='Май'!yellow_percent,'Май'!yellow,IF(BY65&gt;='Май'!orange_percent,'Май'!orange,'Май'!red)));""max"",1}))"),"")</f>
        <v/>
      </c>
      <c r="CA65" s="448">
        <v>19500.0</v>
      </c>
      <c r="CB65" s="466"/>
      <c r="CC65" s="448">
        <v>19500.0</v>
      </c>
      <c r="CD65" s="466"/>
      <c r="CE65" s="448">
        <v>19500.0</v>
      </c>
      <c r="CF65" s="466"/>
      <c r="CG65" s="448">
        <v>19500.0</v>
      </c>
      <c r="CH65" s="466"/>
      <c r="CI65" s="448">
        <v>19500.0</v>
      </c>
      <c r="CJ65" s="466"/>
      <c r="CK65" s="448">
        <v>19500.0</v>
      </c>
      <c r="CL65" s="466"/>
      <c r="CM65" s="448">
        <v>19500.0</v>
      </c>
      <c r="CN65" s="466"/>
      <c r="CO65" s="560">
        <v>19500.0</v>
      </c>
      <c r="CP65" s="448">
        <f>CP58/CP64</f>
        <v>0</v>
      </c>
      <c r="CQ65" s="279">
        <f t="shared" si="174"/>
        <v>0</v>
      </c>
      <c r="CR65" s="462" t="str">
        <f>IFERROR(__xludf.DUMMYFUNCTION("IFERROR(SPARKLINE(CQ65,{""charttype"",""bar"";""color1"",IF(CQ65&gt;='Май'!green_percent,'Май'!green,IF(CQ65&gt;='Май'!yellow_percent,'Май'!yellow,IF(CQ65&gt;='Май'!orange_percent,'Май'!orange,'Май'!red)));""max"",1}))"),"")</f>
        <v/>
      </c>
      <c r="CS65" s="842"/>
      <c r="CT65" s="843"/>
      <c r="CU65" s="842"/>
      <c r="CV65" s="843"/>
      <c r="CW65" s="843"/>
      <c r="CX65" s="843"/>
      <c r="CY65" s="843"/>
      <c r="CZ65" s="843"/>
      <c r="DA65" s="843"/>
      <c r="DB65" s="843"/>
      <c r="DC65" s="843"/>
      <c r="DD65" s="843"/>
      <c r="DE65" s="843"/>
      <c r="DF65" s="843"/>
      <c r="DG65" s="289"/>
      <c r="DH65" s="844"/>
      <c r="DI65" s="310"/>
      <c r="DJ65" s="339"/>
      <c r="DK65" s="843"/>
      <c r="DL65" s="933"/>
    </row>
    <row r="66">
      <c r="A66" s="912"/>
      <c r="B66" s="937" t="s">
        <v>56</v>
      </c>
      <c r="C66" s="242"/>
      <c r="D66" s="242"/>
      <c r="E66" s="243"/>
      <c r="F66" s="245">
        <f t="shared" ref="F66:G66" si="190">F64/F61</f>
        <v>0.00004</v>
      </c>
      <c r="G66" s="940">
        <f t="shared" si="190"/>
        <v>0.0003456192757</v>
      </c>
      <c r="H66" s="704">
        <f t="shared" si="176"/>
        <v>8.640481892</v>
      </c>
      <c r="I66" s="427" t="str">
        <f>IFERROR(__xludf.DUMMYFUNCTION("IFERROR(SPARKLINE(H66,{""charttype"",""bar"";""color1"",IF(H66&gt;='Май'!green_percent,'Май'!green,IF(H66&gt;='Май'!yellow_percent,'Май'!yellow,IF(H66&gt;='Май'!orange_percent,'Май'!orange,'Май'!red)));""max"",1}))"),"")</f>
        <v/>
      </c>
      <c r="K66" s="929"/>
      <c r="L66" s="930"/>
      <c r="M66" s="929"/>
      <c r="N66" s="773"/>
      <c r="O66" s="941">
        <f>O64/O61</f>
        <v>0.00004</v>
      </c>
      <c r="P66" s="755"/>
      <c r="Q66" s="941">
        <v>9.999999999999999E-5</v>
      </c>
      <c r="R66" s="755"/>
      <c r="S66" s="941">
        <v>9.999999999999999E-5</v>
      </c>
      <c r="T66" s="822"/>
      <c r="U66" s="313">
        <f t="shared" ref="U66:V66" si="191">U64/U61</f>
        <v>0.00007692307692</v>
      </c>
      <c r="V66" s="245" t="str">
        <f t="shared" si="191"/>
        <v>#DIV/0!</v>
      </c>
      <c r="W66" s="412" t="str">
        <f t="shared" si="179"/>
        <v/>
      </c>
      <c r="X66" s="413" t="str">
        <f>IFERROR(__xludf.DUMMYFUNCTION("IFERROR(SPARKLINE(W66,{""charttype"",""bar"";""color1"",IF(W66&gt;='Май'!green_percent,'Май'!green,IF(W66&gt;='Май'!yellow_percent,'Май'!yellow,IF(W66&gt;='Май'!orange_percent,'Май'!orange,'Май'!red)));""max"",1}))"),"")</f>
        <v/>
      </c>
      <c r="Y66" s="941">
        <v>9.999999999999999E-5</v>
      </c>
      <c r="Z66" s="824"/>
      <c r="AA66" s="941">
        <v>9.999999999999999E-5</v>
      </c>
      <c r="AB66" s="824"/>
      <c r="AC66" s="941">
        <v>9.999999999999999E-5</v>
      </c>
      <c r="AD66" s="824"/>
      <c r="AE66" s="941">
        <v>9.999999999999999E-5</v>
      </c>
      <c r="AF66" s="824"/>
      <c r="AG66" s="941">
        <v>9.999999999999999E-5</v>
      </c>
      <c r="AH66" s="824"/>
      <c r="AI66" s="941">
        <v>9.999999999999999E-5</v>
      </c>
      <c r="AJ66" s="825"/>
      <c r="AK66" s="941">
        <v>9.999999999999999E-5</v>
      </c>
      <c r="AL66" s="459"/>
      <c r="AM66" s="943">
        <v>6.625E-5</v>
      </c>
      <c r="AN66" s="1640">
        <f>AN67/AN64</f>
        <v>1</v>
      </c>
      <c r="AO66" s="253">
        <f t="shared" si="181"/>
        <v>15094.33962</v>
      </c>
      <c r="AP66" s="427" t="str">
        <f>IFERROR(__xludf.DUMMYFUNCTION("IFERROR(SPARKLINE(AO66,{""charttype"",""bar"";""color1"",IF(AO66&gt;='Май'!green_percent,'Май'!green,IF(AO66&gt;='Май'!yellow_percent,'Май'!yellow,IF(AO66&gt;='Май'!orange_percent,'Май'!orange,'Май'!red)));""max"",1}))"),"")</f>
        <v/>
      </c>
      <c r="AQ66" s="941">
        <v>9.999999999999999E-5</v>
      </c>
      <c r="AR66" s="822"/>
      <c r="AS66" s="941">
        <v>9.999999999999999E-5</v>
      </c>
      <c r="AT66" s="822"/>
      <c r="AU66" s="941">
        <v>9.999999999999999E-5</v>
      </c>
      <c r="AV66" s="776"/>
      <c r="AW66" s="941">
        <v>9.999999999999999E-5</v>
      </c>
      <c r="AX66" s="776"/>
      <c r="AY66" s="941">
        <v>9.999999999999999E-5</v>
      </c>
      <c r="AZ66" s="776"/>
      <c r="BA66" s="941">
        <v>9.999999999999999E-5</v>
      </c>
      <c r="BB66" s="776"/>
      <c r="BC66" s="941">
        <v>9.999999999999999E-5</v>
      </c>
      <c r="BD66" s="822"/>
      <c r="BE66" s="943">
        <v>6.625E-5</v>
      </c>
      <c r="BF66" s="412">
        <f>BF64/BF62</f>
        <v>0.05882352941</v>
      </c>
      <c r="BG66" s="253">
        <f t="shared" si="172"/>
        <v>887.9023307</v>
      </c>
      <c r="BH66" s="427" t="str">
        <f>IFERROR(__xludf.DUMMYFUNCTION("IFERROR(SPARKLINE(BG66,{""charttype"",""bar"";""color1"",IF(BG66&gt;='Май'!green_percent,'Май'!green,IF(BG66&gt;='Май'!yellow_percent,'Май'!yellow,IF(BG66&gt;='Май'!orange_percent,'Май'!orange,'Май'!red)));""max"",1}))"),"")</f>
        <v/>
      </c>
      <c r="BI66" s="941">
        <v>9.999999999999999E-5</v>
      </c>
      <c r="BJ66" s="710"/>
      <c r="BK66" s="941">
        <v>9.999999999999999E-5</v>
      </c>
      <c r="BL66" s="465"/>
      <c r="BM66" s="941">
        <v>9.999999999999999E-5</v>
      </c>
      <c r="BN66" s="716"/>
      <c r="BO66" s="941">
        <v>9.999999999999999E-5</v>
      </c>
      <c r="BP66" s="716"/>
      <c r="BQ66" s="941">
        <v>9.999999999999999E-5</v>
      </c>
      <c r="BR66" s="716"/>
      <c r="BS66" s="941">
        <v>9.999999999999999E-5</v>
      </c>
      <c r="BT66" s="716"/>
      <c r="BU66" s="941">
        <v>9.999999999999999E-5</v>
      </c>
      <c r="BV66" s="716"/>
      <c r="BW66" s="943">
        <v>6.625E-5</v>
      </c>
      <c r="BX66" s="412">
        <f>BX64/BX62</f>
        <v>0.3333333333</v>
      </c>
      <c r="BY66" s="253">
        <f t="shared" si="173"/>
        <v>5031.446541</v>
      </c>
      <c r="BZ66" s="427" t="str">
        <f>IFERROR(__xludf.DUMMYFUNCTION("IFERROR(SPARKLINE(BY66,{""charttype"",""bar"";""color1"",IF(BY66&gt;='Май'!green_percent,'Май'!green,IF(BY66&gt;='Май'!yellow_percent,'Май'!yellow,IF(BY66&gt;='Май'!orange_percent,'Май'!orange,'Май'!red)));""max"",1}))"),"")</f>
        <v/>
      </c>
      <c r="CA66" s="941">
        <v>9.999999999999999E-5</v>
      </c>
      <c r="CB66" s="710"/>
      <c r="CC66" s="941">
        <v>9.999999999999999E-5</v>
      </c>
      <c r="CD66" s="710"/>
      <c r="CE66" s="941">
        <v>9.999999999999999E-5</v>
      </c>
      <c r="CF66" s="710"/>
      <c r="CG66" s="941">
        <v>9.999999999999999E-5</v>
      </c>
      <c r="CH66" s="710"/>
      <c r="CI66" s="941">
        <v>9.999999999999999E-5</v>
      </c>
      <c r="CJ66" s="710"/>
      <c r="CK66" s="941">
        <v>9.999999999999999E-5</v>
      </c>
      <c r="CL66" s="710"/>
      <c r="CM66" s="941">
        <v>9.999999999999999E-5</v>
      </c>
      <c r="CN66" s="710"/>
      <c r="CO66" s="943">
        <v>6.625E-5</v>
      </c>
      <c r="CP66" s="412" t="str">
        <f>CP64/CP62</f>
        <v>#DIV/0!</v>
      </c>
      <c r="CQ66" s="253" t="str">
        <f t="shared" si="174"/>
        <v/>
      </c>
      <c r="CR66" s="427" t="str">
        <f>IFERROR(__xludf.DUMMYFUNCTION("IFERROR(SPARKLINE(CQ66,{""charttype"",""bar"";""color1"",IF(CQ66&gt;='Май'!green_percent,'Май'!green,IF(CQ66&gt;='Май'!yellow_percent,'Май'!yellow,IF(CQ66&gt;='Май'!orange_percent,'Май'!orange,'Май'!red)));""max"",1}))"),"")</f>
        <v/>
      </c>
      <c r="CS66" s="842"/>
      <c r="CT66" s="875"/>
      <c r="CU66" s="842"/>
      <c r="CV66" s="875"/>
      <c r="CW66" s="875"/>
      <c r="CX66" s="875"/>
      <c r="CY66" s="875"/>
      <c r="CZ66" s="875"/>
      <c r="DA66" s="875"/>
      <c r="DB66" s="875"/>
      <c r="DC66" s="875"/>
      <c r="DD66" s="875"/>
      <c r="DE66" s="875"/>
      <c r="DF66" s="875"/>
      <c r="DG66" s="326"/>
      <c r="DH66" s="876"/>
      <c r="DI66" s="327"/>
      <c r="DJ66" s="329"/>
      <c r="DK66" s="875"/>
      <c r="DL66" s="926"/>
    </row>
    <row r="67">
      <c r="A67" s="927"/>
      <c r="B67" s="934" t="s">
        <v>35</v>
      </c>
      <c r="C67" s="217"/>
      <c r="D67" s="217"/>
      <c r="E67" s="218"/>
      <c r="F67" s="448">
        <v>8.0</v>
      </c>
      <c r="G67" s="448">
        <f>V67+AN67+BF67+BX67+CP67</f>
        <v>3</v>
      </c>
      <c r="H67" s="543">
        <f t="shared" si="176"/>
        <v>0.375</v>
      </c>
      <c r="I67" s="462" t="str">
        <f>IFERROR(__xludf.DUMMYFUNCTION("IFERROR(SPARKLINE(H67,{""charttype"",""bar"";""color1"",IF(H67&gt;='Май'!green_percent,'Май'!green,IF(H67&gt;='Май'!yellow_percent,'Май'!yellow,IF(H67&gt;='Май'!orange_percent,'Май'!orange,'Май'!red)));""max"",1}))"),"")</f>
        <v/>
      </c>
      <c r="K67" s="929"/>
      <c r="L67" s="773">
        <v>0.0</v>
      </c>
      <c r="M67" s="929"/>
      <c r="N67" s="773">
        <v>0.0</v>
      </c>
      <c r="O67" s="932">
        <f>F67/31</f>
        <v>0.2580645161</v>
      </c>
      <c r="P67" s="776">
        <v>0.0</v>
      </c>
      <c r="Q67" s="932">
        <v>0.4838709677419355</v>
      </c>
      <c r="R67" s="776">
        <v>0.0</v>
      </c>
      <c r="S67" s="932">
        <v>0.4838709677419355</v>
      </c>
      <c r="T67" s="463">
        <v>0.0</v>
      </c>
      <c r="U67" s="349">
        <f>O67+Q67+S67</f>
        <v>1.225806452</v>
      </c>
      <c r="V67" s="448">
        <v>0.0</v>
      </c>
      <c r="W67" s="220">
        <f t="shared" si="179"/>
        <v>0</v>
      </c>
      <c r="X67" s="449" t="str">
        <f>IFERROR(__xludf.DUMMYFUNCTION("IFERROR(SPARKLINE(W67,{""charttype"",""bar"";""color1"",IF(W67&gt;='Май'!green_percent,'Май'!green,IF(W67&gt;='Май'!yellow_percent,'Май'!yellow,IF(W67&gt;='Май'!orange_percent,'Май'!orange,'Май'!red)));""max"",1}))"),"")</f>
        <v/>
      </c>
      <c r="Y67" s="932">
        <v>0.4838709677419355</v>
      </c>
      <c r="Z67" s="824"/>
      <c r="AA67" s="932">
        <v>0.4838709677419355</v>
      </c>
      <c r="AB67" s="824"/>
      <c r="AC67" s="932">
        <v>0.4838709677419355</v>
      </c>
      <c r="AD67" s="824"/>
      <c r="AE67" s="932">
        <v>0.4838709677419355</v>
      </c>
      <c r="AF67" s="824"/>
      <c r="AG67" s="932">
        <v>0.4838709677419355</v>
      </c>
      <c r="AH67" s="824"/>
      <c r="AI67" s="932">
        <v>0.4838709677419355</v>
      </c>
      <c r="AJ67" s="825"/>
      <c r="AK67" s="932">
        <v>0.4838709677419355</v>
      </c>
      <c r="AL67" s="459"/>
      <c r="AM67" s="725">
        <f>Y67+AA67+AC67+AE67+AG67+AI67+AK67</f>
        <v>3.387096774</v>
      </c>
      <c r="AN67" s="448">
        <v>1.0</v>
      </c>
      <c r="AO67" s="279">
        <f t="shared" si="181"/>
        <v>0.2952380952</v>
      </c>
      <c r="AP67" s="462" t="str">
        <f>IFERROR(__xludf.DUMMYFUNCTION("IFERROR(SPARKLINE(AO67,{""charttype"",""bar"";""color1"",IF(AO67&gt;='Май'!green_percent,'Май'!green,IF(AO67&gt;='Май'!yellow_percent,'Май'!yellow,IF(AO67&gt;='Май'!orange_percent,'Май'!orange,'Май'!red)));""max"",1}))"),"")</f>
        <v/>
      </c>
      <c r="AQ67" s="932">
        <v>0.4838709677419355</v>
      </c>
      <c r="AR67" s="463"/>
      <c r="AS67" s="932">
        <v>0.4838709677419355</v>
      </c>
      <c r="AT67" s="463"/>
      <c r="AU67" s="932">
        <v>0.4838709677419355</v>
      </c>
      <c r="AV67" s="776"/>
      <c r="AW67" s="932">
        <v>0.4838709677419355</v>
      </c>
      <c r="AX67" s="776"/>
      <c r="AY67" s="932">
        <v>0.4838709677419355</v>
      </c>
      <c r="AZ67" s="776"/>
      <c r="BA67" s="932">
        <v>0.4838709677419355</v>
      </c>
      <c r="BB67" s="776"/>
      <c r="BC67" s="932">
        <v>0.4838709677419355</v>
      </c>
      <c r="BD67" s="463"/>
      <c r="BE67" s="725">
        <f t="shared" ref="BE67:BF67" si="192">AQ67+AS67+AU67+AW67+AY67+BA67+BC67</f>
        <v>3.387096774</v>
      </c>
      <c r="BF67" s="448">
        <f t="shared" si="192"/>
        <v>0</v>
      </c>
      <c r="BG67" s="279">
        <f t="shared" si="172"/>
        <v>0</v>
      </c>
      <c r="BH67" s="462" t="str">
        <f>IFERROR(__xludf.DUMMYFUNCTION("IFERROR(SPARKLINE(BG67,{""charttype"",""bar"";""color1"",IF(BG67&gt;='Май'!green_percent,'Май'!green,IF(BG67&gt;='Май'!yellow_percent,'Май'!yellow,IF(BG67&gt;='Май'!orange_percent,'Май'!orange,'Май'!red)));""max"",1}))"),"")</f>
        <v/>
      </c>
      <c r="BI67" s="932">
        <v>0.4838709677419355</v>
      </c>
      <c r="BJ67" s="466"/>
      <c r="BK67" s="932">
        <v>0.4838709677419355</v>
      </c>
      <c r="BL67" s="465"/>
      <c r="BM67" s="932">
        <v>0.4838709677419355</v>
      </c>
      <c r="BN67" s="465"/>
      <c r="BO67" s="932">
        <v>0.4838709677419355</v>
      </c>
      <c r="BP67" s="465"/>
      <c r="BQ67" s="932">
        <v>0.4838709677419355</v>
      </c>
      <c r="BR67" s="465"/>
      <c r="BS67" s="932">
        <v>0.4838709677419355</v>
      </c>
      <c r="BT67" s="465"/>
      <c r="BU67" s="932">
        <v>0.4838709677419355</v>
      </c>
      <c r="BV67" s="465"/>
      <c r="BW67" s="725">
        <f t="shared" ref="BW67:BX67" si="193">BI67+BK67+BM67+BO67+BQ67+BS67+BU67</f>
        <v>3.387096774</v>
      </c>
      <c r="BX67" s="448">
        <f t="shared" si="193"/>
        <v>0</v>
      </c>
      <c r="BY67" s="279">
        <f t="shared" si="173"/>
        <v>0</v>
      </c>
      <c r="BZ67" s="462" t="str">
        <f>IFERROR(__xludf.DUMMYFUNCTION("IFERROR(SPARKLINE(BY67,{""charttype"",""bar"";""color1"",IF(BY67&gt;='Май'!green_percent,'Май'!green,IF(BY67&gt;='Май'!yellow_percent,'Май'!yellow,IF(BY67&gt;='Май'!orange_percent,'Май'!orange,'Май'!red)));""max"",1}))"),"")</f>
        <v/>
      </c>
      <c r="CA67" s="932">
        <v>0.4838709677419355</v>
      </c>
      <c r="CB67" s="466">
        <v>0.0</v>
      </c>
      <c r="CC67" s="932">
        <v>0.4838709677419355</v>
      </c>
      <c r="CD67" s="466">
        <v>1.0</v>
      </c>
      <c r="CE67" s="932">
        <v>0.4838709677419355</v>
      </c>
      <c r="CF67" s="466"/>
      <c r="CG67" s="932">
        <v>0.4838709677419355</v>
      </c>
      <c r="CH67" s="466">
        <v>1.0</v>
      </c>
      <c r="CI67" s="932">
        <v>0.4838709677419355</v>
      </c>
      <c r="CJ67" s="466">
        <v>0.0</v>
      </c>
      <c r="CK67" s="932">
        <v>0.4838709677419355</v>
      </c>
      <c r="CL67" s="466"/>
      <c r="CM67" s="932">
        <v>0.4838709677419355</v>
      </c>
      <c r="CN67" s="466"/>
      <c r="CO67" s="725">
        <f t="shared" ref="CO67:CP67" si="194">CA67+CC67+CE67+CG67+CI67+CK67+CM67</f>
        <v>3.387096774</v>
      </c>
      <c r="CP67" s="448">
        <f t="shared" si="194"/>
        <v>2</v>
      </c>
      <c r="CQ67" s="279">
        <f t="shared" si="174"/>
        <v>0.5904761905</v>
      </c>
      <c r="CR67" s="462" t="str">
        <f>IFERROR(__xludf.DUMMYFUNCTION("IFERROR(SPARKLINE(CQ67,{""charttype"",""bar"";""color1"",IF(CQ67&gt;='Май'!green_percent,'Май'!green,IF(CQ67&gt;='Май'!yellow_percent,'Май'!yellow,IF(CQ67&gt;='Май'!orange_percent,'Май'!orange,'Май'!red)));""max"",1}))"),"")</f>
        <v/>
      </c>
      <c r="CS67" s="842"/>
      <c r="CT67" s="843"/>
      <c r="CU67" s="842"/>
      <c r="CV67" s="843"/>
      <c r="CW67" s="843"/>
      <c r="CX67" s="843"/>
      <c r="CY67" s="843"/>
      <c r="CZ67" s="843"/>
      <c r="DA67" s="843"/>
      <c r="DB67" s="843"/>
      <c r="DC67" s="843"/>
      <c r="DD67" s="843"/>
      <c r="DE67" s="843"/>
      <c r="DF67" s="843"/>
      <c r="DG67" s="289"/>
      <c r="DH67" s="844"/>
      <c r="DI67" s="310"/>
      <c r="DJ67" s="339"/>
      <c r="DK67" s="843"/>
      <c r="DL67" s="933"/>
    </row>
    <row r="68">
      <c r="A68" s="912"/>
      <c r="B68" s="937" t="s">
        <v>25</v>
      </c>
      <c r="C68" s="242"/>
      <c r="D68" s="242"/>
      <c r="E68" s="243"/>
      <c r="F68" s="245">
        <f t="shared" ref="F68:G68" si="195">F67/F64</f>
        <v>0.8</v>
      </c>
      <c r="G68" s="245">
        <f t="shared" si="195"/>
        <v>0.2142857143</v>
      </c>
      <c r="H68" s="704">
        <f t="shared" si="176"/>
        <v>0.2678571429</v>
      </c>
      <c r="I68" s="427" t="str">
        <f>IFERROR(__xludf.DUMMYFUNCTION("IFERROR(SPARKLINE(H68,{""charttype"",""bar"";""color1"",IF(H68&gt;='Май'!green_percent,'Май'!green,IF(H68&gt;='Май'!yellow_percent,'Май'!yellow,IF(H68&gt;='Май'!orange_percent,'Май'!orange,'Май'!red)));""max"",1}))"),"")</f>
        <v/>
      </c>
      <c r="K68" s="941"/>
      <c r="L68" s="930"/>
      <c r="M68" s="941"/>
      <c r="N68" s="773"/>
      <c r="O68" s="941">
        <f>O67/O64</f>
        <v>0.8</v>
      </c>
      <c r="P68" s="755"/>
      <c r="Q68" s="941">
        <v>0.75</v>
      </c>
      <c r="R68" s="755"/>
      <c r="S68" s="941">
        <v>0.75</v>
      </c>
      <c r="T68" s="822"/>
      <c r="U68" s="313">
        <f t="shared" ref="U68:V68" si="196">U67/U64</f>
        <v>0.76</v>
      </c>
      <c r="V68" s="245" t="str">
        <f t="shared" si="196"/>
        <v>#DIV/0!</v>
      </c>
      <c r="W68" s="412" t="str">
        <f t="shared" si="179"/>
        <v/>
      </c>
      <c r="X68" s="413" t="str">
        <f>IFERROR(__xludf.DUMMYFUNCTION("IFERROR(SPARKLINE(W68,{""charttype"",""bar"";""color1"",IF(W68&gt;='Май'!green_percent,'Май'!green,IF(W68&gt;='Май'!yellow_percent,'Май'!yellow,IF(W68&gt;='Май'!orange_percent,'Май'!orange,'Май'!red)));""max"",1}))"),"")</f>
        <v/>
      </c>
      <c r="Y68" s="941">
        <v>0.75</v>
      </c>
      <c r="Z68" s="824"/>
      <c r="AA68" s="941">
        <v>0.75</v>
      </c>
      <c r="AB68" s="824"/>
      <c r="AC68" s="941">
        <v>0.75</v>
      </c>
      <c r="AD68" s="824"/>
      <c r="AE68" s="941">
        <v>0.75</v>
      </c>
      <c r="AF68" s="824"/>
      <c r="AG68" s="941">
        <v>0.75</v>
      </c>
      <c r="AH68" s="824"/>
      <c r="AI68" s="941">
        <v>0.75</v>
      </c>
      <c r="AJ68" s="825"/>
      <c r="AK68" s="941">
        <v>0.75</v>
      </c>
      <c r="AL68" s="459"/>
      <c r="AM68" s="943">
        <v>0.3773584905660377</v>
      </c>
      <c r="AN68" s="1640">
        <f>AN67/AN64</f>
        <v>1</v>
      </c>
      <c r="AO68" s="253">
        <f t="shared" si="181"/>
        <v>2.65</v>
      </c>
      <c r="AP68" s="427" t="str">
        <f>IFERROR(__xludf.DUMMYFUNCTION("IFERROR(SPARKLINE(AO68,{""charttype"",""bar"";""color1"",IF(AO68&gt;='Май'!green_percent,'Май'!green,IF(AO68&gt;='Май'!yellow_percent,'Май'!yellow,IF(AO68&gt;='Май'!orange_percent,'Май'!orange,'Май'!red)));""max"",1}))"),"")</f>
        <v/>
      </c>
      <c r="AQ68" s="941">
        <v>0.75</v>
      </c>
      <c r="AR68" s="517" t="str">
        <f>AR67/AR64</f>
        <v>#DIV/0!</v>
      </c>
      <c r="AS68" s="941">
        <v>0.75</v>
      </c>
      <c r="AT68" s="822"/>
      <c r="AU68" s="941">
        <v>0.75</v>
      </c>
      <c r="AV68" s="776"/>
      <c r="AW68" s="941">
        <v>0.75</v>
      </c>
      <c r="AX68" s="776"/>
      <c r="AY68" s="941">
        <v>0.75</v>
      </c>
      <c r="AZ68" s="776"/>
      <c r="BA68" s="941">
        <v>0.75</v>
      </c>
      <c r="BB68" s="776"/>
      <c r="BC68" s="941">
        <v>0.75</v>
      </c>
      <c r="BD68" s="822"/>
      <c r="BE68" s="943">
        <v>0.3773584905660377</v>
      </c>
      <c r="BF68" s="412">
        <f>BF67/BF64</f>
        <v>0</v>
      </c>
      <c r="BG68" s="253">
        <f t="shared" si="172"/>
        <v>0</v>
      </c>
      <c r="BH68" s="427" t="str">
        <f>IFERROR(__xludf.DUMMYFUNCTION("IFERROR(SPARKLINE(BG68,{""charttype"",""bar"";""color1"",IF(BG68&gt;='Май'!green_percent,'Май'!green,IF(BG68&gt;='Май'!yellow_percent,'Май'!yellow,IF(BG68&gt;='Май'!orange_percent,'Май'!orange,'Май'!red)));""max"",1}))"),"")</f>
        <v/>
      </c>
      <c r="BI68" s="941">
        <v>0.75</v>
      </c>
      <c r="BJ68" s="710"/>
      <c r="BK68" s="941">
        <v>0.75</v>
      </c>
      <c r="BL68" s="465"/>
      <c r="BM68" s="941">
        <v>0.75</v>
      </c>
      <c r="BN68" s="521" t="str">
        <f>BN67/BN64</f>
        <v>#DIV/0!</v>
      </c>
      <c r="BO68" s="941">
        <v>0.75</v>
      </c>
      <c r="BP68" s="716"/>
      <c r="BQ68" s="941">
        <v>0.75</v>
      </c>
      <c r="BR68" s="716"/>
      <c r="BS68" s="941">
        <v>0.75</v>
      </c>
      <c r="BT68" s="716"/>
      <c r="BU68" s="941">
        <v>0.75</v>
      </c>
      <c r="BV68" s="716"/>
      <c r="BW68" s="943">
        <v>0.3773584905660377</v>
      </c>
      <c r="BX68" s="412">
        <f>BX67/BX64</f>
        <v>0</v>
      </c>
      <c r="BY68" s="253">
        <f t="shared" si="173"/>
        <v>0</v>
      </c>
      <c r="BZ68" s="427" t="str">
        <f>IFERROR(__xludf.DUMMYFUNCTION("IFERROR(SPARKLINE(BY68,{""charttype"",""bar"";""color1"",IF(BY68&gt;='Май'!green_percent,'Май'!green,IF(BY68&gt;='Май'!yellow_percent,'Май'!yellow,IF(BY68&gt;='Май'!orange_percent,'Май'!orange,'Май'!red)));""max"",1}))"),"")</f>
        <v/>
      </c>
      <c r="CA68" s="941">
        <v>0.75</v>
      </c>
      <c r="CB68" s="710"/>
      <c r="CC68" s="941">
        <v>0.75</v>
      </c>
      <c r="CD68" s="710"/>
      <c r="CE68" s="941">
        <v>0.75</v>
      </c>
      <c r="CF68" s="710"/>
      <c r="CG68" s="941">
        <v>0.75</v>
      </c>
      <c r="CH68" s="522">
        <f>CH67/CH64</f>
        <v>0.3333333333</v>
      </c>
      <c r="CI68" s="941">
        <v>0.75</v>
      </c>
      <c r="CJ68" s="710"/>
      <c r="CK68" s="941">
        <v>0.75</v>
      </c>
      <c r="CL68" s="710"/>
      <c r="CM68" s="941">
        <v>0.75</v>
      </c>
      <c r="CN68" s="710"/>
      <c r="CO68" s="943">
        <v>0.3773584905660377</v>
      </c>
      <c r="CP68" s="412">
        <f>CP67/CP64</f>
        <v>0.2</v>
      </c>
      <c r="CQ68" s="253">
        <f t="shared" si="174"/>
        <v>0.53</v>
      </c>
      <c r="CR68" s="427" t="str">
        <f>IFERROR(__xludf.DUMMYFUNCTION("IFERROR(SPARKLINE(CQ68,{""charttype"",""bar"";""color1"",IF(CQ68&gt;='Май'!green_percent,'Май'!green,IF(CQ68&gt;='Май'!yellow_percent,'Май'!yellow,IF(CQ68&gt;='Май'!orange_percent,'Май'!orange,'Май'!red)));""max"",1}))"),"")</f>
        <v/>
      </c>
      <c r="CS68" s="842"/>
      <c r="CT68" s="875"/>
      <c r="CU68" s="842"/>
      <c r="CV68" s="875"/>
      <c r="CW68" s="875"/>
      <c r="CX68" s="875"/>
      <c r="CY68" s="875"/>
      <c r="CZ68" s="875"/>
      <c r="DA68" s="875"/>
      <c r="DB68" s="875"/>
      <c r="DC68" s="875"/>
      <c r="DD68" s="875"/>
      <c r="DE68" s="875"/>
      <c r="DF68" s="875"/>
      <c r="DG68" s="326"/>
      <c r="DH68" s="876"/>
      <c r="DI68" s="327"/>
      <c r="DJ68" s="329"/>
      <c r="DK68" s="875"/>
      <c r="DL68" s="926"/>
    </row>
    <row r="69">
      <c r="A69" s="927"/>
      <c r="B69" s="934" t="s">
        <v>36</v>
      </c>
      <c r="C69" s="217"/>
      <c r="D69" s="217"/>
      <c r="E69" s="218"/>
      <c r="F69" s="270">
        <f t="shared" ref="F69:G69" si="197">F58/F67</f>
        <v>48750</v>
      </c>
      <c r="G69" s="270">
        <f t="shared" si="197"/>
        <v>30000</v>
      </c>
      <c r="H69" s="543">
        <f t="shared" si="176"/>
        <v>0.6153846154</v>
      </c>
      <c r="I69" s="462" t="str">
        <f>IFERROR(__xludf.DUMMYFUNCTION("IFERROR(SPARKLINE(H69,{""charttype"",""bar"";""color1"",IF(H69&gt;='Май'!green_percent,'Май'!green,IF(H69&gt;='Май'!yellow_percent,'Май'!yellow,IF(H69&gt;='Май'!orange_percent,'Май'!orange,'Май'!red)));""max"",1}))"),"")</f>
        <v/>
      </c>
      <c r="K69" s="914"/>
      <c r="L69" s="930"/>
      <c r="M69" s="914"/>
      <c r="N69" s="773"/>
      <c r="O69" s="270">
        <f>O58/O67</f>
        <v>48750</v>
      </c>
      <c r="P69" s="776"/>
      <c r="Q69" s="270">
        <v>25999.999999999996</v>
      </c>
      <c r="R69" s="776"/>
      <c r="S69" s="270">
        <v>25999.999999999996</v>
      </c>
      <c r="T69" s="463"/>
      <c r="U69" s="565">
        <f t="shared" ref="U69:V69" si="198">U58/U67</f>
        <v>30789.47368</v>
      </c>
      <c r="V69" s="563" t="str">
        <f t="shared" si="198"/>
        <v>#DIV/0!</v>
      </c>
      <c r="W69" s="220" t="str">
        <f t="shared" si="179"/>
        <v/>
      </c>
      <c r="X69" s="449" t="str">
        <f>IFERROR(__xludf.DUMMYFUNCTION("IFERROR(SPARKLINE(W69,{""charttype"",""bar"";""color1"",IF(W69&gt;='Май'!green_percent,'Май'!green,IF(W69&gt;='Май'!yellow_percent,'Май'!yellow,IF(W69&gt;='Май'!orange_percent,'Май'!orange,'Май'!red)));""max"",1}))"),"")</f>
        <v/>
      </c>
      <c r="Y69" s="270">
        <v>25999.999999999996</v>
      </c>
      <c r="Z69" s="824"/>
      <c r="AA69" s="270">
        <v>25999.999999999996</v>
      </c>
      <c r="AB69" s="824"/>
      <c r="AC69" s="270">
        <v>25999.999999999996</v>
      </c>
      <c r="AD69" s="824"/>
      <c r="AE69" s="270">
        <v>25999.999999999996</v>
      </c>
      <c r="AF69" s="824"/>
      <c r="AG69" s="270">
        <v>25999.999999999996</v>
      </c>
      <c r="AH69" s="824"/>
      <c r="AI69" s="270">
        <v>25999.999999999996</v>
      </c>
      <c r="AJ69" s="825"/>
      <c r="AK69" s="270">
        <v>25999.999999999996</v>
      </c>
      <c r="AL69" s="459"/>
      <c r="AM69" s="560">
        <v>26000.0</v>
      </c>
      <c r="AN69" s="448">
        <v>0.0</v>
      </c>
      <c r="AO69" s="279">
        <f t="shared" si="181"/>
        <v>0</v>
      </c>
      <c r="AP69" s="462" t="str">
        <f>IFERROR(__xludf.DUMMYFUNCTION("IFERROR(SPARKLINE(AO69,{""charttype"",""bar"";""color1"",IF(AO69&gt;='Май'!green_percent,'Май'!green,IF(AO69&gt;='Май'!yellow_percent,'Май'!yellow,IF(AO69&gt;='Май'!orange_percent,'Май'!orange,'Май'!red)));""max"",1}))"),"")</f>
        <v/>
      </c>
      <c r="AQ69" s="270">
        <v>25999.999999999996</v>
      </c>
      <c r="AR69" s="463"/>
      <c r="AS69" s="270">
        <v>25999.999999999996</v>
      </c>
      <c r="AT69" s="463"/>
      <c r="AU69" s="270">
        <v>25999.999999999996</v>
      </c>
      <c r="AV69" s="776"/>
      <c r="AW69" s="270">
        <v>25999.999999999996</v>
      </c>
      <c r="AX69" s="776"/>
      <c r="AY69" s="270">
        <v>25999.999999999996</v>
      </c>
      <c r="AZ69" s="776"/>
      <c r="BA69" s="270">
        <v>25999.999999999996</v>
      </c>
      <c r="BB69" s="776"/>
      <c r="BC69" s="270">
        <v>25999.999999999996</v>
      </c>
      <c r="BD69" s="463"/>
      <c r="BE69" s="560">
        <v>26000.0</v>
      </c>
      <c r="BF69" s="448" t="str">
        <f>BF58/BF67</f>
        <v>#DIV/0!</v>
      </c>
      <c r="BG69" s="279" t="str">
        <f t="shared" si="172"/>
        <v/>
      </c>
      <c r="BH69" s="462" t="str">
        <f>IFERROR(__xludf.DUMMYFUNCTION("IFERROR(SPARKLINE(BG69,{""charttype"",""bar"";""color1"",IF(BG69&gt;='Май'!green_percent,'Май'!green,IF(BG69&gt;='Май'!yellow_percent,'Май'!yellow,IF(BG69&gt;='Май'!orange_percent,'Май'!orange,'Май'!red)));""max"",1}))"),"")</f>
        <v/>
      </c>
      <c r="BI69" s="270">
        <v>25999.999999999996</v>
      </c>
      <c r="BJ69" s="466"/>
      <c r="BK69" s="270">
        <v>25999.999999999996</v>
      </c>
      <c r="BL69" s="465"/>
      <c r="BM69" s="270">
        <v>25999.999999999996</v>
      </c>
      <c r="BN69" s="465"/>
      <c r="BO69" s="270">
        <v>25999.999999999996</v>
      </c>
      <c r="BP69" s="465"/>
      <c r="BQ69" s="270">
        <v>25999.999999999996</v>
      </c>
      <c r="BR69" s="465"/>
      <c r="BS69" s="270">
        <v>25999.999999999996</v>
      </c>
      <c r="BT69" s="465"/>
      <c r="BU69" s="270">
        <v>25999.999999999996</v>
      </c>
      <c r="BV69" s="465"/>
      <c r="BW69" s="560">
        <v>26000.0</v>
      </c>
      <c r="BX69" s="448" t="str">
        <f>BX58/BX67</f>
        <v>#DIV/0!</v>
      </c>
      <c r="BY69" s="279" t="str">
        <f t="shared" si="173"/>
        <v/>
      </c>
      <c r="BZ69" s="462" t="str">
        <f>IFERROR(__xludf.DUMMYFUNCTION("IFERROR(SPARKLINE(BY69,{""charttype"",""bar"";""color1"",IF(BY69&gt;='Май'!green_percent,'Май'!green,IF(BY69&gt;='Май'!yellow_percent,'Май'!yellow,IF(BY69&gt;='Май'!orange_percent,'Май'!orange,'Май'!red)));""max"",1}))"),"")</f>
        <v/>
      </c>
      <c r="CA69" s="270">
        <v>25999.999999999996</v>
      </c>
      <c r="CB69" s="466"/>
      <c r="CC69" s="270">
        <v>25999.999999999996</v>
      </c>
      <c r="CD69" s="466"/>
      <c r="CE69" s="270">
        <v>25999.999999999996</v>
      </c>
      <c r="CF69" s="466"/>
      <c r="CG69" s="270">
        <v>25999.999999999996</v>
      </c>
      <c r="CH69" s="466"/>
      <c r="CI69" s="270">
        <v>25999.999999999996</v>
      </c>
      <c r="CJ69" s="466"/>
      <c r="CK69" s="270">
        <v>25999.999999999996</v>
      </c>
      <c r="CL69" s="466"/>
      <c r="CM69" s="270">
        <v>25999.999999999996</v>
      </c>
      <c r="CN69" s="466"/>
      <c r="CO69" s="560">
        <v>26000.0</v>
      </c>
      <c r="CP69" s="448">
        <f>CP58/CP67</f>
        <v>0</v>
      </c>
      <c r="CQ69" s="279">
        <f t="shared" si="174"/>
        <v>0</v>
      </c>
      <c r="CR69" s="462" t="str">
        <f>IFERROR(__xludf.DUMMYFUNCTION("IFERROR(SPARKLINE(CQ69,{""charttype"",""bar"";""color1"",IF(CQ69&gt;='Май'!green_percent,'Май'!green,IF(CQ69&gt;='Май'!yellow_percent,'Май'!yellow,IF(CQ69&gt;='Май'!orange_percent,'Май'!orange,'Май'!red)));""max"",1}))"),"")</f>
        <v/>
      </c>
      <c r="CS69" s="842"/>
      <c r="CT69" s="843"/>
      <c r="CU69" s="842"/>
      <c r="CV69" s="843"/>
      <c r="CW69" s="843"/>
      <c r="CX69" s="843"/>
      <c r="CY69" s="843"/>
      <c r="CZ69" s="843"/>
      <c r="DA69" s="843"/>
      <c r="DB69" s="843"/>
      <c r="DC69" s="843"/>
      <c r="DD69" s="843"/>
      <c r="DE69" s="843"/>
      <c r="DF69" s="843"/>
      <c r="DG69" s="289"/>
      <c r="DH69" s="844"/>
      <c r="DI69" s="310"/>
      <c r="DJ69" s="339"/>
      <c r="DK69" s="843"/>
      <c r="DL69" s="933"/>
    </row>
    <row r="70">
      <c r="A70" s="912"/>
      <c r="B70" s="944" t="s">
        <v>37</v>
      </c>
      <c r="C70" s="242"/>
      <c r="D70" s="242"/>
      <c r="E70" s="243"/>
      <c r="F70" s="244">
        <v>6.0</v>
      </c>
      <c r="G70" s="244">
        <f>V70+AN70+BF70+BX70+CP70</f>
        <v>2</v>
      </c>
      <c r="H70" s="704">
        <f t="shared" si="176"/>
        <v>0.3333333333</v>
      </c>
      <c r="I70" s="427" t="str">
        <f>IFERROR(__xludf.DUMMYFUNCTION("IFERROR(SPARKLINE(H70,{""charttype"",""bar"";""color1"",IF(H70&gt;='Май'!green_percent,'Май'!green,IF(H70&gt;='Май'!yellow_percent,'Май'!yellow,IF(H70&gt;='Май'!orange_percent,'Май'!orange,'Май'!red)));""max"",1}))"),"")</f>
        <v/>
      </c>
      <c r="K70" s="945"/>
      <c r="L70" s="930"/>
      <c r="M70" s="946"/>
      <c r="N70" s="773"/>
      <c r="O70" s="945">
        <f>F70/31</f>
        <v>0.1935483871</v>
      </c>
      <c r="P70" s="776"/>
      <c r="Q70" s="945">
        <v>0.3870967741935484</v>
      </c>
      <c r="R70" s="776"/>
      <c r="S70" s="945">
        <v>0.3870967741935484</v>
      </c>
      <c r="T70" s="822"/>
      <c r="U70" s="255">
        <f>O70+Q70+S70</f>
        <v>0.9677419355</v>
      </c>
      <c r="V70" s="244">
        <v>0.0</v>
      </c>
      <c r="W70" s="412">
        <f t="shared" si="179"/>
        <v>0</v>
      </c>
      <c r="X70" s="413" t="str">
        <f>IFERROR(__xludf.DUMMYFUNCTION("IFERROR(SPARKLINE(W70,{""charttype"",""bar"";""color1"",IF(W70&gt;='Май'!green_percent,'Май'!green,IF(W70&gt;='Май'!yellow_percent,'Май'!yellow,IF(W70&gt;='Май'!orange_percent,'Май'!orange,'Май'!red)));""max"",1}))"),"")</f>
        <v/>
      </c>
      <c r="Y70" s="945">
        <v>0.3870967741935484</v>
      </c>
      <c r="Z70" s="824"/>
      <c r="AA70" s="945">
        <v>0.3870967741935484</v>
      </c>
      <c r="AB70" s="824"/>
      <c r="AC70" s="945">
        <v>0.3870967741935484</v>
      </c>
      <c r="AD70" s="824"/>
      <c r="AE70" s="945">
        <v>0.3870967741935484</v>
      </c>
      <c r="AF70" s="824"/>
      <c r="AG70" s="945">
        <v>0.3870967741935484</v>
      </c>
      <c r="AH70" s="824"/>
      <c r="AI70" s="945">
        <v>0.3870967741935484</v>
      </c>
      <c r="AJ70" s="825"/>
      <c r="AK70" s="945">
        <v>0.3870967741935484</v>
      </c>
      <c r="AL70" s="459"/>
      <c r="AM70" s="706">
        <f>Y70+AA70+AC70+AE70+AG70+AI70+AK70</f>
        <v>2.709677419</v>
      </c>
      <c r="AN70" s="244">
        <v>0.0</v>
      </c>
      <c r="AO70" s="253">
        <f t="shared" si="181"/>
        <v>0</v>
      </c>
      <c r="AP70" s="427" t="str">
        <f>IFERROR(__xludf.DUMMYFUNCTION("IFERROR(SPARKLINE(AO70,{""charttype"",""bar"";""color1"",IF(AO70&gt;='Май'!green_percent,'Май'!green,IF(AO70&gt;='Май'!yellow_percent,'Май'!yellow,IF(AO70&gt;='Май'!orange_percent,'Май'!orange,'Май'!red)));""max"",1}))"),"")</f>
        <v/>
      </c>
      <c r="AQ70" s="945">
        <v>0.3870967741935484</v>
      </c>
      <c r="AR70" s="822"/>
      <c r="AS70" s="945">
        <v>0.3870967741935484</v>
      </c>
      <c r="AT70" s="822"/>
      <c r="AU70" s="945">
        <v>0.3870967741935484</v>
      </c>
      <c r="AV70" s="776"/>
      <c r="AW70" s="945">
        <v>0.3870967741935484</v>
      </c>
      <c r="AX70" s="776"/>
      <c r="AY70" s="945">
        <v>0.3870967741935484</v>
      </c>
      <c r="AZ70" s="776"/>
      <c r="BA70" s="945">
        <v>0.3870967741935484</v>
      </c>
      <c r="BB70" s="776"/>
      <c r="BC70" s="945">
        <v>0.3870967741935484</v>
      </c>
      <c r="BD70" s="822"/>
      <c r="BE70" s="706">
        <f t="shared" ref="BE70:BF70" si="199">AQ70+AS70+AU70+AW70+AY70+BA70+BC70</f>
        <v>2.709677419</v>
      </c>
      <c r="BF70" s="244">
        <f t="shared" si="199"/>
        <v>0</v>
      </c>
      <c r="BG70" s="253">
        <f t="shared" si="172"/>
        <v>0</v>
      </c>
      <c r="BH70" s="427" t="str">
        <f>IFERROR(__xludf.DUMMYFUNCTION("IFERROR(SPARKLINE(BG70,{""charttype"",""bar"";""color1"",IF(BG70&gt;='Май'!green_percent,'Май'!green,IF(BG70&gt;='Май'!yellow_percent,'Май'!yellow,IF(BG70&gt;='Май'!orange_percent,'Май'!orange,'Май'!red)));""max"",1}))"),"")</f>
        <v/>
      </c>
      <c r="BI70" s="945">
        <v>0.3870967741935484</v>
      </c>
      <c r="BJ70" s="710"/>
      <c r="BK70" s="945">
        <v>0.3870967741935484</v>
      </c>
      <c r="BL70" s="465"/>
      <c r="BM70" s="945">
        <v>0.3870967741935484</v>
      </c>
      <c r="BN70" s="716"/>
      <c r="BO70" s="945">
        <v>0.3870967741935484</v>
      </c>
      <c r="BP70" s="716"/>
      <c r="BQ70" s="945">
        <v>0.3870967741935484</v>
      </c>
      <c r="BR70" s="716"/>
      <c r="BS70" s="945">
        <v>0.3870967741935484</v>
      </c>
      <c r="BT70" s="716"/>
      <c r="BU70" s="945">
        <v>0.3870967741935484</v>
      </c>
      <c r="BV70" s="716"/>
      <c r="BW70" s="706">
        <f t="shared" ref="BW70:BX70" si="200">BI70+BK70+BM70+BO70+BQ70+BS70+BU70</f>
        <v>2.709677419</v>
      </c>
      <c r="BX70" s="244">
        <f t="shared" si="200"/>
        <v>0</v>
      </c>
      <c r="BY70" s="253">
        <f t="shared" si="173"/>
        <v>0</v>
      </c>
      <c r="BZ70" s="427" t="str">
        <f>IFERROR(__xludf.DUMMYFUNCTION("IFERROR(SPARKLINE(BY70,{""charttype"",""bar"";""color1"",IF(BY70&gt;='Май'!green_percent,'Май'!green,IF(BY70&gt;='Май'!yellow_percent,'Май'!yellow,IF(BY70&gt;='Май'!orange_percent,'Май'!orange,'Май'!red)));""max"",1}))"),"")</f>
        <v/>
      </c>
      <c r="CA70" s="945">
        <v>0.3870967741935484</v>
      </c>
      <c r="CB70" s="710">
        <v>0.0</v>
      </c>
      <c r="CC70" s="945">
        <v>0.3870967741935484</v>
      </c>
      <c r="CD70" s="710">
        <v>1.0</v>
      </c>
      <c r="CE70" s="945">
        <v>0.3870967741935484</v>
      </c>
      <c r="CF70" s="710"/>
      <c r="CG70" s="945">
        <v>0.3870967741935484</v>
      </c>
      <c r="CH70" s="710">
        <v>1.0</v>
      </c>
      <c r="CI70" s="945">
        <v>0.3870967741935484</v>
      </c>
      <c r="CJ70" s="710">
        <v>0.0</v>
      </c>
      <c r="CK70" s="945">
        <v>0.3870967741935484</v>
      </c>
      <c r="CL70" s="710"/>
      <c r="CM70" s="945">
        <v>0.3870967741935484</v>
      </c>
      <c r="CN70" s="710"/>
      <c r="CO70" s="706">
        <f t="shared" ref="CO70:CP70" si="201">CA70+CC70+CE70+CG70+CI70+CK70+CM70</f>
        <v>2.709677419</v>
      </c>
      <c r="CP70" s="244">
        <f t="shared" si="201"/>
        <v>2</v>
      </c>
      <c r="CQ70" s="253">
        <f t="shared" si="174"/>
        <v>0.7380952381</v>
      </c>
      <c r="CR70" s="427" t="str">
        <f>IFERROR(__xludf.DUMMYFUNCTION("IFERROR(SPARKLINE(CQ70,{""charttype"",""bar"";""color1"",IF(CQ70&gt;='Май'!green_percent,'Май'!green,IF(CQ70&gt;='Май'!yellow_percent,'Май'!yellow,IF(CQ70&gt;='Май'!orange_percent,'Май'!orange,'Май'!red)));""max"",1}))"),"")</f>
        <v/>
      </c>
      <c r="CS70" s="842"/>
      <c r="CT70" s="875"/>
      <c r="CU70" s="842"/>
      <c r="CV70" s="875"/>
      <c r="CW70" s="875"/>
      <c r="CX70" s="875"/>
      <c r="CY70" s="875"/>
      <c r="CZ70" s="875"/>
      <c r="DA70" s="875"/>
      <c r="DB70" s="875"/>
      <c r="DC70" s="875"/>
      <c r="DD70" s="875"/>
      <c r="DE70" s="875"/>
      <c r="DF70" s="875"/>
      <c r="DG70" s="326"/>
      <c r="DH70" s="876"/>
      <c r="DI70" s="327"/>
      <c r="DJ70" s="329"/>
      <c r="DK70" s="875"/>
      <c r="DL70" s="926"/>
    </row>
    <row r="71">
      <c r="A71" s="927"/>
      <c r="B71" s="948" t="s">
        <v>38</v>
      </c>
      <c r="C71" s="217"/>
      <c r="D71" s="217"/>
      <c r="E71" s="218"/>
      <c r="F71" s="220">
        <f t="shared" ref="F71:G71" si="202">F70/F67</f>
        <v>0.75</v>
      </c>
      <c r="G71" s="220">
        <f t="shared" si="202"/>
        <v>0.6666666667</v>
      </c>
      <c r="H71" s="543">
        <f t="shared" si="176"/>
        <v>0.8888888889</v>
      </c>
      <c r="I71" s="462" t="str">
        <f>IFERROR(__xludf.DUMMYFUNCTION("IFERROR(SPARKLINE(H71,{""charttype"",""bar"";""color1"",IF(H71&gt;='Май'!green_percent,'Май'!green,IF(H71&gt;='Май'!yellow_percent,'Май'!yellow,IF(H71&gt;='Май'!orange_percent,'Май'!orange,'Май'!red)));""max"",1}))"),"")</f>
        <v/>
      </c>
      <c r="K71" s="941"/>
      <c r="L71" s="930"/>
      <c r="M71" s="941"/>
      <c r="N71" s="773"/>
      <c r="O71" s="941">
        <f>O70/O67</f>
        <v>0.75</v>
      </c>
      <c r="P71" s="755"/>
      <c r="Q71" s="941">
        <v>0.7999999999999999</v>
      </c>
      <c r="R71" s="755"/>
      <c r="S71" s="941">
        <v>0.7999999999999999</v>
      </c>
      <c r="T71" s="463"/>
      <c r="U71" s="949">
        <f t="shared" ref="U71:V71" si="203">U70/U67</f>
        <v>0.7894736842</v>
      </c>
      <c r="V71" s="220" t="str">
        <f t="shared" si="203"/>
        <v>#DIV/0!</v>
      </c>
      <c r="W71" s="220" t="str">
        <f t="shared" si="179"/>
        <v/>
      </c>
      <c r="X71" s="449" t="str">
        <f>IFERROR(__xludf.DUMMYFUNCTION("IFERROR(SPARKLINE(W71,{""charttype"",""bar"";""color1"",IF(W71&gt;='Май'!green_percent,'Май'!green,IF(W71&gt;='Май'!yellow_percent,'Май'!yellow,IF(W71&gt;='Май'!orange_percent,'Май'!orange,'Май'!red)));""max"",1}))"),"")</f>
        <v/>
      </c>
      <c r="Y71" s="941">
        <v>0.7999999999999999</v>
      </c>
      <c r="Z71" s="824"/>
      <c r="AA71" s="941">
        <v>0.7999999999999999</v>
      </c>
      <c r="AB71" s="824"/>
      <c r="AC71" s="941">
        <v>0.7999999999999999</v>
      </c>
      <c r="AD71" s="824"/>
      <c r="AE71" s="941">
        <v>0.7999999999999999</v>
      </c>
      <c r="AF71" s="824"/>
      <c r="AG71" s="941">
        <v>0.7999999999999999</v>
      </c>
      <c r="AH71" s="824"/>
      <c r="AI71" s="941">
        <v>0.7999999999999999</v>
      </c>
      <c r="AJ71" s="825"/>
      <c r="AK71" s="941">
        <v>0.7999999999999999</v>
      </c>
      <c r="AL71" s="459"/>
      <c r="AM71" s="949">
        <f>AM70/AM67</f>
        <v>0.8</v>
      </c>
      <c r="AN71" s="448">
        <v>0.0</v>
      </c>
      <c r="AO71" s="279">
        <f t="shared" si="181"/>
        <v>0</v>
      </c>
      <c r="AP71" s="462" t="str">
        <f>IFERROR(__xludf.DUMMYFUNCTION("IFERROR(SPARKLINE(AO71,{""charttype"",""bar"";""color1"",IF(AO71&gt;='Май'!green_percent,'Май'!green,IF(AO71&gt;='Май'!yellow_percent,'Май'!yellow,IF(AO71&gt;='Май'!orange_percent,'Май'!orange,'Май'!red)));""max"",1}))"),"")</f>
        <v/>
      </c>
      <c r="AQ71" s="941">
        <v>0.7999999999999999</v>
      </c>
      <c r="AR71" s="539" t="str">
        <f>AR70/AR67</f>
        <v>#DIV/0!</v>
      </c>
      <c r="AS71" s="941">
        <v>0.7999999999999999</v>
      </c>
      <c r="AT71" s="463"/>
      <c r="AU71" s="941">
        <v>0.7999999999999999</v>
      </c>
      <c r="AV71" s="776"/>
      <c r="AW71" s="941">
        <v>0.7999999999999999</v>
      </c>
      <c r="AX71" s="776"/>
      <c r="AY71" s="941">
        <v>0.7999999999999999</v>
      </c>
      <c r="AZ71" s="776"/>
      <c r="BA71" s="941">
        <v>0.7999999999999999</v>
      </c>
      <c r="BB71" s="776"/>
      <c r="BC71" s="941">
        <v>0.7999999999999999</v>
      </c>
      <c r="BD71" s="463"/>
      <c r="BE71" s="949">
        <f t="shared" ref="BE71:BF71" si="204">BE70/BE67</f>
        <v>0.8</v>
      </c>
      <c r="BF71" s="220" t="str">
        <f t="shared" si="204"/>
        <v>#DIV/0!</v>
      </c>
      <c r="BG71" s="279" t="str">
        <f t="shared" si="172"/>
        <v/>
      </c>
      <c r="BH71" s="462" t="str">
        <f>IFERROR(__xludf.DUMMYFUNCTION("IFERROR(SPARKLINE(BG71,{""charttype"",""bar"";""color1"",IF(BG71&gt;='Май'!green_percent,'Май'!green,IF(BG71&gt;='Май'!yellow_percent,'Май'!yellow,IF(BG71&gt;='Май'!orange_percent,'Май'!orange,'Май'!red)));""max"",1}))"),"")</f>
        <v/>
      </c>
      <c r="BI71" s="941">
        <v>0.7999999999999999</v>
      </c>
      <c r="BJ71" s="466"/>
      <c r="BK71" s="941">
        <v>0.7999999999999999</v>
      </c>
      <c r="BL71" s="465"/>
      <c r="BM71" s="941">
        <v>0.7999999999999999</v>
      </c>
      <c r="BN71" s="532" t="str">
        <f>BN70/BN67</f>
        <v>#DIV/0!</v>
      </c>
      <c r="BO71" s="941">
        <v>0.7999999999999999</v>
      </c>
      <c r="BP71" s="465"/>
      <c r="BQ71" s="941">
        <v>0.7999999999999999</v>
      </c>
      <c r="BR71" s="465"/>
      <c r="BS71" s="941">
        <v>0.7999999999999999</v>
      </c>
      <c r="BT71" s="465"/>
      <c r="BU71" s="941">
        <v>0.7999999999999999</v>
      </c>
      <c r="BV71" s="465"/>
      <c r="BW71" s="949">
        <f t="shared" ref="BW71:BX71" si="205">BW70/BW67</f>
        <v>0.8</v>
      </c>
      <c r="BX71" s="220" t="str">
        <f t="shared" si="205"/>
        <v>#DIV/0!</v>
      </c>
      <c r="BY71" s="279" t="str">
        <f t="shared" si="173"/>
        <v/>
      </c>
      <c r="BZ71" s="462" t="str">
        <f>IFERROR(__xludf.DUMMYFUNCTION("IFERROR(SPARKLINE(BY71,{""charttype"",""bar"";""color1"",IF(BY71&gt;='Май'!green_percent,'Май'!green,IF(BY71&gt;='Май'!yellow_percent,'Май'!yellow,IF(BY71&gt;='Май'!orange_percent,'Май'!orange,'Май'!red)));""max"",1}))"),"")</f>
        <v/>
      </c>
      <c r="CA71" s="941">
        <v>0.7999999999999999</v>
      </c>
      <c r="CB71" s="466"/>
      <c r="CC71" s="941">
        <v>0.7999999999999999</v>
      </c>
      <c r="CD71" s="466"/>
      <c r="CE71" s="941">
        <v>0.7999999999999999</v>
      </c>
      <c r="CF71" s="466"/>
      <c r="CG71" s="941">
        <v>0.7999999999999999</v>
      </c>
      <c r="CH71" s="533">
        <f>CH70/CH67</f>
        <v>1</v>
      </c>
      <c r="CI71" s="941">
        <v>0.7999999999999999</v>
      </c>
      <c r="CJ71" s="466"/>
      <c r="CK71" s="941">
        <v>0.7999999999999999</v>
      </c>
      <c r="CL71" s="466"/>
      <c r="CM71" s="941">
        <v>0.7999999999999999</v>
      </c>
      <c r="CN71" s="466"/>
      <c r="CO71" s="949">
        <f t="shared" ref="CO71:CP71" si="206">CO70/CO67</f>
        <v>0.8</v>
      </c>
      <c r="CP71" s="220">
        <f t="shared" si="206"/>
        <v>1</v>
      </c>
      <c r="CQ71" s="279">
        <f t="shared" si="174"/>
        <v>1.25</v>
      </c>
      <c r="CR71" s="462" t="str">
        <f>IFERROR(__xludf.DUMMYFUNCTION("IFERROR(SPARKLINE(CQ71,{""charttype"",""bar"";""color1"",IF(CQ71&gt;='Май'!green_percent,'Май'!green,IF(CQ71&gt;='Май'!yellow_percent,'Май'!yellow,IF(CQ71&gt;='Май'!orange_percent,'Май'!orange,'Май'!red)));""max"",1}))"),"")</f>
        <v/>
      </c>
      <c r="CS71" s="842"/>
      <c r="CT71" s="843"/>
      <c r="CU71" s="842"/>
      <c r="CV71" s="843"/>
      <c r="CW71" s="843"/>
      <c r="CX71" s="843"/>
      <c r="CY71" s="843"/>
      <c r="CZ71" s="843"/>
      <c r="DA71" s="843"/>
      <c r="DB71" s="843"/>
      <c r="DC71" s="843"/>
      <c r="DD71" s="843"/>
      <c r="DE71" s="843"/>
      <c r="DF71" s="843"/>
      <c r="DG71" s="289"/>
      <c r="DH71" s="844"/>
      <c r="DI71" s="310"/>
      <c r="DJ71" s="339"/>
      <c r="DK71" s="843"/>
      <c r="DL71" s="933"/>
    </row>
    <row r="72">
      <c r="A72" s="912"/>
      <c r="B72" s="937" t="s">
        <v>26</v>
      </c>
      <c r="C72" s="242"/>
      <c r="D72" s="242"/>
      <c r="E72" s="243"/>
      <c r="F72" s="244">
        <v>1.0</v>
      </c>
      <c r="G72" s="244">
        <f>V72+AN72+BF72+BX72+CP72</f>
        <v>1</v>
      </c>
      <c r="H72" s="704">
        <f t="shared" si="176"/>
        <v>1</v>
      </c>
      <c r="I72" s="427" t="str">
        <f>IFERROR(__xludf.DUMMYFUNCTION("IFERROR(SPARKLINE(H72,{""charttype"",""bar"";""color1"",IF(H72&gt;='Май'!green_percent,'Май'!green,IF(H72&gt;='Май'!yellow_percent,'Май'!yellow,IF(H72&gt;='Май'!orange_percent,'Май'!orange,'Май'!red)));""max"",1}))"),"")</f>
        <v/>
      </c>
      <c r="K72" s="929"/>
      <c r="L72" s="773">
        <v>0.0</v>
      </c>
      <c r="M72" s="929"/>
      <c r="N72" s="773">
        <v>0.0</v>
      </c>
      <c r="O72" s="932">
        <f t="shared" ref="O72:O73" si="210">F72/31</f>
        <v>0.03225806452</v>
      </c>
      <c r="P72" s="776"/>
      <c r="Q72" s="932">
        <v>0.06451612903225806</v>
      </c>
      <c r="R72" s="776">
        <v>0.0</v>
      </c>
      <c r="S72" s="932">
        <v>0.06451612903225806</v>
      </c>
      <c r="T72" s="822">
        <v>0.0</v>
      </c>
      <c r="U72" s="255">
        <f t="shared" ref="U72:U73" si="211">O72+Q72+S72</f>
        <v>0.1612903226</v>
      </c>
      <c r="V72" s="244">
        <v>0.0</v>
      </c>
      <c r="W72" s="412">
        <f t="shared" si="179"/>
        <v>0</v>
      </c>
      <c r="X72" s="413" t="str">
        <f>IFERROR(__xludf.DUMMYFUNCTION("IFERROR(SPARKLINE(W72,{""charttype"",""bar"";""color1"",IF(W72&gt;='Май'!green_percent,'Май'!green,IF(W72&gt;='Май'!yellow_percent,'Май'!yellow,IF(W72&gt;='Май'!orange_percent,'Май'!orange,'Май'!red)));""max"",1}))"),"")</f>
        <v/>
      </c>
      <c r="Y72" s="932">
        <v>0.06451612903225806</v>
      </c>
      <c r="Z72" s="824"/>
      <c r="AA72" s="932">
        <v>0.06451612903225806</v>
      </c>
      <c r="AB72" s="824"/>
      <c r="AC72" s="932">
        <v>0.06451612903225806</v>
      </c>
      <c r="AD72" s="824"/>
      <c r="AE72" s="932">
        <v>0.06451612903225806</v>
      </c>
      <c r="AF72" s="824"/>
      <c r="AG72" s="932">
        <v>0.06451612903225806</v>
      </c>
      <c r="AH72" s="824"/>
      <c r="AI72" s="932">
        <v>0.06451612903225806</v>
      </c>
      <c r="AJ72" s="825"/>
      <c r="AK72" s="932">
        <v>0.06451612903225806</v>
      </c>
      <c r="AL72" s="459"/>
      <c r="AM72" s="706">
        <f t="shared" ref="AM72:AM73" si="212">Y72+AA72+AC72+AE72+AG72+AI72+AK72</f>
        <v>0.4516129032</v>
      </c>
      <c r="AN72" s="244">
        <v>0.0</v>
      </c>
      <c r="AO72" s="253"/>
      <c r="AP72" s="427"/>
      <c r="AQ72" s="932">
        <v>0.06451612903225806</v>
      </c>
      <c r="AR72" s="822">
        <v>0.0</v>
      </c>
      <c r="AS72" s="932">
        <v>0.06451612903225806</v>
      </c>
      <c r="AT72" s="822"/>
      <c r="AU72" s="932">
        <v>0.06451612903225806</v>
      </c>
      <c r="AV72" s="776"/>
      <c r="AW72" s="932">
        <v>0.06451612903225806</v>
      </c>
      <c r="AX72" s="776"/>
      <c r="AY72" s="932">
        <v>0.06451612903225806</v>
      </c>
      <c r="AZ72" s="776"/>
      <c r="BA72" s="932">
        <v>0.06451612903225806</v>
      </c>
      <c r="BB72" s="776"/>
      <c r="BC72" s="932">
        <v>0.06451612903225806</v>
      </c>
      <c r="BD72" s="822"/>
      <c r="BE72" s="706">
        <f t="shared" ref="BE72:BF72" si="207">AQ72+AS72+AU72+AW72+AY72+BA72+BC72</f>
        <v>0.4516129032</v>
      </c>
      <c r="BF72" s="244">
        <f t="shared" si="207"/>
        <v>0</v>
      </c>
      <c r="BG72" s="253">
        <f t="shared" si="172"/>
        <v>0</v>
      </c>
      <c r="BH72" s="427" t="str">
        <f>IFERROR(__xludf.DUMMYFUNCTION("IFERROR(SPARKLINE(BG72,{""charttype"",""bar"";""color1"",IF(BG72&gt;='Май'!green_percent,'Май'!green,IF(BG72&gt;='Май'!yellow_percent,'Май'!yellow,IF(BG72&gt;='Май'!orange_percent,'Май'!orange,'Май'!red)));""max"",1}))"),"")</f>
        <v/>
      </c>
      <c r="BI72" s="932">
        <v>0.06451612903225806</v>
      </c>
      <c r="BJ72" s="710"/>
      <c r="BK72" s="932">
        <v>0.06451612903225806</v>
      </c>
      <c r="BL72" s="465"/>
      <c r="BM72" s="932">
        <v>0.06451612903225806</v>
      </c>
      <c r="BN72" s="716">
        <v>0.0</v>
      </c>
      <c r="BO72" s="932">
        <v>0.06451612903225806</v>
      </c>
      <c r="BP72" s="716"/>
      <c r="BQ72" s="932">
        <v>0.06451612903225806</v>
      </c>
      <c r="BR72" s="716"/>
      <c r="BS72" s="932">
        <v>0.06451612903225806</v>
      </c>
      <c r="BT72" s="716"/>
      <c r="BU72" s="932">
        <v>0.06451612903225806</v>
      </c>
      <c r="BV72" s="716"/>
      <c r="BW72" s="706">
        <f t="shared" ref="BW72:BX72" si="208">BI72+BK72+BM72+BO72+BQ72+BS72+BU72</f>
        <v>0.4516129032</v>
      </c>
      <c r="BX72" s="244">
        <f t="shared" si="208"/>
        <v>0</v>
      </c>
      <c r="BY72" s="253">
        <f t="shared" si="173"/>
        <v>0</v>
      </c>
      <c r="BZ72" s="427" t="str">
        <f>IFERROR(__xludf.DUMMYFUNCTION("IFERROR(SPARKLINE(BY72,{""charttype"",""bar"";""color1"",IF(BY72&gt;='Май'!green_percent,'Май'!green,IF(BY72&gt;='Май'!yellow_percent,'Май'!yellow,IF(BY72&gt;='Май'!orange_percent,'Май'!orange,'Май'!red)));""max"",1}))"),"")</f>
        <v/>
      </c>
      <c r="CA72" s="932">
        <v>0.06451612903225806</v>
      </c>
      <c r="CB72" s="710">
        <v>0.0</v>
      </c>
      <c r="CC72" s="932">
        <v>0.06451612903225806</v>
      </c>
      <c r="CD72" s="710"/>
      <c r="CE72" s="932">
        <v>0.06451612903225806</v>
      </c>
      <c r="CF72" s="710"/>
      <c r="CG72" s="932">
        <v>0.06451612903225806</v>
      </c>
      <c r="CH72" s="710">
        <v>1.0</v>
      </c>
      <c r="CI72" s="932">
        <v>0.06451612903225806</v>
      </c>
      <c r="CJ72" s="710"/>
      <c r="CK72" s="932">
        <v>0.06451612903225806</v>
      </c>
      <c r="CL72" s="710"/>
      <c r="CM72" s="932">
        <v>0.06451612903225806</v>
      </c>
      <c r="CN72" s="710"/>
      <c r="CO72" s="706">
        <f t="shared" ref="CO72:CP72" si="209">CA72+CC72+CE72+CG72+CI72+CK72+CM72</f>
        <v>0.4516129032</v>
      </c>
      <c r="CP72" s="244">
        <f t="shared" si="209"/>
        <v>1</v>
      </c>
      <c r="CQ72" s="253">
        <f t="shared" si="174"/>
        <v>2.214285714</v>
      </c>
      <c r="CR72" s="427" t="str">
        <f>IFERROR(__xludf.DUMMYFUNCTION("IFERROR(SPARKLINE(CQ72,{""charttype"",""bar"";""color1"",IF(CQ72&gt;='Май'!green_percent,'Май'!green,IF(CQ72&gt;='Май'!yellow_percent,'Май'!yellow,IF(CQ72&gt;='Май'!orange_percent,'Май'!orange,'Май'!red)));""max"",1}))"),"")</f>
        <v/>
      </c>
      <c r="CS72" s="842"/>
      <c r="CT72" s="875"/>
      <c r="CU72" s="842"/>
      <c r="CV72" s="875"/>
      <c r="CW72" s="875"/>
      <c r="CX72" s="875"/>
      <c r="CY72" s="875"/>
      <c r="CZ72" s="875"/>
      <c r="DA72" s="875"/>
      <c r="DB72" s="875"/>
      <c r="DC72" s="875"/>
      <c r="DD72" s="875"/>
      <c r="DE72" s="875"/>
      <c r="DF72" s="875"/>
      <c r="DG72" s="326"/>
      <c r="DH72" s="876"/>
      <c r="DI72" s="327"/>
      <c r="DJ72" s="329"/>
      <c r="DK72" s="875"/>
      <c r="DL72" s="926"/>
    </row>
    <row r="73">
      <c r="A73" s="927"/>
      <c r="B73" s="934" t="s">
        <v>39</v>
      </c>
      <c r="C73" s="217"/>
      <c r="D73" s="217"/>
      <c r="E73" s="218"/>
      <c r="F73" s="950">
        <v>800000.0</v>
      </c>
      <c r="G73" s="495">
        <f>V73+BF73+AN73+BX73+CP73</f>
        <v>10700</v>
      </c>
      <c r="H73" s="543">
        <f t="shared" si="176"/>
        <v>0.013375</v>
      </c>
      <c r="I73" s="462" t="str">
        <f>IFERROR(__xludf.DUMMYFUNCTION("IFERROR(SPARKLINE(H73,{""charttype"",""bar"";""color1"",IF(H73&gt;='Май'!green_percent,'Май'!green,IF(H73&gt;='Май'!yellow_percent,'Май'!yellow,IF(H73&gt;='Май'!orange_percent,'Май'!orange,'Май'!red)));""max"",1}))"),"")</f>
        <v/>
      </c>
      <c r="K73" s="914"/>
      <c r="L73" s="930"/>
      <c r="M73" s="914"/>
      <c r="N73" s="773"/>
      <c r="O73" s="914">
        <f t="shared" si="210"/>
        <v>25806.45161</v>
      </c>
      <c r="P73" s="776"/>
      <c r="Q73" s="914">
        <v>12903.225806451614</v>
      </c>
      <c r="R73" s="776"/>
      <c r="S73" s="914">
        <v>12903.225806451614</v>
      </c>
      <c r="T73" s="463"/>
      <c r="U73" s="565">
        <f t="shared" si="211"/>
        <v>51612.90323</v>
      </c>
      <c r="V73" s="448">
        <v>0.0</v>
      </c>
      <c r="W73" s="220">
        <f t="shared" si="179"/>
        <v>0</v>
      </c>
      <c r="X73" s="449" t="str">
        <f>IFERROR(__xludf.DUMMYFUNCTION("IFERROR(SPARKLINE(W73,{""charttype"",""bar"";""color1"",IF(W73&gt;='Май'!green_percent,'Май'!green,IF(W73&gt;='Май'!yellow_percent,'Май'!yellow,IF(W73&gt;='Май'!orange_percent,'Май'!orange,'Май'!red)));""max"",1}))"),"")</f>
        <v/>
      </c>
      <c r="Y73" s="914">
        <v>12903.225806451614</v>
      </c>
      <c r="Z73" s="824"/>
      <c r="AA73" s="914">
        <v>12903.225806451614</v>
      </c>
      <c r="AB73" s="824"/>
      <c r="AC73" s="914">
        <v>12903.225806451614</v>
      </c>
      <c r="AD73" s="824"/>
      <c r="AE73" s="914">
        <v>12903.225806451614</v>
      </c>
      <c r="AF73" s="824"/>
      <c r="AG73" s="914">
        <v>12903.225806451614</v>
      </c>
      <c r="AH73" s="824"/>
      <c r="AI73" s="914">
        <v>12903.225806451614</v>
      </c>
      <c r="AJ73" s="825"/>
      <c r="AK73" s="914">
        <v>12903.225806451614</v>
      </c>
      <c r="AL73" s="459"/>
      <c r="AM73" s="281">
        <f t="shared" si="212"/>
        <v>90322.58065</v>
      </c>
      <c r="AN73" s="448">
        <v>0.0</v>
      </c>
      <c r="AO73" s="279"/>
      <c r="AP73" s="462"/>
      <c r="AQ73" s="914">
        <v>12903.225806451614</v>
      </c>
      <c r="AR73" s="763">
        <v>0.0</v>
      </c>
      <c r="AS73" s="914">
        <v>12903.225806451614</v>
      </c>
      <c r="AT73" s="463"/>
      <c r="AU73" s="914">
        <v>12903.225806451614</v>
      </c>
      <c r="AV73" s="776"/>
      <c r="AW73" s="914">
        <v>12903.225806451614</v>
      </c>
      <c r="AX73" s="776"/>
      <c r="AY73" s="914">
        <v>12903.225806451614</v>
      </c>
      <c r="AZ73" s="776"/>
      <c r="BA73" s="914">
        <v>12903.225806451614</v>
      </c>
      <c r="BB73" s="776"/>
      <c r="BC73" s="914">
        <v>12903.225806451614</v>
      </c>
      <c r="BD73" s="463"/>
      <c r="BE73" s="281">
        <f t="shared" ref="BE73:BF73" si="213">AQ73+AS73+AU73+AW73+AY73+BA73+BC73</f>
        <v>90322.58065</v>
      </c>
      <c r="BF73" s="495">
        <f t="shared" si="213"/>
        <v>0</v>
      </c>
      <c r="BG73" s="279">
        <f t="shared" si="172"/>
        <v>0</v>
      </c>
      <c r="BH73" s="462" t="str">
        <f>IFERROR(__xludf.DUMMYFUNCTION("IFERROR(SPARKLINE(BG73,{""charttype"",""bar"";""color1"",IF(BG73&gt;='Май'!green_percent,'Май'!green,IF(BG73&gt;='Май'!yellow_percent,'Май'!yellow,IF(BG73&gt;='Май'!orange_percent,'Май'!orange,'Май'!red)));""max"",1}))"),"")</f>
        <v/>
      </c>
      <c r="BI73" s="914">
        <v>12903.225806451614</v>
      </c>
      <c r="BJ73" s="466"/>
      <c r="BK73" s="914">
        <v>12903.225806451614</v>
      </c>
      <c r="BL73" s="465"/>
      <c r="BM73" s="914">
        <v>12903.225806451614</v>
      </c>
      <c r="BN73" s="465"/>
      <c r="BO73" s="914">
        <v>12903.225806451614</v>
      </c>
      <c r="BP73" s="465"/>
      <c r="BQ73" s="914">
        <v>12903.225806451614</v>
      </c>
      <c r="BR73" s="465"/>
      <c r="BS73" s="914">
        <v>12903.225806451614</v>
      </c>
      <c r="BT73" s="465"/>
      <c r="BU73" s="914">
        <v>12903.225806451614</v>
      </c>
      <c r="BV73" s="465"/>
      <c r="BW73" s="281">
        <f t="shared" ref="BW73:BX73" si="214">BI73+BK73+BM73+BO73+BQ73+BS73+BU73</f>
        <v>90322.58065</v>
      </c>
      <c r="BX73" s="495">
        <f t="shared" si="214"/>
        <v>0</v>
      </c>
      <c r="BY73" s="279">
        <f t="shared" si="173"/>
        <v>0</v>
      </c>
      <c r="BZ73" s="462" t="str">
        <f>IFERROR(__xludf.DUMMYFUNCTION("IFERROR(SPARKLINE(BY73,{""charttype"",""bar"";""color1"",IF(BY73&gt;='Май'!green_percent,'Май'!green,IF(BY73&gt;='Май'!yellow_percent,'Май'!yellow,IF(BY73&gt;='Май'!orange_percent,'Май'!orange,'Май'!red)));""max"",1}))"),"")</f>
        <v/>
      </c>
      <c r="CA73" s="914">
        <v>12903.225806451614</v>
      </c>
      <c r="CB73" s="466"/>
      <c r="CC73" s="914">
        <v>12903.225806451614</v>
      </c>
      <c r="CD73" s="466"/>
      <c r="CE73" s="914">
        <v>12903.225806451614</v>
      </c>
      <c r="CF73" s="466"/>
      <c r="CG73" s="914">
        <v>12903.225806451614</v>
      </c>
      <c r="CH73" s="504">
        <v>10700.0</v>
      </c>
      <c r="CI73" s="914">
        <v>12903.225806451614</v>
      </c>
      <c r="CJ73" s="466"/>
      <c r="CK73" s="914">
        <v>12903.225806451614</v>
      </c>
      <c r="CL73" s="466"/>
      <c r="CM73" s="914">
        <v>12903.225806451614</v>
      </c>
      <c r="CN73" s="466"/>
      <c r="CO73" s="281">
        <f t="shared" ref="CO73:CP73" si="215">CA73+CC73+CE73+CG73+CI73+CK73+CM73</f>
        <v>90322.58065</v>
      </c>
      <c r="CP73" s="495">
        <f t="shared" si="215"/>
        <v>10700</v>
      </c>
      <c r="CQ73" s="279">
        <f t="shared" si="174"/>
        <v>0.1184642857</v>
      </c>
      <c r="CR73" s="462" t="str">
        <f>IFERROR(__xludf.DUMMYFUNCTION("IFERROR(SPARKLINE(CQ73,{""charttype"",""bar"";""color1"",IF(CQ73&gt;='Май'!green_percent,'Май'!green,IF(CQ73&gt;='Май'!yellow_percent,'Май'!yellow,IF(CQ73&gt;='Май'!orange_percent,'Май'!orange,'Май'!red)));""max"",1}))"),"")</f>
        <v/>
      </c>
      <c r="CS73" s="842"/>
      <c r="CT73" s="843"/>
      <c r="CU73" s="842"/>
      <c r="CV73" s="843"/>
      <c r="CW73" s="843"/>
      <c r="CX73" s="843"/>
      <c r="CY73" s="843"/>
      <c r="CZ73" s="843"/>
      <c r="DA73" s="843"/>
      <c r="DB73" s="843"/>
      <c r="DC73" s="843"/>
      <c r="DD73" s="843"/>
      <c r="DE73" s="843"/>
      <c r="DF73" s="843"/>
      <c r="DG73" s="289"/>
      <c r="DH73" s="844"/>
      <c r="DI73" s="310"/>
      <c r="DJ73" s="339"/>
      <c r="DK73" s="843"/>
      <c r="DL73" s="933"/>
    </row>
    <row r="74">
      <c r="A74" s="912"/>
      <c r="B74" s="951" t="s">
        <v>40</v>
      </c>
      <c r="C74" s="242"/>
      <c r="D74" s="242"/>
      <c r="E74" s="243"/>
      <c r="F74" s="245">
        <f>F72/F70</f>
        <v>0.1666666667</v>
      </c>
      <c r="G74" s="245">
        <f>G72/G67</f>
        <v>0.3333333333</v>
      </c>
      <c r="H74" s="704">
        <f t="shared" si="176"/>
        <v>2</v>
      </c>
      <c r="I74" s="427" t="str">
        <f>IFERROR(__xludf.DUMMYFUNCTION("IFERROR(SPARKLINE(H74,{""charttype"",""bar"";""color1"",IF(H74&gt;='Май'!green_percent,'Май'!green,IF(H74&gt;='Май'!yellow_percent,'Май'!yellow,IF(H74&gt;='Май'!orange_percent,'Май'!orange,'Май'!red)));""max"",1}))"),"")</f>
        <v/>
      </c>
      <c r="K74" s="941"/>
      <c r="L74" s="952"/>
      <c r="M74" s="941"/>
      <c r="N74" s="752"/>
      <c r="O74" s="941">
        <f>O72/O70</f>
        <v>0.1666666667</v>
      </c>
      <c r="P74" s="755"/>
      <c r="Q74" s="941">
        <v>0.16666666666666666</v>
      </c>
      <c r="R74" s="755"/>
      <c r="S74" s="941">
        <v>0.16666666666666666</v>
      </c>
      <c r="T74" s="822"/>
      <c r="U74" s="313">
        <f t="shared" ref="U74:V74" si="216">U72/U67</f>
        <v>0.1315789474</v>
      </c>
      <c r="V74" s="245" t="str">
        <f t="shared" si="216"/>
        <v>#DIV/0!</v>
      </c>
      <c r="W74" s="412" t="str">
        <f t="shared" si="179"/>
        <v/>
      </c>
      <c r="X74" s="413" t="str">
        <f>IFERROR(__xludf.DUMMYFUNCTION("IFERROR(SPARKLINE(W74,{""charttype"",""bar"";""color1"",IF(W74&gt;='Май'!green_percent,'Май'!green,IF(W74&gt;='Май'!yellow_percent,'Май'!yellow,IF(W74&gt;='Май'!orange_percent,'Май'!orange,'Май'!red)));""max"",1}))"),"")</f>
        <v/>
      </c>
      <c r="Y74" s="941">
        <v>0.16666666666666666</v>
      </c>
      <c r="Z74" s="824"/>
      <c r="AA74" s="941">
        <v>0.16666666666666666</v>
      </c>
      <c r="AB74" s="824"/>
      <c r="AC74" s="941">
        <v>0.16666666666666666</v>
      </c>
      <c r="AD74" s="824"/>
      <c r="AE74" s="941">
        <v>0.16666666666666666</v>
      </c>
      <c r="AF74" s="824"/>
      <c r="AG74" s="941">
        <v>0.16666666666666666</v>
      </c>
      <c r="AH74" s="824"/>
      <c r="AI74" s="941">
        <v>0.16666666666666666</v>
      </c>
      <c r="AJ74" s="825"/>
      <c r="AK74" s="941">
        <v>0.16666666666666666</v>
      </c>
      <c r="AL74" s="459"/>
      <c r="AM74" s="943">
        <v>0.2</v>
      </c>
      <c r="AN74" s="244">
        <v>0.0</v>
      </c>
      <c r="AO74" s="253"/>
      <c r="AP74" s="427"/>
      <c r="AQ74" s="941">
        <v>0.16666666666666666</v>
      </c>
      <c r="AR74" s="517" t="str">
        <f>AR72/AR70</f>
        <v>#DIV/0!</v>
      </c>
      <c r="AS74" s="941">
        <v>0.16666666666666666</v>
      </c>
      <c r="AT74" s="822"/>
      <c r="AU74" s="941">
        <v>0.16666666666666666</v>
      </c>
      <c r="AV74" s="776"/>
      <c r="AW74" s="941">
        <v>0.16666666666666666</v>
      </c>
      <c r="AX74" s="776"/>
      <c r="AY74" s="941">
        <v>0.16666666666666666</v>
      </c>
      <c r="AZ74" s="776"/>
      <c r="BA74" s="941">
        <v>0.16666666666666666</v>
      </c>
      <c r="BB74" s="776"/>
      <c r="BC74" s="941">
        <v>0.16666666666666666</v>
      </c>
      <c r="BD74" s="822"/>
      <c r="BE74" s="943">
        <v>0.2</v>
      </c>
      <c r="BF74" s="412" t="str">
        <f>BF72/BF70</f>
        <v>#DIV/0!</v>
      </c>
      <c r="BG74" s="253" t="str">
        <f t="shared" si="172"/>
        <v/>
      </c>
      <c r="BH74" s="427" t="str">
        <f>IFERROR(__xludf.DUMMYFUNCTION("IFERROR(SPARKLINE(BG74,{""charttype"",""bar"";""color1"",IF(BG74&gt;='Май'!green_percent,'Май'!green,IF(BG74&gt;='Май'!yellow_percent,'Май'!yellow,IF(BG74&gt;='Май'!orange_percent,'Май'!orange,'Май'!red)));""max"",1}))"),"")</f>
        <v/>
      </c>
      <c r="BI74" s="941">
        <v>0.16666666666666666</v>
      </c>
      <c r="BJ74" s="710"/>
      <c r="BK74" s="941">
        <v>0.16666666666666666</v>
      </c>
      <c r="BL74" s="465"/>
      <c r="BM74" s="941">
        <v>0.16666666666666666</v>
      </c>
      <c r="BN74" s="716"/>
      <c r="BO74" s="941">
        <v>0.16666666666666666</v>
      </c>
      <c r="BP74" s="716"/>
      <c r="BQ74" s="941">
        <v>0.16666666666666666</v>
      </c>
      <c r="BR74" s="716"/>
      <c r="BS74" s="941">
        <v>0.16666666666666666</v>
      </c>
      <c r="BT74" s="716"/>
      <c r="BU74" s="941">
        <v>0.16666666666666666</v>
      </c>
      <c r="BV74" s="716"/>
      <c r="BW74" s="943">
        <v>0.2</v>
      </c>
      <c r="BX74" s="412" t="str">
        <f>BX72/BX70</f>
        <v>#DIV/0!</v>
      </c>
      <c r="BY74" s="253" t="str">
        <f t="shared" si="173"/>
        <v/>
      </c>
      <c r="BZ74" s="427" t="str">
        <f>IFERROR(__xludf.DUMMYFUNCTION("IFERROR(SPARKLINE(BY74,{""charttype"",""bar"";""color1"",IF(BY74&gt;='Май'!green_percent,'Май'!green,IF(BY74&gt;='Май'!yellow_percent,'Май'!yellow,IF(BY74&gt;='Май'!orange_percent,'Май'!orange,'Май'!red)));""max"",1}))"),"")</f>
        <v/>
      </c>
      <c r="CA74" s="941">
        <v>0.16666666666666666</v>
      </c>
      <c r="CB74" s="710"/>
      <c r="CC74" s="941">
        <v>0.16666666666666666</v>
      </c>
      <c r="CD74" s="710"/>
      <c r="CE74" s="941">
        <v>0.16666666666666666</v>
      </c>
      <c r="CF74" s="710"/>
      <c r="CG74" s="941">
        <v>0.16666666666666666</v>
      </c>
      <c r="CH74" s="522">
        <f>CH72/CH70</f>
        <v>1</v>
      </c>
      <c r="CI74" s="941">
        <v>0.16666666666666666</v>
      </c>
      <c r="CJ74" s="710"/>
      <c r="CK74" s="941">
        <v>0.16666666666666666</v>
      </c>
      <c r="CL74" s="710"/>
      <c r="CM74" s="941">
        <v>0.16666666666666666</v>
      </c>
      <c r="CN74" s="710"/>
      <c r="CO74" s="943">
        <v>0.2</v>
      </c>
      <c r="CP74" s="412">
        <f>CP72/CP70</f>
        <v>0.5</v>
      </c>
      <c r="CQ74" s="253">
        <f t="shared" si="174"/>
        <v>2.5</v>
      </c>
      <c r="CR74" s="427" t="str">
        <f>IFERROR(__xludf.DUMMYFUNCTION("IFERROR(SPARKLINE(CQ74,{""charttype"",""bar"";""color1"",IF(CQ74&gt;='Май'!green_percent,'Май'!green,IF(CQ74&gt;='Май'!yellow_percent,'Май'!yellow,IF(CQ74&gt;='Май'!orange_percent,'Май'!orange,'Май'!red)));""max"",1}))"),"")</f>
        <v/>
      </c>
      <c r="CS74" s="842"/>
      <c r="CT74" s="875"/>
      <c r="CU74" s="842"/>
      <c r="CV74" s="875"/>
      <c r="CW74" s="875"/>
      <c r="CX74" s="875"/>
      <c r="CY74" s="875"/>
      <c r="CZ74" s="875"/>
      <c r="DA74" s="875"/>
      <c r="DB74" s="875"/>
      <c r="DC74" s="875"/>
      <c r="DD74" s="875"/>
      <c r="DE74" s="875"/>
      <c r="DF74" s="875"/>
      <c r="DG74" s="326"/>
      <c r="DH74" s="876"/>
      <c r="DI74" s="327"/>
      <c r="DJ74" s="329"/>
      <c r="DK74" s="875"/>
      <c r="DL74" s="926"/>
    </row>
    <row r="75">
      <c r="A75" s="927"/>
      <c r="B75" s="954" t="s">
        <v>27</v>
      </c>
      <c r="C75" s="217"/>
      <c r="D75" s="217"/>
      <c r="E75" s="218"/>
      <c r="F75" s="270">
        <f t="shared" ref="F75:G75" si="217">F58/F72</f>
        <v>390000</v>
      </c>
      <c r="G75" s="270">
        <f t="shared" si="217"/>
        <v>90000</v>
      </c>
      <c r="H75" s="543">
        <f t="shared" si="176"/>
        <v>0.2307692308</v>
      </c>
      <c r="I75" s="462" t="str">
        <f>IFERROR(__xludf.DUMMYFUNCTION("IFERROR(SPARKLINE(H75,{""charttype"",""bar"";""color1"",IF(H75&gt;='Май'!green_percent,'Май'!green,IF(H75&gt;='Май'!yellow_percent,'Май'!yellow,IF(H75&gt;='Май'!orange_percent,'Май'!orange,'Май'!red)));""max"",1}))"),"")</f>
        <v/>
      </c>
      <c r="K75" s="914"/>
      <c r="L75" s="955"/>
      <c r="M75" s="914"/>
      <c r="N75" s="820"/>
      <c r="O75" s="270">
        <f>O58/O72</f>
        <v>390000</v>
      </c>
      <c r="P75" s="776"/>
      <c r="Q75" s="270">
        <v>195000.0</v>
      </c>
      <c r="R75" s="776"/>
      <c r="S75" s="270">
        <v>195000.0</v>
      </c>
      <c r="T75" s="463"/>
      <c r="U75" s="565">
        <f t="shared" ref="U75:V75" si="218">U58/U72</f>
        <v>234000</v>
      </c>
      <c r="V75" s="563" t="str">
        <f t="shared" si="218"/>
        <v>#DIV/0!</v>
      </c>
      <c r="W75" s="220" t="str">
        <f t="shared" si="179"/>
        <v/>
      </c>
      <c r="X75" s="449" t="str">
        <f>IFERROR(__xludf.DUMMYFUNCTION("IFERROR(SPARKLINE(W75,{""charttype"",""bar"";""color1"",IF(W75&gt;='Май'!green_percent,'Май'!green,IF(W75&gt;='Май'!yellow_percent,'Май'!yellow,IF(W75&gt;='Май'!orange_percent,'Май'!orange,'Май'!red)));""max"",1}))"),"")</f>
        <v/>
      </c>
      <c r="Y75" s="270">
        <v>195000.0</v>
      </c>
      <c r="Z75" s="824"/>
      <c r="AA75" s="270">
        <v>195000.0</v>
      </c>
      <c r="AB75" s="824"/>
      <c r="AC75" s="270">
        <v>195000.0</v>
      </c>
      <c r="AD75" s="824"/>
      <c r="AE75" s="270">
        <v>195000.0</v>
      </c>
      <c r="AF75" s="824"/>
      <c r="AG75" s="270">
        <v>195000.0</v>
      </c>
      <c r="AH75" s="824"/>
      <c r="AI75" s="270">
        <v>195000.0</v>
      </c>
      <c r="AJ75" s="825"/>
      <c r="AK75" s="270">
        <v>195000.0</v>
      </c>
      <c r="AL75" s="459"/>
      <c r="AM75" s="284">
        <v>195000.0</v>
      </c>
      <c r="AN75" s="448">
        <v>0.0</v>
      </c>
      <c r="AO75" s="279"/>
      <c r="AP75" s="462"/>
      <c r="AQ75" s="270">
        <v>195000.0</v>
      </c>
      <c r="AR75" s="463"/>
      <c r="AS75" s="270">
        <v>195000.0</v>
      </c>
      <c r="AT75" s="463"/>
      <c r="AU75" s="270">
        <v>195000.0</v>
      </c>
      <c r="AV75" s="776"/>
      <c r="AW75" s="270">
        <v>195000.0</v>
      </c>
      <c r="AX75" s="776"/>
      <c r="AY75" s="270">
        <v>195000.0</v>
      </c>
      <c r="AZ75" s="776"/>
      <c r="BA75" s="270">
        <v>195000.0</v>
      </c>
      <c r="BB75" s="776"/>
      <c r="BC75" s="270">
        <v>195000.0</v>
      </c>
      <c r="BD75" s="463"/>
      <c r="BE75" s="284">
        <v>195000.0</v>
      </c>
      <c r="BF75" s="495" t="str">
        <f>BF58/BF72</f>
        <v>#DIV/0!</v>
      </c>
      <c r="BG75" s="279" t="str">
        <f t="shared" si="172"/>
        <v/>
      </c>
      <c r="BH75" s="462" t="str">
        <f>IFERROR(__xludf.DUMMYFUNCTION("IFERROR(SPARKLINE(BG75,{""charttype"",""bar"";""color1"",IF(BG75&gt;='Май'!green_percent,'Май'!green,IF(BG75&gt;='Май'!yellow_percent,'Май'!yellow,IF(BG75&gt;='Май'!orange_percent,'Май'!orange,'Май'!red)));""max"",1}))"),"")</f>
        <v/>
      </c>
      <c r="BI75" s="270">
        <v>195000.0</v>
      </c>
      <c r="BJ75" s="466"/>
      <c r="BK75" s="270">
        <v>195000.0</v>
      </c>
      <c r="BL75" s="465"/>
      <c r="BM75" s="270">
        <v>195000.0</v>
      </c>
      <c r="BN75" s="465"/>
      <c r="BO75" s="270">
        <v>195000.0</v>
      </c>
      <c r="BP75" s="465"/>
      <c r="BQ75" s="270">
        <v>195000.0</v>
      </c>
      <c r="BR75" s="465"/>
      <c r="BS75" s="270">
        <v>195000.0</v>
      </c>
      <c r="BT75" s="465"/>
      <c r="BU75" s="270">
        <v>195000.0</v>
      </c>
      <c r="BV75" s="465"/>
      <c r="BW75" s="284">
        <v>195000.0</v>
      </c>
      <c r="BX75" s="495" t="str">
        <f>BX58/BX72</f>
        <v>#DIV/0!</v>
      </c>
      <c r="BY75" s="279" t="str">
        <f t="shared" si="173"/>
        <v/>
      </c>
      <c r="BZ75" s="462" t="str">
        <f>IFERROR(__xludf.DUMMYFUNCTION("IFERROR(SPARKLINE(BY75,{""charttype"",""bar"";""color1"",IF(BY75&gt;='Май'!green_percent,'Май'!green,IF(BY75&gt;='Май'!yellow_percent,'Май'!yellow,IF(BY75&gt;='Май'!orange_percent,'Май'!orange,'Май'!red)));""max"",1}))"),"")</f>
        <v/>
      </c>
      <c r="CA75" s="270">
        <v>195000.0</v>
      </c>
      <c r="CB75" s="466"/>
      <c r="CC75" s="270">
        <v>195000.0</v>
      </c>
      <c r="CD75" s="466"/>
      <c r="CE75" s="270">
        <v>195000.0</v>
      </c>
      <c r="CF75" s="466"/>
      <c r="CG75" s="270">
        <v>195000.0</v>
      </c>
      <c r="CH75" s="466"/>
      <c r="CI75" s="270">
        <v>195000.0</v>
      </c>
      <c r="CJ75" s="466"/>
      <c r="CK75" s="270">
        <v>195000.0</v>
      </c>
      <c r="CL75" s="466"/>
      <c r="CM75" s="270">
        <v>195000.0</v>
      </c>
      <c r="CN75" s="466"/>
      <c r="CO75" s="284">
        <v>195000.0</v>
      </c>
      <c r="CP75" s="495">
        <f>CP58/CP72</f>
        <v>0</v>
      </c>
      <c r="CQ75" s="279">
        <f t="shared" si="174"/>
        <v>0</v>
      </c>
      <c r="CR75" s="462" t="str">
        <f>IFERROR(__xludf.DUMMYFUNCTION("IFERROR(SPARKLINE(CQ75,{""charttype"",""bar"";""color1"",IF(CQ75&gt;='Май'!green_percent,'Май'!green,IF(CQ75&gt;='Май'!yellow_percent,'Май'!yellow,IF(CQ75&gt;='Май'!orange_percent,'Май'!orange,'Май'!red)));""max"",1}))"),"")</f>
        <v/>
      </c>
      <c r="CS75" s="956"/>
      <c r="CT75" s="957"/>
      <c r="CU75" s="956"/>
      <c r="CV75" s="957"/>
      <c r="CW75" s="957"/>
      <c r="CX75" s="957"/>
      <c r="CY75" s="957"/>
      <c r="CZ75" s="957"/>
      <c r="DA75" s="957"/>
      <c r="DB75" s="957"/>
      <c r="DC75" s="957"/>
      <c r="DD75" s="957"/>
      <c r="DE75" s="957"/>
      <c r="DF75" s="957"/>
      <c r="DG75" s="958"/>
      <c r="DH75" s="959"/>
      <c r="DI75" s="960"/>
      <c r="DJ75" s="961"/>
      <c r="DK75" s="957"/>
      <c r="DL75" s="962"/>
    </row>
    <row r="76">
      <c r="A76" s="912"/>
      <c r="B76" s="937" t="s">
        <v>28</v>
      </c>
      <c r="C76" s="242"/>
      <c r="D76" s="242"/>
      <c r="E76" s="243"/>
      <c r="F76" s="581"/>
      <c r="G76" s="244">
        <f>V76+AN76+BF76+BX76+CP76</f>
        <v>0</v>
      </c>
      <c r="H76" s="704"/>
      <c r="I76" s="427"/>
      <c r="K76" s="963"/>
      <c r="L76" s="964"/>
      <c r="M76" s="963"/>
      <c r="N76" s="834"/>
      <c r="O76" s="914"/>
      <c r="P76" s="776"/>
      <c r="Q76" s="914"/>
      <c r="R76" s="776"/>
      <c r="S76" s="919"/>
      <c r="T76" s="822"/>
      <c r="U76" s="591"/>
      <c r="V76" s="592"/>
      <c r="W76" s="412"/>
      <c r="X76" s="413"/>
      <c r="Y76" s="921"/>
      <c r="Z76" s="824"/>
      <c r="AA76" s="921"/>
      <c r="AB76" s="824"/>
      <c r="AC76" s="921"/>
      <c r="AD76" s="824"/>
      <c r="AE76" s="921"/>
      <c r="AF76" s="824"/>
      <c r="AG76" s="921"/>
      <c r="AH76" s="824"/>
      <c r="AI76" s="921"/>
      <c r="AJ76" s="825"/>
      <c r="AK76" s="921"/>
      <c r="AL76" s="459"/>
      <c r="AM76" s="591"/>
      <c r="AN76" s="244">
        <v>0.0</v>
      </c>
      <c r="AO76" s="253"/>
      <c r="AP76" s="427"/>
      <c r="AQ76" s="921"/>
      <c r="AR76" s="822"/>
      <c r="AS76" s="921"/>
      <c r="AT76" s="822"/>
      <c r="AU76" s="921"/>
      <c r="AV76" s="776"/>
      <c r="AW76" s="921"/>
      <c r="AX76" s="776"/>
      <c r="AY76" s="921"/>
      <c r="AZ76" s="776"/>
      <c r="BA76" s="921"/>
      <c r="BB76" s="776"/>
      <c r="BC76" s="921"/>
      <c r="BD76" s="822"/>
      <c r="BE76" s="591"/>
      <c r="BF76" s="244">
        <v>0.0</v>
      </c>
      <c r="BG76" s="253"/>
      <c r="BH76" s="427"/>
      <c r="BI76" s="921"/>
      <c r="BJ76" s="710"/>
      <c r="BK76" s="921"/>
      <c r="BL76" s="465"/>
      <c r="BM76" s="921"/>
      <c r="BN76" s="716"/>
      <c r="BO76" s="921"/>
      <c r="BP76" s="716"/>
      <c r="BQ76" s="921"/>
      <c r="BR76" s="716"/>
      <c r="BS76" s="921"/>
      <c r="BT76" s="716"/>
      <c r="BU76" s="921"/>
      <c r="BV76" s="716"/>
      <c r="BW76" s="591"/>
      <c r="BX76" s="244">
        <v>0.0</v>
      </c>
      <c r="BY76" s="253"/>
      <c r="BZ76" s="427"/>
      <c r="CA76" s="921"/>
      <c r="CB76" s="710"/>
      <c r="CC76" s="921"/>
      <c r="CD76" s="710"/>
      <c r="CE76" s="921"/>
      <c r="CF76" s="710"/>
      <c r="CG76" s="921"/>
      <c r="CH76" s="710"/>
      <c r="CI76" s="921"/>
      <c r="CJ76" s="710"/>
      <c r="CK76" s="921"/>
      <c r="CL76" s="710"/>
      <c r="CM76" s="921"/>
      <c r="CN76" s="710"/>
      <c r="CO76" s="257"/>
      <c r="CP76" s="244">
        <v>0.0</v>
      </c>
      <c r="CQ76" s="253"/>
      <c r="CR76" s="427"/>
      <c r="CS76" s="842"/>
      <c r="CT76" s="875"/>
      <c r="CU76" s="842"/>
      <c r="CV76" s="875"/>
      <c r="CW76" s="875"/>
      <c r="CX76" s="875"/>
      <c r="CY76" s="875"/>
      <c r="CZ76" s="875"/>
      <c r="DA76" s="875"/>
      <c r="DB76" s="875"/>
      <c r="DC76" s="875"/>
      <c r="DD76" s="875"/>
      <c r="DE76" s="875"/>
      <c r="DF76" s="875"/>
      <c r="DG76" s="326"/>
      <c r="DH76" s="876"/>
      <c r="DI76" s="327"/>
      <c r="DJ76" s="329"/>
      <c r="DK76" s="875"/>
      <c r="DL76" s="926"/>
    </row>
    <row r="77">
      <c r="A77" s="965"/>
      <c r="B77" s="966" t="s">
        <v>41</v>
      </c>
      <c r="C77" s="967"/>
      <c r="D77" s="967"/>
      <c r="E77" s="968"/>
      <c r="F77" s="969"/>
      <c r="G77" s="969">
        <f>SUMIFS(O77:DJ77,$O$11:$DJ$11,"Факт",$O$3:$DJ$3,"&gt;"&amp;EOMONTH('Май'!date,-1),$O$3:$DJ$3,"&lt;="&amp;EOMONTH('Май'!date,0))</f>
        <v>0</v>
      </c>
      <c r="H77" s="970"/>
      <c r="I77" s="630"/>
      <c r="K77" s="963"/>
      <c r="L77" s="964"/>
      <c r="M77" s="963"/>
      <c r="N77" s="834"/>
      <c r="O77" s="973"/>
      <c r="P77" s="849"/>
      <c r="Q77" s="973"/>
      <c r="R77" s="849"/>
      <c r="S77" s="974"/>
      <c r="T77" s="975"/>
      <c r="U77" s="627"/>
      <c r="V77" s="628"/>
      <c r="W77" s="812"/>
      <c r="X77" s="976"/>
      <c r="Y77" s="974"/>
      <c r="Z77" s="977"/>
      <c r="AA77" s="974"/>
      <c r="AB77" s="977"/>
      <c r="AC77" s="974"/>
      <c r="AD77" s="977"/>
      <c r="AE77" s="974"/>
      <c r="AF77" s="977"/>
      <c r="AG77" s="974"/>
      <c r="AH77" s="977"/>
      <c r="AI77" s="974"/>
      <c r="AJ77" s="978"/>
      <c r="AK77" s="974"/>
      <c r="AL77" s="979"/>
      <c r="AM77" s="627"/>
      <c r="AN77" s="980">
        <v>0.0</v>
      </c>
      <c r="AO77" s="629"/>
      <c r="AP77" s="630"/>
      <c r="AQ77" s="974"/>
      <c r="AR77" s="975"/>
      <c r="AS77" s="974"/>
      <c r="AT77" s="975"/>
      <c r="AU77" s="974"/>
      <c r="AV77" s="849"/>
      <c r="AW77" s="974"/>
      <c r="AX77" s="849"/>
      <c r="AY77" s="974"/>
      <c r="AZ77" s="849"/>
      <c r="BA77" s="974"/>
      <c r="BB77" s="849"/>
      <c r="BC77" s="974"/>
      <c r="BD77" s="975"/>
      <c r="BE77" s="627"/>
      <c r="BF77" s="980">
        <v>0.0</v>
      </c>
      <c r="BG77" s="629"/>
      <c r="BH77" s="630"/>
      <c r="BI77" s="974"/>
      <c r="BJ77" s="981"/>
      <c r="BK77" s="974"/>
      <c r="BL77" s="982"/>
      <c r="BM77" s="974"/>
      <c r="BN77" s="982"/>
      <c r="BO77" s="974"/>
      <c r="BP77" s="982"/>
      <c r="BQ77" s="974"/>
      <c r="BR77" s="982"/>
      <c r="BS77" s="974"/>
      <c r="BT77" s="982"/>
      <c r="BU77" s="974"/>
      <c r="BV77" s="982"/>
      <c r="BW77" s="627"/>
      <c r="BX77" s="811"/>
      <c r="BY77" s="629"/>
      <c r="BZ77" s="630"/>
      <c r="CA77" s="974"/>
      <c r="CB77" s="981"/>
      <c r="CC77" s="974"/>
      <c r="CD77" s="981"/>
      <c r="CE77" s="974"/>
      <c r="CF77" s="981"/>
      <c r="CG77" s="974"/>
      <c r="CH77" s="1641"/>
      <c r="CI77" s="974"/>
      <c r="CJ77" s="981"/>
      <c r="CK77" s="974"/>
      <c r="CL77" s="981"/>
      <c r="CM77" s="974"/>
      <c r="CN77" s="981"/>
      <c r="CO77" s="1112"/>
      <c r="CP77" s="1113"/>
      <c r="CQ77" s="1114"/>
      <c r="CR77" s="1115"/>
      <c r="CS77" s="842"/>
      <c r="CT77" s="843"/>
      <c r="CU77" s="842"/>
      <c r="CV77" s="843"/>
      <c r="CW77" s="843"/>
      <c r="CX77" s="843"/>
      <c r="CY77" s="843"/>
      <c r="CZ77" s="843"/>
      <c r="DA77" s="843"/>
      <c r="DB77" s="843"/>
      <c r="DC77" s="843"/>
      <c r="DD77" s="843"/>
      <c r="DE77" s="843"/>
      <c r="DF77" s="843"/>
      <c r="DG77" s="289"/>
      <c r="DH77" s="844"/>
      <c r="DI77" s="310"/>
      <c r="DJ77" s="339"/>
      <c r="DK77" s="843"/>
      <c r="DL77" s="933"/>
    </row>
    <row r="78">
      <c r="A78" s="987" t="s">
        <v>58</v>
      </c>
      <c r="B78" s="988" t="s">
        <v>20</v>
      </c>
      <c r="C78" s="185"/>
      <c r="D78" s="185"/>
      <c r="E78" s="186"/>
      <c r="F78" s="989">
        <f t="shared" ref="F78:G78" si="219">F79/F94</f>
        <v>0.15</v>
      </c>
      <c r="G78" s="989" t="str">
        <f t="shared" si="219"/>
        <v>#DIV/0!</v>
      </c>
      <c r="H78" s="990" t="str">
        <f t="shared" ref="H78:H96" si="222">IFERROR(G78/F78,"")</f>
        <v/>
      </c>
      <c r="I78" s="991" t="str">
        <f>IFERROR(__xludf.DUMMYFUNCTION("IFERROR(SPARKLINE(H78,{""charttype"",""bar"";""color1"",IF(H78&gt;='Май'!green_percent,'Май'!green,IF(H78&gt;='Май'!yellow_percent,'Май'!yellow,IF(H78&gt;='Май'!orange_percent,'Май'!orange,'Май'!red)));""max"",1}))"),"")</f>
        <v/>
      </c>
      <c r="J78" s="884"/>
      <c r="K78" s="992"/>
      <c r="L78" s="886"/>
      <c r="M78" s="887"/>
      <c r="N78" s="888"/>
      <c r="O78" s="993">
        <f>O79/O94</f>
        <v>0.15</v>
      </c>
      <c r="P78" s="890"/>
      <c r="Q78" s="993">
        <v>0.15</v>
      </c>
      <c r="R78" s="890"/>
      <c r="S78" s="993">
        <v>0.15</v>
      </c>
      <c r="T78" s="995"/>
      <c r="U78" s="996">
        <f t="shared" ref="U78:V78" si="220">U79/U94</f>
        <v>0.15</v>
      </c>
      <c r="V78" s="989" t="str">
        <f t="shared" si="220"/>
        <v>#DIV/0!</v>
      </c>
      <c r="W78" s="997" t="str">
        <f t="shared" ref="W78:W96" si="223">IFERROR(V78/U78,"")</f>
        <v/>
      </c>
      <c r="X78" s="998" t="str">
        <f>IFERROR(__xludf.DUMMYFUNCTION("IFERROR(SPARKLINE(W78,{""charttype"",""bar"";""color1"",IF(W78&gt;='Май'!green_percent,'Май'!green,IF(W78&gt;='Май'!yellow_percent,'Май'!yellow,IF(W78&gt;='Май'!orange_percent,'Май'!orange,'Май'!red)));""max"",1}))"),"")</f>
        <v/>
      </c>
      <c r="Y78" s="993">
        <v>0.15</v>
      </c>
      <c r="Z78" s="1000"/>
      <c r="AA78" s="993">
        <v>0.15</v>
      </c>
      <c r="AB78" s="1000"/>
      <c r="AC78" s="993">
        <v>0.15</v>
      </c>
      <c r="AD78" s="1000"/>
      <c r="AE78" s="993">
        <v>0.15</v>
      </c>
      <c r="AF78" s="1000"/>
      <c r="AG78" s="993">
        <v>0.15</v>
      </c>
      <c r="AH78" s="1000"/>
      <c r="AI78" s="993">
        <v>0.15</v>
      </c>
      <c r="AJ78" s="1001"/>
      <c r="AK78" s="993">
        <v>0.15</v>
      </c>
      <c r="AL78" s="1002"/>
      <c r="AM78" s="996">
        <f t="shared" ref="AM78:AN78" si="221">AM79/AM94</f>
        <v>0.15</v>
      </c>
      <c r="AN78" s="996" t="str">
        <f t="shared" si="221"/>
        <v>#DIV/0!</v>
      </c>
      <c r="AO78" s="1004"/>
      <c r="AP78" s="1005"/>
      <c r="AQ78" s="993">
        <v>0.15</v>
      </c>
      <c r="AR78" s="995"/>
      <c r="AS78" s="993">
        <v>0.15</v>
      </c>
      <c r="AT78" s="995"/>
      <c r="AU78" s="993">
        <v>0.15</v>
      </c>
      <c r="AV78" s="890"/>
      <c r="AW78" s="993">
        <v>0.15</v>
      </c>
      <c r="AX78" s="890"/>
      <c r="AY78" s="993">
        <v>0.15</v>
      </c>
      <c r="AZ78" s="890"/>
      <c r="BA78" s="993">
        <v>0.15</v>
      </c>
      <c r="BB78" s="890"/>
      <c r="BC78" s="993">
        <v>0.15</v>
      </c>
      <c r="BD78" s="995"/>
      <c r="BE78" s="996">
        <f>BE79/BE94</f>
        <v>0.15</v>
      </c>
      <c r="BF78" s="1003"/>
      <c r="BG78" s="1004">
        <f t="shared" ref="BG78:BG96" si="224">IFERROR(BF78/BE78,"")</f>
        <v>0</v>
      </c>
      <c r="BH78" s="1005" t="str">
        <f>IFERROR(__xludf.DUMMYFUNCTION("IFERROR(SPARKLINE(BG78,{""charttype"",""bar"";""color1"",IF(BG78&gt;='Май'!green_percent,'Май'!green,IF(BG78&gt;='Май'!yellow_percent,'Май'!yellow,IF(BG78&gt;='Май'!orange_percent,'Май'!orange,'Май'!red)));""max"",1}))"),"")</f>
        <v/>
      </c>
      <c r="BI78" s="993">
        <v>0.15</v>
      </c>
      <c r="BJ78" s="1008"/>
      <c r="BK78" s="993">
        <v>0.15</v>
      </c>
      <c r="BL78" s="1009"/>
      <c r="BM78" s="993">
        <v>0.15</v>
      </c>
      <c r="BN78" s="1010"/>
      <c r="BO78" s="993">
        <v>0.15</v>
      </c>
      <c r="BP78" s="1010"/>
      <c r="BQ78" s="993">
        <v>0.15</v>
      </c>
      <c r="BR78" s="1010"/>
      <c r="BS78" s="993">
        <v>0.15</v>
      </c>
      <c r="BT78" s="1010"/>
      <c r="BU78" s="993">
        <v>0.15</v>
      </c>
      <c r="BV78" s="1010"/>
      <c r="BW78" s="996">
        <f>BW79/BW94</f>
        <v>0.15</v>
      </c>
      <c r="BX78" s="1003"/>
      <c r="BY78" s="1004">
        <f t="shared" ref="BY78:BY96" si="225">IFERROR(BX78/BW78,"")</f>
        <v>0</v>
      </c>
      <c r="BZ78" s="1005" t="str">
        <f>IFERROR(__xludf.DUMMYFUNCTION("IFERROR(SPARKLINE(BY78,{""charttype"",""bar"";""color1"",IF(BY78&gt;='Май'!green_percent,'Май'!green,IF(BY78&gt;='Май'!yellow_percent,'Май'!yellow,IF(BY78&gt;='Май'!orange_percent,'Май'!orange,'Май'!red)));""max"",1}))"),"")</f>
        <v/>
      </c>
      <c r="CA78" s="993">
        <v>0.15</v>
      </c>
      <c r="CB78" s="1008"/>
      <c r="CC78" s="993">
        <v>0.15</v>
      </c>
      <c r="CD78" s="1008"/>
      <c r="CE78" s="993">
        <v>0.15</v>
      </c>
      <c r="CF78" s="1008"/>
      <c r="CG78" s="993">
        <v>0.15</v>
      </c>
      <c r="CH78" s="1008"/>
      <c r="CI78" s="993">
        <v>0.15</v>
      </c>
      <c r="CJ78" s="1008"/>
      <c r="CK78" s="993">
        <v>0.15</v>
      </c>
      <c r="CL78" s="1008"/>
      <c r="CM78" s="993">
        <v>0.15</v>
      </c>
      <c r="CN78" s="1008"/>
      <c r="CO78" s="996">
        <f>CO79/CO94</f>
        <v>0.15</v>
      </c>
      <c r="CP78" s="1003"/>
      <c r="CQ78" s="1004">
        <f t="shared" ref="CQ78:CQ96" si="226">IFERROR(CP78/CO78,"")</f>
        <v>0</v>
      </c>
      <c r="CR78" s="1005" t="str">
        <f>IFERROR(__xludf.DUMMYFUNCTION("IFERROR(SPARKLINE(CQ78,{""charttype"",""bar"";""color1"",IF(CQ78&gt;='Май'!green_percent,'Май'!green,IF(CQ78&gt;='Май'!yellow_percent,'Май'!yellow,IF(CQ78&gt;='Май'!orange_percent,'Май'!orange,'Май'!red)));""max"",1}))"),"")</f>
        <v/>
      </c>
      <c r="CS78" s="924"/>
      <c r="CT78" s="244"/>
      <c r="CU78" s="905"/>
      <c r="CV78" s="1012"/>
      <c r="CW78" s="1012"/>
      <c r="CX78" s="1012"/>
      <c r="CY78" s="1012"/>
      <c r="CZ78" s="1012"/>
      <c r="DA78" s="1012"/>
      <c r="DB78" s="1012"/>
      <c r="DC78" s="1012"/>
      <c r="DD78" s="1012"/>
      <c r="DE78" s="1012"/>
      <c r="DF78" s="1012"/>
      <c r="DG78" s="1013"/>
      <c r="DH78" s="1014"/>
      <c r="DI78" s="1015"/>
      <c r="DJ78" s="1016"/>
      <c r="DK78" s="1012"/>
      <c r="DL78" s="1017"/>
    </row>
    <row r="79">
      <c r="A79" s="927"/>
      <c r="B79" s="928" t="s">
        <v>49</v>
      </c>
      <c r="C79" s="217"/>
      <c r="D79" s="217"/>
      <c r="E79" s="218"/>
      <c r="F79" s="270">
        <v>30000.0</v>
      </c>
      <c r="G79" s="270">
        <f t="shared" ref="G79:G83" si="227">V79+AN79+BF79+BX79+CP79</f>
        <v>0</v>
      </c>
      <c r="H79" s="543">
        <f t="shared" si="222"/>
        <v>0</v>
      </c>
      <c r="I79" s="462" t="str">
        <f>IFERROR(__xludf.DUMMYFUNCTION("IFERROR(SPARKLINE(H79,{""charttype"",""bar"";""color1"",IF(H79&gt;='Май'!green_percent,'Май'!green,IF(H79&gt;='Май'!yellow_percent,'Май'!yellow,IF(H79&gt;='Май'!orange_percent,'Май'!orange,'Май'!red)));""max"",1}))"),"")</f>
        <v/>
      </c>
      <c r="K79" s="419"/>
      <c r="L79" s="930"/>
      <c r="M79" s="1018"/>
      <c r="N79" s="773"/>
      <c r="O79" s="1018">
        <f t="shared" ref="O79:O83" si="228">F79/31</f>
        <v>967.7419355</v>
      </c>
      <c r="P79" s="786"/>
      <c r="Q79" s="1018">
        <v>967.741935483871</v>
      </c>
      <c r="R79" s="786"/>
      <c r="S79" s="1018">
        <v>967.741935483871</v>
      </c>
      <c r="T79" s="463"/>
      <c r="U79" s="277">
        <f t="shared" ref="U79:U83" si="229">O79+Q79+S79</f>
        <v>2903.225806</v>
      </c>
      <c r="V79" s="448">
        <v>0.0</v>
      </c>
      <c r="W79" s="219">
        <f t="shared" si="223"/>
        <v>0</v>
      </c>
      <c r="X79" s="1019" t="str">
        <f>IFERROR(__xludf.DUMMYFUNCTION("IFERROR(SPARKLINE(W79,{""charttype"",""bar"";""color1"",IF(W79&gt;='Май'!green_percent,'Май'!green,IF(W79&gt;='Май'!yellow_percent,'Май'!yellow,IF(W79&gt;='Май'!orange_percent,'Май'!orange,'Май'!red)));""max"",1}))"),"")</f>
        <v/>
      </c>
      <c r="Y79" s="1018">
        <v>967.741935483871</v>
      </c>
      <c r="Z79" s="824"/>
      <c r="AA79" s="1018">
        <v>967.741935483871</v>
      </c>
      <c r="AB79" s="824"/>
      <c r="AC79" s="1018">
        <v>967.741935483871</v>
      </c>
      <c r="AD79" s="824"/>
      <c r="AE79" s="1018">
        <v>967.741935483871</v>
      </c>
      <c r="AF79" s="824"/>
      <c r="AG79" s="1018">
        <v>967.741935483871</v>
      </c>
      <c r="AH79" s="824"/>
      <c r="AI79" s="1018">
        <v>967.741935483871</v>
      </c>
      <c r="AJ79" s="825"/>
      <c r="AK79" s="1018">
        <v>967.741935483871</v>
      </c>
      <c r="AL79" s="459"/>
      <c r="AM79" s="565">
        <f t="shared" ref="AM79:AM83" si="230">Y79+AA79+AC79+AE79+AG79+AI79+AK79</f>
        <v>6774.193548</v>
      </c>
      <c r="AN79" s="495">
        <v>0.0</v>
      </c>
      <c r="AO79" s="688">
        <f t="shared" ref="AO79:AO92" si="231">IFERROR(AN79/AM79,"")</f>
        <v>0</v>
      </c>
      <c r="AP79" s="689" t="str">
        <f>IFERROR(__xludf.DUMMYFUNCTION("IFERROR(SPARKLINE(AO79,{""charttype"",""bar"";""color1"",IF(AO79&gt;='Май'!green_percent,'Май'!green,IF(AO79&gt;='Май'!yellow_percent,'Май'!yellow,IF(AO79&gt;='Май'!orange_percent,'Май'!orange,'Май'!red)));""max"",1}))"),"")</f>
        <v/>
      </c>
      <c r="AQ79" s="1018">
        <v>967.741935483871</v>
      </c>
      <c r="AR79" s="463"/>
      <c r="AS79" s="1018">
        <v>967.741935483871</v>
      </c>
      <c r="AT79" s="463"/>
      <c r="AU79" s="1018">
        <v>967.741935483871</v>
      </c>
      <c r="AV79" s="776"/>
      <c r="AW79" s="1018">
        <v>967.741935483871</v>
      </c>
      <c r="AX79" s="776"/>
      <c r="AY79" s="1018">
        <v>967.741935483871</v>
      </c>
      <c r="AZ79" s="776"/>
      <c r="BA79" s="1018">
        <v>967.741935483871</v>
      </c>
      <c r="BB79" s="776"/>
      <c r="BC79" s="1018">
        <v>967.741935483871</v>
      </c>
      <c r="BD79" s="463"/>
      <c r="BE79" s="565">
        <f t="shared" ref="BE79:BE83" si="232">AQ79+AS79+AU79+AW79+AY79+BA79+BC79</f>
        <v>6774.193548</v>
      </c>
      <c r="BF79" s="495">
        <v>0.0</v>
      </c>
      <c r="BG79" s="279">
        <f t="shared" si="224"/>
        <v>0</v>
      </c>
      <c r="BH79" s="462" t="str">
        <f>IFERROR(__xludf.DUMMYFUNCTION("IFERROR(SPARKLINE(BG79,{""charttype"",""bar"";""color1"",IF(BG79&gt;='Май'!green_percent,'Май'!green,IF(BG79&gt;='Май'!yellow_percent,'Май'!yellow,IF(BG79&gt;='Май'!orange_percent,'Май'!orange,'Май'!red)));""max"",1}))"),"")</f>
        <v/>
      </c>
      <c r="BI79" s="1018">
        <v>967.741935483871</v>
      </c>
      <c r="BJ79" s="466"/>
      <c r="BK79" s="1018">
        <v>967.741935483871</v>
      </c>
      <c r="BL79" s="465"/>
      <c r="BM79" s="1018">
        <v>967.741935483871</v>
      </c>
      <c r="BN79" s="465"/>
      <c r="BO79" s="1018">
        <v>967.741935483871</v>
      </c>
      <c r="BP79" s="465"/>
      <c r="BQ79" s="1018">
        <v>967.741935483871</v>
      </c>
      <c r="BR79" s="465"/>
      <c r="BS79" s="1018">
        <v>967.741935483871</v>
      </c>
      <c r="BT79" s="465"/>
      <c r="BU79" s="1018">
        <v>967.741935483871</v>
      </c>
      <c r="BV79" s="465"/>
      <c r="BW79" s="565">
        <f t="shared" ref="BW79:BW83" si="233">BI79+BK79+BM79+BO79+BQ79+BS79+BU79</f>
        <v>6774.193548</v>
      </c>
      <c r="BX79" s="495">
        <v>0.0</v>
      </c>
      <c r="BY79" s="279">
        <f t="shared" si="225"/>
        <v>0</v>
      </c>
      <c r="BZ79" s="462" t="str">
        <f>IFERROR(__xludf.DUMMYFUNCTION("IFERROR(SPARKLINE(BY79,{""charttype"",""bar"";""color1"",IF(BY79&gt;='Май'!green_percent,'Май'!green,IF(BY79&gt;='Май'!yellow_percent,'Май'!yellow,IF(BY79&gt;='Май'!orange_percent,'Май'!orange,'Май'!red)));""max"",1}))"),"")</f>
        <v/>
      </c>
      <c r="CA79" s="1018">
        <v>967.741935483871</v>
      </c>
      <c r="CB79" s="466"/>
      <c r="CC79" s="1018">
        <v>967.741935483871</v>
      </c>
      <c r="CD79" s="466"/>
      <c r="CE79" s="1018">
        <v>967.741935483871</v>
      </c>
      <c r="CF79" s="466"/>
      <c r="CG79" s="1018">
        <v>967.741935483871</v>
      </c>
      <c r="CH79" s="466"/>
      <c r="CI79" s="1018">
        <v>967.741935483871</v>
      </c>
      <c r="CJ79" s="466"/>
      <c r="CK79" s="1018">
        <v>967.741935483871</v>
      </c>
      <c r="CL79" s="466"/>
      <c r="CM79" s="1018">
        <v>967.741935483871</v>
      </c>
      <c r="CN79" s="466"/>
      <c r="CO79" s="565">
        <f t="shared" ref="CO79:CO83" si="234">CA79+CC79+CE79+CG79+CI79+CK79+CM79</f>
        <v>6774.193548</v>
      </c>
      <c r="CP79" s="495"/>
      <c r="CQ79" s="279">
        <f t="shared" si="226"/>
        <v>0</v>
      </c>
      <c r="CR79" s="462" t="str">
        <f>IFERROR(__xludf.DUMMYFUNCTION("IFERROR(SPARKLINE(CQ79,{""charttype"",""bar"";""color1"",IF(CQ79&gt;='Май'!green_percent,'Май'!green,IF(CQ79&gt;='Май'!yellow_percent,'Май'!yellow,IF(CQ79&gt;='Май'!orange_percent,'Май'!orange,'Май'!red)));""max"",1}))"),"")</f>
        <v/>
      </c>
      <c r="CS79" s="924"/>
      <c r="CT79" s="448"/>
      <c r="CU79" s="842"/>
      <c r="CV79" s="843"/>
      <c r="CW79" s="843"/>
      <c r="CX79" s="843"/>
      <c r="CY79" s="843"/>
      <c r="CZ79" s="843"/>
      <c r="DA79" s="843"/>
      <c r="DB79" s="843"/>
      <c r="DC79" s="843"/>
      <c r="DD79" s="843"/>
      <c r="DE79" s="843"/>
      <c r="DF79" s="843"/>
      <c r="DG79" s="289"/>
      <c r="DH79" s="844"/>
      <c r="DI79" s="310"/>
      <c r="DJ79" s="339"/>
      <c r="DK79" s="843"/>
      <c r="DL79" s="933"/>
    </row>
    <row r="80">
      <c r="A80" s="912"/>
      <c r="B80" s="913" t="s">
        <v>59</v>
      </c>
      <c r="C80" s="242"/>
      <c r="D80" s="242"/>
      <c r="E80" s="243"/>
      <c r="F80" s="244">
        <v>20000.0</v>
      </c>
      <c r="G80" s="244">
        <f t="shared" si="227"/>
        <v>18513</v>
      </c>
      <c r="H80" s="704">
        <f t="shared" si="222"/>
        <v>0.92565</v>
      </c>
      <c r="I80" s="427" t="str">
        <f>IFERROR(__xludf.DUMMYFUNCTION("IFERROR(SPARKLINE(H80,{""charttype"",""bar"";""color1"",IF(H80&gt;='Май'!green_percent,'Май'!green,IF(H80&gt;='Май'!yellow_percent,'Май'!yellow,IF(H80&gt;='Май'!orange_percent,'Май'!orange,'Май'!red)));""max"",1}))"),"")</f>
        <v/>
      </c>
      <c r="K80" s="1020"/>
      <c r="L80" s="930"/>
      <c r="M80" s="929"/>
      <c r="N80" s="773"/>
      <c r="O80" s="929">
        <f t="shared" si="228"/>
        <v>645.1612903</v>
      </c>
      <c r="P80" s="776"/>
      <c r="Q80" s="929">
        <v>322.5806451612903</v>
      </c>
      <c r="R80" s="776"/>
      <c r="S80" s="929">
        <v>322.5806451612903</v>
      </c>
      <c r="T80" s="822"/>
      <c r="U80" s="535">
        <f t="shared" si="229"/>
        <v>1290.322581</v>
      </c>
      <c r="V80" s="244">
        <v>3428.0</v>
      </c>
      <c r="W80" s="412">
        <f t="shared" si="223"/>
        <v>2.6567</v>
      </c>
      <c r="X80" s="413" t="str">
        <f>IFERROR(__xludf.DUMMYFUNCTION("IFERROR(SPARKLINE(W80,{""charttype"",""bar"";""color1"",IF(W80&gt;='Май'!green_percent,'Май'!green,IF(W80&gt;='Май'!yellow_percent,'Май'!yellow,IF(W80&gt;='Май'!orange_percent,'Май'!orange,'Май'!red)));""max"",1}))"),"")</f>
        <v/>
      </c>
      <c r="Y80" s="929">
        <v>322.5806451612903</v>
      </c>
      <c r="Z80" s="824"/>
      <c r="AA80" s="929">
        <v>322.5806451612903</v>
      </c>
      <c r="AB80" s="824"/>
      <c r="AC80" s="929">
        <v>322.5806451612903</v>
      </c>
      <c r="AD80" s="824"/>
      <c r="AE80" s="929">
        <v>322.5806451612903</v>
      </c>
      <c r="AF80" s="824"/>
      <c r="AG80" s="929">
        <v>322.5806451612903</v>
      </c>
      <c r="AH80" s="824"/>
      <c r="AI80" s="929">
        <v>322.5806451612903</v>
      </c>
      <c r="AJ80" s="825"/>
      <c r="AK80" s="929">
        <v>322.5806451612903</v>
      </c>
      <c r="AL80" s="459"/>
      <c r="AM80" s="255">
        <f t="shared" si="230"/>
        <v>2258.064516</v>
      </c>
      <c r="AN80" s="244">
        <v>1012.0</v>
      </c>
      <c r="AO80" s="253">
        <f t="shared" si="231"/>
        <v>0.4481714286</v>
      </c>
      <c r="AP80" s="427" t="str">
        <f>IFERROR(__xludf.DUMMYFUNCTION("IFERROR(SPARKLINE(AO80,{""charttype"",""bar"";""color1"",IF(AO80&gt;='Май'!green_percent,'Май'!green,IF(AO80&gt;='Май'!yellow_percent,'Май'!yellow,IF(AO80&gt;='Май'!orange_percent,'Май'!orange,'Май'!red)));""max"",1}))"),"")</f>
        <v/>
      </c>
      <c r="AQ80" s="929">
        <v>322.5806451612903</v>
      </c>
      <c r="AR80" s="822"/>
      <c r="AS80" s="929">
        <v>322.5806451612903</v>
      </c>
      <c r="AT80" s="822"/>
      <c r="AU80" s="929">
        <v>322.5806451612903</v>
      </c>
      <c r="AV80" s="776"/>
      <c r="AW80" s="929">
        <v>322.5806451612903</v>
      </c>
      <c r="AX80" s="776"/>
      <c r="AY80" s="929">
        <v>322.5806451612903</v>
      </c>
      <c r="AZ80" s="776"/>
      <c r="BA80" s="929">
        <v>322.5806451612903</v>
      </c>
      <c r="BB80" s="776"/>
      <c r="BC80" s="929">
        <v>322.5806451612903</v>
      </c>
      <c r="BD80" s="822"/>
      <c r="BE80" s="255">
        <f t="shared" si="232"/>
        <v>2258.064516</v>
      </c>
      <c r="BF80" s="244">
        <v>13456.0</v>
      </c>
      <c r="BG80" s="253">
        <f t="shared" si="224"/>
        <v>5.959085714</v>
      </c>
      <c r="BH80" s="427" t="str">
        <f>IFERROR(__xludf.DUMMYFUNCTION("IFERROR(SPARKLINE(BG80,{""charttype"",""bar"";""color1"",IF(BG80&gt;='Май'!green_percent,'Май'!green,IF(BG80&gt;='Май'!yellow_percent,'Май'!yellow,IF(BG80&gt;='Май'!orange_percent,'Май'!orange,'Май'!red)));""max"",1}))"),"")</f>
        <v/>
      </c>
      <c r="BI80" s="929">
        <v>322.5806451612903</v>
      </c>
      <c r="BJ80" s="710"/>
      <c r="BK80" s="929">
        <v>322.5806451612903</v>
      </c>
      <c r="BL80" s="465"/>
      <c r="BM80" s="929">
        <v>322.5806451612903</v>
      </c>
      <c r="BN80" s="716"/>
      <c r="BO80" s="929">
        <v>322.5806451612903</v>
      </c>
      <c r="BP80" s="716"/>
      <c r="BQ80" s="929">
        <v>322.5806451612903</v>
      </c>
      <c r="BR80" s="716"/>
      <c r="BS80" s="929">
        <v>322.5806451612903</v>
      </c>
      <c r="BT80" s="716"/>
      <c r="BU80" s="929">
        <v>322.5806451612903</v>
      </c>
      <c r="BV80" s="716"/>
      <c r="BW80" s="255">
        <f t="shared" si="233"/>
        <v>2258.064516</v>
      </c>
      <c r="BX80" s="244">
        <v>617.0</v>
      </c>
      <c r="BY80" s="253">
        <f t="shared" si="225"/>
        <v>0.2732428571</v>
      </c>
      <c r="BZ80" s="427" t="str">
        <f>IFERROR(__xludf.DUMMYFUNCTION("IFERROR(SPARKLINE(BY80,{""charttype"",""bar"";""color1"",IF(BY80&gt;='Май'!green_percent,'Май'!green,IF(BY80&gt;='Май'!yellow_percent,'Май'!yellow,IF(BY80&gt;='Май'!orange_percent,'Май'!orange,'Май'!red)));""max"",1}))"),"")</f>
        <v/>
      </c>
      <c r="CA80" s="929">
        <v>322.5806451612903</v>
      </c>
      <c r="CB80" s="710"/>
      <c r="CC80" s="929">
        <v>322.5806451612903</v>
      </c>
      <c r="CD80" s="710"/>
      <c r="CE80" s="929">
        <v>322.5806451612903</v>
      </c>
      <c r="CF80" s="710"/>
      <c r="CG80" s="929">
        <v>322.5806451612903</v>
      </c>
      <c r="CH80" s="710"/>
      <c r="CI80" s="929">
        <v>322.5806451612903</v>
      </c>
      <c r="CJ80" s="710"/>
      <c r="CK80" s="929">
        <v>322.5806451612903</v>
      </c>
      <c r="CL80" s="710"/>
      <c r="CM80" s="929">
        <v>322.5806451612903</v>
      </c>
      <c r="CN80" s="710"/>
      <c r="CO80" s="255">
        <f t="shared" si="234"/>
        <v>2258.064516</v>
      </c>
      <c r="CP80" s="244"/>
      <c r="CQ80" s="253">
        <f t="shared" si="226"/>
        <v>0</v>
      </c>
      <c r="CR80" s="427" t="str">
        <f>IFERROR(__xludf.DUMMYFUNCTION("IFERROR(SPARKLINE(CQ80,{""charttype"",""bar"";""color1"",IF(CQ80&gt;='Май'!green_percent,'Май'!green,IF(CQ80&gt;='Май'!yellow_percent,'Май'!yellow,IF(CQ80&gt;='Май'!orange_percent,'Май'!orange,'Май'!red)));""max"",1}))"),"")</f>
        <v/>
      </c>
      <c r="CS80" s="924"/>
      <c r="CT80" s="244"/>
      <c r="CU80" s="842"/>
      <c r="CV80" s="875"/>
      <c r="CW80" s="875"/>
      <c r="CX80" s="875"/>
      <c r="CY80" s="875"/>
      <c r="CZ80" s="875"/>
      <c r="DA80" s="875"/>
      <c r="DB80" s="875"/>
      <c r="DC80" s="875"/>
      <c r="DD80" s="875"/>
      <c r="DE80" s="875"/>
      <c r="DF80" s="875"/>
      <c r="DG80" s="326"/>
      <c r="DH80" s="876"/>
      <c r="DI80" s="327"/>
      <c r="DJ80" s="329"/>
      <c r="DK80" s="875"/>
      <c r="DL80" s="926"/>
    </row>
    <row r="81">
      <c r="A81" s="927"/>
      <c r="B81" s="928" t="s">
        <v>60</v>
      </c>
      <c r="C81" s="217"/>
      <c r="D81" s="217"/>
      <c r="E81" s="218"/>
      <c r="F81" s="448">
        <v>15.0</v>
      </c>
      <c r="G81" s="448">
        <f t="shared" si="227"/>
        <v>9</v>
      </c>
      <c r="H81" s="543">
        <f t="shared" si="222"/>
        <v>0.6</v>
      </c>
      <c r="I81" s="462" t="str">
        <f>IFERROR(__xludf.DUMMYFUNCTION("IFERROR(SPARKLINE(H81,{""charttype"",""bar"";""color1"",IF(H81&gt;='Май'!green_percent,'Май'!green,IF(H81&gt;='Май'!yellow_percent,'Май'!yellow,IF(H81&gt;='Май'!orange_percent,'Май'!orange,'Май'!red)));""max"",1}))"),"")</f>
        <v/>
      </c>
      <c r="K81" s="282"/>
      <c r="L81" s="930"/>
      <c r="M81" s="929"/>
      <c r="N81" s="773"/>
      <c r="O81" s="932">
        <f t="shared" si="228"/>
        <v>0.4838709677</v>
      </c>
      <c r="P81" s="776"/>
      <c r="Q81" s="932">
        <v>0.4838709677419355</v>
      </c>
      <c r="R81" s="776"/>
      <c r="S81" s="932">
        <v>0.4838709677419355</v>
      </c>
      <c r="T81" s="463"/>
      <c r="U81" s="460">
        <f t="shared" si="229"/>
        <v>1.451612903</v>
      </c>
      <c r="V81" s="448">
        <v>1.0</v>
      </c>
      <c r="W81" s="220">
        <f t="shared" si="223"/>
        <v>0.6888888889</v>
      </c>
      <c r="X81" s="449" t="str">
        <f>IFERROR(__xludf.DUMMYFUNCTION("IFERROR(SPARKLINE(W81,{""charttype"",""bar"";""color1"",IF(W81&gt;='Май'!green_percent,'Май'!green,IF(W81&gt;='Май'!yellow_percent,'Май'!yellow,IF(W81&gt;='Май'!orange_percent,'Май'!orange,'Май'!red)));""max"",1}))"),"")</f>
        <v/>
      </c>
      <c r="Y81" s="932">
        <v>0.4838709677419355</v>
      </c>
      <c r="Z81" s="824"/>
      <c r="AA81" s="932">
        <v>0.4838709677419355</v>
      </c>
      <c r="AB81" s="824"/>
      <c r="AC81" s="932">
        <v>0.4838709677419355</v>
      </c>
      <c r="AD81" s="824"/>
      <c r="AE81" s="932">
        <v>0.4838709677419355</v>
      </c>
      <c r="AF81" s="824"/>
      <c r="AG81" s="932">
        <v>0.4838709677419355</v>
      </c>
      <c r="AH81" s="824"/>
      <c r="AI81" s="932">
        <v>0.4838709677419355</v>
      </c>
      <c r="AJ81" s="825"/>
      <c r="AK81" s="932">
        <v>0.4838709677419355</v>
      </c>
      <c r="AL81" s="459"/>
      <c r="AM81" s="349">
        <f t="shared" si="230"/>
        <v>3.387096774</v>
      </c>
      <c r="AN81" s="448">
        <v>2.0</v>
      </c>
      <c r="AO81" s="279">
        <f t="shared" si="231"/>
        <v>0.5904761905</v>
      </c>
      <c r="AP81" s="462" t="str">
        <f>IFERROR(__xludf.DUMMYFUNCTION("IFERROR(SPARKLINE(AO81,{""charttype"",""bar"";""color1"",IF(AO81&gt;='Май'!green_percent,'Май'!green,IF(AO81&gt;='Май'!yellow_percent,'Май'!yellow,IF(AO81&gt;='Май'!orange_percent,'Май'!orange,'Май'!red)));""max"",1}))"),"")</f>
        <v/>
      </c>
      <c r="AQ81" s="932">
        <v>0.4838709677419355</v>
      </c>
      <c r="AR81" s="463"/>
      <c r="AS81" s="932">
        <v>0.4838709677419355</v>
      </c>
      <c r="AT81" s="463"/>
      <c r="AU81" s="932">
        <v>0.4838709677419355</v>
      </c>
      <c r="AV81" s="776"/>
      <c r="AW81" s="932">
        <v>0.4838709677419355</v>
      </c>
      <c r="AX81" s="776"/>
      <c r="AY81" s="932">
        <v>0.4838709677419355</v>
      </c>
      <c r="AZ81" s="776"/>
      <c r="BA81" s="932">
        <v>0.4838709677419355</v>
      </c>
      <c r="BB81" s="776"/>
      <c r="BC81" s="932">
        <v>0.4838709677419355</v>
      </c>
      <c r="BD81" s="463"/>
      <c r="BE81" s="349">
        <f t="shared" si="232"/>
        <v>3.387096774</v>
      </c>
      <c r="BF81" s="448">
        <v>3.0</v>
      </c>
      <c r="BG81" s="279">
        <f t="shared" si="224"/>
        <v>0.8857142857</v>
      </c>
      <c r="BH81" s="462" t="str">
        <f>IFERROR(__xludf.DUMMYFUNCTION("IFERROR(SPARKLINE(BG81,{""charttype"",""bar"";""color1"",IF(BG81&gt;='Май'!green_percent,'Май'!green,IF(BG81&gt;='Май'!yellow_percent,'Май'!yellow,IF(BG81&gt;='Май'!orange_percent,'Май'!orange,'Май'!red)));""max"",1}))"),"")</f>
        <v/>
      </c>
      <c r="BI81" s="932">
        <v>0.4838709677419355</v>
      </c>
      <c r="BJ81" s="466"/>
      <c r="BK81" s="932">
        <v>0.4838709677419355</v>
      </c>
      <c r="BL81" s="465"/>
      <c r="BM81" s="932">
        <v>0.4838709677419355</v>
      </c>
      <c r="BN81" s="465"/>
      <c r="BO81" s="932">
        <v>0.4838709677419355</v>
      </c>
      <c r="BP81" s="465"/>
      <c r="BQ81" s="932">
        <v>0.4838709677419355</v>
      </c>
      <c r="BR81" s="465"/>
      <c r="BS81" s="932">
        <v>0.4838709677419355</v>
      </c>
      <c r="BT81" s="465"/>
      <c r="BU81" s="932">
        <v>0.4838709677419355</v>
      </c>
      <c r="BV81" s="465"/>
      <c r="BW81" s="349">
        <f t="shared" si="233"/>
        <v>3.387096774</v>
      </c>
      <c r="BX81" s="448">
        <v>3.0</v>
      </c>
      <c r="BY81" s="279">
        <f t="shared" si="225"/>
        <v>0.8857142857</v>
      </c>
      <c r="BZ81" s="462" t="str">
        <f>IFERROR(__xludf.DUMMYFUNCTION("IFERROR(SPARKLINE(BY81,{""charttype"",""bar"";""color1"",IF(BY81&gt;='Май'!green_percent,'Май'!green,IF(BY81&gt;='Май'!yellow_percent,'Май'!yellow,IF(BY81&gt;='Май'!orange_percent,'Май'!orange,'Май'!red)));""max"",1}))"),"")</f>
        <v/>
      </c>
      <c r="CA81" s="932">
        <v>0.4838709677419355</v>
      </c>
      <c r="CB81" s="466"/>
      <c r="CC81" s="932">
        <v>0.4838709677419355</v>
      </c>
      <c r="CD81" s="466"/>
      <c r="CE81" s="932">
        <v>0.4838709677419355</v>
      </c>
      <c r="CF81" s="466"/>
      <c r="CG81" s="932">
        <v>0.4838709677419355</v>
      </c>
      <c r="CH81" s="466"/>
      <c r="CI81" s="932">
        <v>0.4838709677419355</v>
      </c>
      <c r="CJ81" s="466"/>
      <c r="CK81" s="932">
        <v>0.4838709677419355</v>
      </c>
      <c r="CL81" s="466"/>
      <c r="CM81" s="932">
        <v>0.4838709677419355</v>
      </c>
      <c r="CN81" s="466"/>
      <c r="CO81" s="349">
        <f t="shared" si="234"/>
        <v>3.387096774</v>
      </c>
      <c r="CP81" s="448"/>
      <c r="CQ81" s="279">
        <f t="shared" si="226"/>
        <v>0</v>
      </c>
      <c r="CR81" s="462" t="str">
        <f>IFERROR(__xludf.DUMMYFUNCTION("IFERROR(SPARKLINE(CQ81,{""charttype"",""bar"";""color1"",IF(CQ81&gt;='Май'!green_percent,'Май'!green,IF(CQ81&gt;='Май'!yellow_percent,'Май'!yellow,IF(CQ81&gt;='Май'!orange_percent,'Май'!orange,'Май'!red)));""max"",1}))"),"")</f>
        <v/>
      </c>
      <c r="CS81" s="924"/>
      <c r="CT81" s="448"/>
      <c r="CU81" s="842"/>
      <c r="CV81" s="843"/>
      <c r="CW81" s="843"/>
      <c r="CX81" s="843"/>
      <c r="CY81" s="843"/>
      <c r="CZ81" s="843"/>
      <c r="DA81" s="843"/>
      <c r="DB81" s="843"/>
      <c r="DC81" s="843"/>
      <c r="DD81" s="843"/>
      <c r="DE81" s="843"/>
      <c r="DF81" s="843"/>
      <c r="DG81" s="289"/>
      <c r="DH81" s="844"/>
      <c r="DI81" s="310"/>
      <c r="DJ81" s="339"/>
      <c r="DK81" s="843"/>
      <c r="DL81" s="933"/>
    </row>
    <row r="82">
      <c r="A82" s="912"/>
      <c r="B82" s="937" t="s">
        <v>52</v>
      </c>
      <c r="C82" s="242"/>
      <c r="D82" s="242"/>
      <c r="E82" s="243"/>
      <c r="F82" s="244">
        <v>100000.0</v>
      </c>
      <c r="G82" s="244">
        <f t="shared" si="227"/>
        <v>7000</v>
      </c>
      <c r="H82" s="704">
        <f t="shared" si="222"/>
        <v>0.07</v>
      </c>
      <c r="I82" s="427" t="str">
        <f>IFERROR(__xludf.DUMMYFUNCTION("IFERROR(SPARKLINE(H82,{""charttype"",""bar"";""color1"",IF(H82&gt;='Май'!green_percent,'Май'!green,IF(H82&gt;='Май'!yellow_percent,'Май'!yellow,IF(H82&gt;='Май'!orange_percent,'Май'!orange,'Май'!red)));""max"",1}))"),"")</f>
        <v/>
      </c>
      <c r="K82" s="1020"/>
      <c r="L82" s="930"/>
      <c r="M82" s="929"/>
      <c r="N82" s="773"/>
      <c r="O82" s="929">
        <f t="shared" si="228"/>
        <v>3225.806452</v>
      </c>
      <c r="P82" s="776"/>
      <c r="Q82" s="929">
        <v>806.4516129032259</v>
      </c>
      <c r="R82" s="776"/>
      <c r="S82" s="929">
        <v>806.4516129032259</v>
      </c>
      <c r="T82" s="822"/>
      <c r="U82" s="535">
        <f t="shared" si="229"/>
        <v>4838.709677</v>
      </c>
      <c r="V82" s="244">
        <v>0.0</v>
      </c>
      <c r="W82" s="412">
        <f t="shared" si="223"/>
        <v>0</v>
      </c>
      <c r="X82" s="413" t="str">
        <f>IFERROR(__xludf.DUMMYFUNCTION("IFERROR(SPARKLINE(W82,{""charttype"",""bar"";""color1"",IF(W82&gt;='Май'!green_percent,'Май'!green,IF(W82&gt;='Май'!yellow_percent,'Май'!yellow,IF(W82&gt;='Май'!orange_percent,'Май'!orange,'Май'!red)));""max"",1}))"),"")</f>
        <v/>
      </c>
      <c r="Y82" s="929">
        <v>806.4516129032259</v>
      </c>
      <c r="Z82" s="824"/>
      <c r="AA82" s="929">
        <v>806.4516129032259</v>
      </c>
      <c r="AB82" s="824"/>
      <c r="AC82" s="929">
        <v>806.4516129032259</v>
      </c>
      <c r="AD82" s="824"/>
      <c r="AE82" s="929">
        <v>806.4516129032259</v>
      </c>
      <c r="AF82" s="824"/>
      <c r="AG82" s="929">
        <v>806.4516129032259</v>
      </c>
      <c r="AH82" s="824"/>
      <c r="AI82" s="929">
        <v>806.4516129032259</v>
      </c>
      <c r="AJ82" s="825"/>
      <c r="AK82" s="929">
        <v>806.4516129032259</v>
      </c>
      <c r="AL82" s="459"/>
      <c r="AM82" s="255">
        <f t="shared" si="230"/>
        <v>5645.16129</v>
      </c>
      <c r="AN82" s="244">
        <v>0.0</v>
      </c>
      <c r="AO82" s="253">
        <f t="shared" si="231"/>
        <v>0</v>
      </c>
      <c r="AP82" s="427" t="str">
        <f>IFERROR(__xludf.DUMMYFUNCTION("IFERROR(SPARKLINE(AO82,{""charttype"",""bar"";""color1"",IF(AO82&gt;='Май'!green_percent,'Май'!green,IF(AO82&gt;='Май'!yellow_percent,'Май'!yellow,IF(AO82&gt;='Май'!orange_percent,'Май'!orange,'Май'!red)));""max"",1}))"),"")</f>
        <v/>
      </c>
      <c r="AQ82" s="929">
        <v>806.4516129032259</v>
      </c>
      <c r="AR82" s="822"/>
      <c r="AS82" s="929">
        <v>806.4516129032259</v>
      </c>
      <c r="AT82" s="822"/>
      <c r="AU82" s="929">
        <v>806.4516129032259</v>
      </c>
      <c r="AV82" s="776"/>
      <c r="AW82" s="929">
        <v>806.4516129032259</v>
      </c>
      <c r="AX82" s="776"/>
      <c r="AY82" s="929">
        <v>806.4516129032259</v>
      </c>
      <c r="AZ82" s="776"/>
      <c r="BA82" s="929">
        <v>806.4516129032259</v>
      </c>
      <c r="BB82" s="776"/>
      <c r="BC82" s="929">
        <v>806.4516129032259</v>
      </c>
      <c r="BD82" s="822"/>
      <c r="BE82" s="255">
        <f t="shared" si="232"/>
        <v>5645.16129</v>
      </c>
      <c r="BF82" s="244">
        <v>7000.0</v>
      </c>
      <c r="BG82" s="253">
        <f t="shared" si="224"/>
        <v>1.24</v>
      </c>
      <c r="BH82" s="427" t="str">
        <f>IFERROR(__xludf.DUMMYFUNCTION("IFERROR(SPARKLINE(BG82,{""charttype"",""bar"";""color1"",IF(BG82&gt;='Май'!green_percent,'Май'!green,IF(BG82&gt;='Май'!yellow_percent,'Май'!yellow,IF(BG82&gt;='Май'!orange_percent,'Май'!orange,'Май'!red)));""max"",1}))"),"")</f>
        <v/>
      </c>
      <c r="BI82" s="929">
        <v>806.4516129032259</v>
      </c>
      <c r="BJ82" s="710"/>
      <c r="BK82" s="929">
        <v>806.4516129032259</v>
      </c>
      <c r="BL82" s="465"/>
      <c r="BM82" s="929">
        <v>806.4516129032259</v>
      </c>
      <c r="BN82" s="716"/>
      <c r="BO82" s="929">
        <v>806.4516129032259</v>
      </c>
      <c r="BP82" s="716"/>
      <c r="BQ82" s="929">
        <v>806.4516129032259</v>
      </c>
      <c r="BR82" s="716"/>
      <c r="BS82" s="929">
        <v>806.4516129032259</v>
      </c>
      <c r="BT82" s="716"/>
      <c r="BU82" s="929">
        <v>806.4516129032259</v>
      </c>
      <c r="BV82" s="716"/>
      <c r="BW82" s="255">
        <f t="shared" si="233"/>
        <v>5645.16129</v>
      </c>
      <c r="BX82" s="244">
        <v>0.0</v>
      </c>
      <c r="BY82" s="253">
        <f t="shared" si="225"/>
        <v>0</v>
      </c>
      <c r="BZ82" s="427" t="str">
        <f>IFERROR(__xludf.DUMMYFUNCTION("IFERROR(SPARKLINE(BY82,{""charttype"",""bar"";""color1"",IF(BY82&gt;='Май'!green_percent,'Май'!green,IF(BY82&gt;='Май'!yellow_percent,'Май'!yellow,IF(BY82&gt;='Май'!orange_percent,'Май'!orange,'Май'!red)));""max"",1}))"),"")</f>
        <v/>
      </c>
      <c r="CA82" s="929">
        <v>806.4516129032259</v>
      </c>
      <c r="CB82" s="710"/>
      <c r="CC82" s="929">
        <v>806.4516129032259</v>
      </c>
      <c r="CD82" s="710"/>
      <c r="CE82" s="929">
        <v>806.4516129032259</v>
      </c>
      <c r="CF82" s="710"/>
      <c r="CG82" s="929">
        <v>806.4516129032259</v>
      </c>
      <c r="CH82" s="710"/>
      <c r="CI82" s="929">
        <v>806.4516129032259</v>
      </c>
      <c r="CJ82" s="710"/>
      <c r="CK82" s="929">
        <v>806.4516129032259</v>
      </c>
      <c r="CL82" s="710"/>
      <c r="CM82" s="929">
        <v>806.4516129032259</v>
      </c>
      <c r="CN82" s="710"/>
      <c r="CO82" s="255">
        <f t="shared" si="234"/>
        <v>5645.16129</v>
      </c>
      <c r="CP82" s="244"/>
      <c r="CQ82" s="253">
        <f t="shared" si="226"/>
        <v>0</v>
      </c>
      <c r="CR82" s="427" t="str">
        <f>IFERROR(__xludf.DUMMYFUNCTION("IFERROR(SPARKLINE(CQ82,{""charttype"",""bar"";""color1"",IF(CQ82&gt;='Май'!green_percent,'Май'!green,IF(CQ82&gt;='Май'!yellow_percent,'Май'!yellow,IF(CQ82&gt;='Май'!orange_percent,'Май'!orange,'Май'!red)));""max"",1}))"),"")</f>
        <v/>
      </c>
      <c r="CS82" s="924"/>
      <c r="CT82" s="244"/>
      <c r="CU82" s="842"/>
      <c r="CV82" s="875"/>
      <c r="CW82" s="875"/>
      <c r="CX82" s="875"/>
      <c r="CY82" s="875"/>
      <c r="CZ82" s="875"/>
      <c r="DA82" s="875"/>
      <c r="DB82" s="875"/>
      <c r="DC82" s="875"/>
      <c r="DD82" s="875"/>
      <c r="DE82" s="875"/>
      <c r="DF82" s="875"/>
      <c r="DG82" s="326"/>
      <c r="DH82" s="876"/>
      <c r="DI82" s="327"/>
      <c r="DJ82" s="329"/>
      <c r="DK82" s="875"/>
      <c r="DL82" s="926"/>
    </row>
    <row r="83">
      <c r="A83" s="927"/>
      <c r="B83" s="928" t="s">
        <v>61</v>
      </c>
      <c r="C83" s="217"/>
      <c r="D83" s="217"/>
      <c r="E83" s="218"/>
      <c r="F83" s="448">
        <v>40.0</v>
      </c>
      <c r="G83" s="448">
        <f t="shared" si="227"/>
        <v>11</v>
      </c>
      <c r="H83" s="543">
        <f t="shared" si="222"/>
        <v>0.275</v>
      </c>
      <c r="I83" s="462" t="str">
        <f>IFERROR(__xludf.DUMMYFUNCTION("IFERROR(SPARKLINE(H83,{""charttype"",""bar"";""color1"",IF(H83&gt;='Май'!green_percent,'Май'!green,IF(H83&gt;='Май'!yellow_percent,'Май'!yellow,IF(H83&gt;='Май'!orange_percent,'Май'!orange,'Май'!red)));""max"",1}))"),"")</f>
        <v/>
      </c>
      <c r="K83" s="282"/>
      <c r="L83" s="930"/>
      <c r="M83" s="929"/>
      <c r="N83" s="773"/>
      <c r="O83" s="932">
        <f t="shared" si="228"/>
        <v>1.290322581</v>
      </c>
      <c r="P83" s="776"/>
      <c r="Q83" s="932">
        <v>0.967741935483871</v>
      </c>
      <c r="R83" s="776"/>
      <c r="S83" s="932">
        <v>0.967741935483871</v>
      </c>
      <c r="T83" s="463"/>
      <c r="U83" s="460">
        <f t="shared" si="229"/>
        <v>3.225806452</v>
      </c>
      <c r="V83" s="448">
        <v>5.0</v>
      </c>
      <c r="W83" s="220">
        <f t="shared" si="223"/>
        <v>1.55</v>
      </c>
      <c r="X83" s="449" t="str">
        <f>IFERROR(__xludf.DUMMYFUNCTION("IFERROR(SPARKLINE(W83,{""charttype"",""bar"";""color1"",IF(W83&gt;='Май'!green_percent,'Май'!green,IF(W83&gt;='Май'!yellow_percent,'Май'!yellow,IF(W83&gt;='Май'!orange_percent,'Май'!orange,'Май'!red)));""max"",1}))"),"")</f>
        <v/>
      </c>
      <c r="Y83" s="932">
        <v>0.967741935483871</v>
      </c>
      <c r="Z83" s="824"/>
      <c r="AA83" s="932">
        <v>0.967741935483871</v>
      </c>
      <c r="AB83" s="824"/>
      <c r="AC83" s="932">
        <v>0.967741935483871</v>
      </c>
      <c r="AD83" s="824"/>
      <c r="AE83" s="932">
        <v>0.967741935483871</v>
      </c>
      <c r="AF83" s="824"/>
      <c r="AG83" s="932">
        <v>0.967741935483871</v>
      </c>
      <c r="AH83" s="824"/>
      <c r="AI83" s="932">
        <v>0.967741935483871</v>
      </c>
      <c r="AJ83" s="825"/>
      <c r="AK83" s="932">
        <v>0.967741935483871</v>
      </c>
      <c r="AL83" s="459"/>
      <c r="AM83" s="349">
        <f t="shared" si="230"/>
        <v>6.774193548</v>
      </c>
      <c r="AN83" s="448">
        <v>3.0</v>
      </c>
      <c r="AO83" s="279">
        <f t="shared" si="231"/>
        <v>0.4428571429</v>
      </c>
      <c r="AP83" s="462" t="str">
        <f>IFERROR(__xludf.DUMMYFUNCTION("IFERROR(SPARKLINE(AO83,{""charttype"",""bar"";""color1"",IF(AO83&gt;='Май'!green_percent,'Май'!green,IF(AO83&gt;='Май'!yellow_percent,'Май'!yellow,IF(AO83&gt;='Май'!orange_percent,'Май'!orange,'Май'!red)));""max"",1}))"),"")</f>
        <v/>
      </c>
      <c r="AQ83" s="932">
        <v>0.967741935483871</v>
      </c>
      <c r="AR83" s="463"/>
      <c r="AS83" s="932">
        <v>0.967741935483871</v>
      </c>
      <c r="AT83" s="463"/>
      <c r="AU83" s="932">
        <v>0.967741935483871</v>
      </c>
      <c r="AV83" s="776"/>
      <c r="AW83" s="932">
        <v>0.967741935483871</v>
      </c>
      <c r="AX83" s="776"/>
      <c r="AY83" s="932">
        <v>0.967741935483871</v>
      </c>
      <c r="AZ83" s="776"/>
      <c r="BA83" s="932">
        <v>0.967741935483871</v>
      </c>
      <c r="BB83" s="776"/>
      <c r="BC83" s="932">
        <v>0.967741935483871</v>
      </c>
      <c r="BD83" s="463"/>
      <c r="BE83" s="349">
        <f t="shared" si="232"/>
        <v>6.774193548</v>
      </c>
      <c r="BF83" s="448">
        <v>1.0</v>
      </c>
      <c r="BG83" s="279">
        <f t="shared" si="224"/>
        <v>0.1476190476</v>
      </c>
      <c r="BH83" s="462" t="str">
        <f>IFERROR(__xludf.DUMMYFUNCTION("IFERROR(SPARKLINE(BG83,{""charttype"",""bar"";""color1"",IF(BG83&gt;='Май'!green_percent,'Май'!green,IF(BG83&gt;='Май'!yellow_percent,'Май'!yellow,IF(BG83&gt;='Май'!orange_percent,'Май'!orange,'Май'!red)));""max"",1}))"),"")</f>
        <v/>
      </c>
      <c r="BI83" s="932">
        <v>0.967741935483871</v>
      </c>
      <c r="BJ83" s="466"/>
      <c r="BK83" s="932">
        <v>0.967741935483871</v>
      </c>
      <c r="BL83" s="465"/>
      <c r="BM83" s="932">
        <v>0.967741935483871</v>
      </c>
      <c r="BN83" s="465"/>
      <c r="BO83" s="932">
        <v>0.967741935483871</v>
      </c>
      <c r="BP83" s="465"/>
      <c r="BQ83" s="932">
        <v>0.967741935483871</v>
      </c>
      <c r="BR83" s="465"/>
      <c r="BS83" s="932">
        <v>0.967741935483871</v>
      </c>
      <c r="BT83" s="465"/>
      <c r="BU83" s="932">
        <v>0.967741935483871</v>
      </c>
      <c r="BV83" s="465"/>
      <c r="BW83" s="349">
        <f t="shared" si="233"/>
        <v>6.774193548</v>
      </c>
      <c r="BX83" s="448">
        <v>2.0</v>
      </c>
      <c r="BY83" s="279">
        <f t="shared" si="225"/>
        <v>0.2952380952</v>
      </c>
      <c r="BZ83" s="462" t="str">
        <f>IFERROR(__xludf.DUMMYFUNCTION("IFERROR(SPARKLINE(BY83,{""charttype"",""bar"";""color1"",IF(BY83&gt;='Май'!green_percent,'Май'!green,IF(BY83&gt;='Май'!yellow_percent,'Май'!yellow,IF(BY83&gt;='Май'!orange_percent,'Май'!orange,'Май'!red)));""max"",1}))"),"")</f>
        <v/>
      </c>
      <c r="CA83" s="932">
        <v>0.967741935483871</v>
      </c>
      <c r="CB83" s="466"/>
      <c r="CC83" s="932">
        <v>0.967741935483871</v>
      </c>
      <c r="CD83" s="466"/>
      <c r="CE83" s="932">
        <v>0.967741935483871</v>
      </c>
      <c r="CF83" s="466"/>
      <c r="CG83" s="932">
        <v>0.967741935483871</v>
      </c>
      <c r="CH83" s="466"/>
      <c r="CI83" s="932">
        <v>0.967741935483871</v>
      </c>
      <c r="CJ83" s="466"/>
      <c r="CK83" s="932">
        <v>0.967741935483871</v>
      </c>
      <c r="CL83" s="466"/>
      <c r="CM83" s="932">
        <v>0.967741935483871</v>
      </c>
      <c r="CN83" s="466"/>
      <c r="CO83" s="349">
        <f t="shared" si="234"/>
        <v>6.774193548</v>
      </c>
      <c r="CP83" s="448"/>
      <c r="CQ83" s="279">
        <f t="shared" si="226"/>
        <v>0</v>
      </c>
      <c r="CR83" s="462" t="str">
        <f>IFERROR(__xludf.DUMMYFUNCTION("IFERROR(SPARKLINE(CQ83,{""charttype"",""bar"";""color1"",IF(CQ83&gt;='Май'!green_percent,'Май'!green,IF(CQ83&gt;='Май'!yellow_percent,'Май'!yellow,IF(CQ83&gt;='Май'!orange_percent,'Май'!orange,'Май'!red)));""max"",1}))"),"")</f>
        <v/>
      </c>
      <c r="CS83" s="924"/>
      <c r="CT83" s="448"/>
      <c r="CU83" s="842"/>
      <c r="CV83" s="843"/>
      <c r="CW83" s="843"/>
      <c r="CX83" s="843"/>
      <c r="CY83" s="843"/>
      <c r="CZ83" s="843"/>
      <c r="DA83" s="843"/>
      <c r="DB83" s="843"/>
      <c r="DC83" s="843"/>
      <c r="DD83" s="843"/>
      <c r="DE83" s="843"/>
      <c r="DF83" s="843"/>
      <c r="DG83" s="289"/>
      <c r="DH83" s="844"/>
      <c r="DI83" s="310"/>
      <c r="DJ83" s="339"/>
      <c r="DK83" s="843"/>
      <c r="DL83" s="933"/>
    </row>
    <row r="84">
      <c r="A84" s="912"/>
      <c r="B84" s="937" t="s">
        <v>54</v>
      </c>
      <c r="C84" s="242"/>
      <c r="D84" s="242"/>
      <c r="E84" s="243"/>
      <c r="F84" s="581">
        <f t="shared" ref="F84:G84" si="235">F79/F83</f>
        <v>750</v>
      </c>
      <c r="G84" s="581">
        <f t="shared" si="235"/>
        <v>0</v>
      </c>
      <c r="H84" s="704">
        <f t="shared" si="222"/>
        <v>0</v>
      </c>
      <c r="I84" s="427" t="str">
        <f>IFERROR(__xludf.DUMMYFUNCTION("IFERROR(SPARKLINE(H84,{""charttype"",""bar"";""color1"",IF(H84&gt;='Май'!green_percent,'Май'!green,IF(H84&gt;='Май'!yellow_percent,'Май'!yellow,IF(H84&gt;='Май'!orange_percent,'Май'!orange,'Май'!red)));""max"",1}))"),"")</f>
        <v/>
      </c>
      <c r="K84" s="497"/>
      <c r="L84" s="930"/>
      <c r="M84" s="1018"/>
      <c r="N84" s="773"/>
      <c r="O84" s="581">
        <f>O79/O83</f>
        <v>750</v>
      </c>
      <c r="P84" s="786"/>
      <c r="Q84" s="581">
        <v>1000.0</v>
      </c>
      <c r="R84" s="786"/>
      <c r="S84" s="581">
        <v>1000.0</v>
      </c>
      <c r="T84" s="822"/>
      <c r="U84" s="585">
        <v>1000.0</v>
      </c>
      <c r="V84" s="592">
        <f>V79/V83</f>
        <v>0</v>
      </c>
      <c r="W84" s="412">
        <f t="shared" si="223"/>
        <v>0</v>
      </c>
      <c r="X84" s="413" t="str">
        <f>IFERROR(__xludf.DUMMYFUNCTION("IFERROR(SPARKLINE(W84,{""charttype"",""bar"";""color1"",IF(W84&gt;='Май'!green_percent,'Май'!green,IF(W84&gt;='Май'!yellow_percent,'Май'!yellow,IF(W84&gt;='Май'!orange_percent,'Май'!orange,'Май'!red)));""max"",1}))"),"")</f>
        <v/>
      </c>
      <c r="Y84" s="581">
        <v>1000.0</v>
      </c>
      <c r="Z84" s="824"/>
      <c r="AA84" s="581">
        <v>1000.0</v>
      </c>
      <c r="AB84" s="824"/>
      <c r="AC84" s="581">
        <v>1000.0</v>
      </c>
      <c r="AD84" s="824"/>
      <c r="AE84" s="581">
        <v>1000.0</v>
      </c>
      <c r="AF84" s="824"/>
      <c r="AG84" s="581">
        <v>1000.0</v>
      </c>
      <c r="AH84" s="824"/>
      <c r="AI84" s="581">
        <v>1000.0</v>
      </c>
      <c r="AJ84" s="825"/>
      <c r="AK84" s="581">
        <v>1000.0</v>
      </c>
      <c r="AL84" s="459"/>
      <c r="AM84" s="581">
        <f t="shared" ref="AM84:AN84" si="236">AM79/AM83</f>
        <v>1000</v>
      </c>
      <c r="AN84" s="428">
        <f t="shared" si="236"/>
        <v>0</v>
      </c>
      <c r="AO84" s="253">
        <f t="shared" si="231"/>
        <v>0</v>
      </c>
      <c r="AP84" s="427" t="str">
        <f>IFERROR(__xludf.DUMMYFUNCTION("IFERROR(SPARKLINE(AO84,{""charttype"",""bar"";""color1"",IF(AO84&gt;='Май'!green_percent,'Май'!green,IF(AO84&gt;='Май'!yellow_percent,'Май'!yellow,IF(AO84&gt;='Май'!orange_percent,'Май'!orange,'Май'!red)));""max"",1}))"),"")</f>
        <v/>
      </c>
      <c r="AQ84" s="581">
        <v>1000.0</v>
      </c>
      <c r="AR84" s="822"/>
      <c r="AS84" s="581">
        <v>1000.0</v>
      </c>
      <c r="AT84" s="822"/>
      <c r="AU84" s="581">
        <v>1000.0</v>
      </c>
      <c r="AV84" s="776"/>
      <c r="AW84" s="581">
        <v>1000.0</v>
      </c>
      <c r="AX84" s="776"/>
      <c r="AY84" s="581">
        <v>1000.0</v>
      </c>
      <c r="AZ84" s="776"/>
      <c r="BA84" s="581">
        <v>1000.0</v>
      </c>
      <c r="BB84" s="776"/>
      <c r="BC84" s="581">
        <v>1000.0</v>
      </c>
      <c r="BD84" s="822"/>
      <c r="BE84" s="581">
        <f t="shared" ref="BE84:BF84" si="237">BE79/BE83</f>
        <v>1000</v>
      </c>
      <c r="BF84" s="428">
        <f t="shared" si="237"/>
        <v>0</v>
      </c>
      <c r="BG84" s="253">
        <f t="shared" si="224"/>
        <v>0</v>
      </c>
      <c r="BH84" s="427" t="str">
        <f>IFERROR(__xludf.DUMMYFUNCTION("IFERROR(SPARKLINE(BG84,{""charttype"",""bar"";""color1"",IF(BG84&gt;='Май'!green_percent,'Май'!green,IF(BG84&gt;='Май'!yellow_percent,'Май'!yellow,IF(BG84&gt;='Май'!orange_percent,'Май'!orange,'Май'!red)));""max"",1}))"),"")</f>
        <v/>
      </c>
      <c r="BI84" s="581">
        <v>1000.0</v>
      </c>
      <c r="BJ84" s="710"/>
      <c r="BK84" s="581">
        <v>1000.0</v>
      </c>
      <c r="BL84" s="465"/>
      <c r="BM84" s="581">
        <v>1000.0</v>
      </c>
      <c r="BN84" s="716"/>
      <c r="BO84" s="581">
        <v>1000.0</v>
      </c>
      <c r="BP84" s="716"/>
      <c r="BQ84" s="581">
        <v>1000.0</v>
      </c>
      <c r="BR84" s="716"/>
      <c r="BS84" s="581">
        <v>1000.0</v>
      </c>
      <c r="BT84" s="716"/>
      <c r="BU84" s="581">
        <v>1000.0</v>
      </c>
      <c r="BV84" s="716"/>
      <c r="BW84" s="581">
        <f t="shared" ref="BW84:BX84" si="238">BW79/BW83</f>
        <v>1000</v>
      </c>
      <c r="BX84" s="428">
        <f t="shared" si="238"/>
        <v>0</v>
      </c>
      <c r="BY84" s="253">
        <f t="shared" si="225"/>
        <v>0</v>
      </c>
      <c r="BZ84" s="427" t="str">
        <f>IFERROR(__xludf.DUMMYFUNCTION("IFERROR(SPARKLINE(BY84,{""charttype"",""bar"";""color1"",IF(BY84&gt;='Май'!green_percent,'Май'!green,IF(BY84&gt;='Май'!yellow_percent,'Май'!yellow,IF(BY84&gt;='Май'!orange_percent,'Май'!orange,'Май'!red)));""max"",1}))"),"")</f>
        <v/>
      </c>
      <c r="CA84" s="581">
        <v>1000.0</v>
      </c>
      <c r="CB84" s="710"/>
      <c r="CC84" s="581">
        <v>1000.0</v>
      </c>
      <c r="CD84" s="710"/>
      <c r="CE84" s="581">
        <v>1000.0</v>
      </c>
      <c r="CF84" s="710"/>
      <c r="CG84" s="581">
        <v>1000.0</v>
      </c>
      <c r="CH84" s="710"/>
      <c r="CI84" s="581">
        <v>1000.0</v>
      </c>
      <c r="CJ84" s="710"/>
      <c r="CK84" s="581">
        <v>1000.0</v>
      </c>
      <c r="CL84" s="710"/>
      <c r="CM84" s="581">
        <v>1000.0</v>
      </c>
      <c r="CN84" s="710"/>
      <c r="CO84" s="581">
        <f t="shared" ref="CO84:CP84" si="239">CO79/CO83</f>
        <v>1000</v>
      </c>
      <c r="CP84" s="428" t="str">
        <f t="shared" si="239"/>
        <v>#DIV/0!</v>
      </c>
      <c r="CQ84" s="253" t="str">
        <f t="shared" si="226"/>
        <v/>
      </c>
      <c r="CR84" s="427" t="str">
        <f>IFERROR(__xludf.DUMMYFUNCTION("IFERROR(SPARKLINE(CQ84,{""charttype"",""bar"";""color1"",IF(CQ84&gt;='Май'!green_percent,'Май'!green,IF(CQ84&gt;='Май'!yellow_percent,'Май'!yellow,IF(CQ84&gt;='Май'!orange_percent,'Май'!orange,'Май'!red)));""max"",1}))"),"")</f>
        <v/>
      </c>
      <c r="CS84" s="924"/>
      <c r="CT84" s="244"/>
      <c r="CU84" s="842"/>
      <c r="CV84" s="875"/>
      <c r="CW84" s="875"/>
      <c r="CX84" s="875"/>
      <c r="CY84" s="875"/>
      <c r="CZ84" s="875"/>
      <c r="DA84" s="875"/>
      <c r="DB84" s="875"/>
      <c r="DC84" s="875"/>
      <c r="DD84" s="875"/>
      <c r="DE84" s="875"/>
      <c r="DF84" s="875"/>
      <c r="DG84" s="326"/>
      <c r="DH84" s="876"/>
      <c r="DI84" s="327"/>
      <c r="DJ84" s="329"/>
      <c r="DK84" s="875"/>
      <c r="DL84" s="926"/>
    </row>
    <row r="85">
      <c r="A85" s="927"/>
      <c r="B85" s="934" t="s">
        <v>55</v>
      </c>
      <c r="C85" s="217"/>
      <c r="D85" s="217"/>
      <c r="E85" s="218"/>
      <c r="F85" s="448">
        <v>3.0</v>
      </c>
      <c r="G85" s="448">
        <f>V85+AN85+BF85+BX85+CP85</f>
        <v>0</v>
      </c>
      <c r="H85" s="543">
        <f t="shared" si="222"/>
        <v>0</v>
      </c>
      <c r="I85" s="462" t="str">
        <f>IFERROR(__xludf.DUMMYFUNCTION("IFERROR(SPARKLINE(H85,{""charttype"",""bar"";""color1"",IF(H85&gt;='Май'!green_percent,'Май'!green,IF(H85&gt;='Май'!yellow_percent,'Май'!yellow,IF(H85&gt;='Май'!orange_percent,'Май'!orange,'Май'!red)));""max"",1}))"),"")</f>
        <v/>
      </c>
      <c r="K85" s="417"/>
      <c r="L85" s="773">
        <v>0.0</v>
      </c>
      <c r="M85" s="932"/>
      <c r="N85" s="773">
        <v>0.0</v>
      </c>
      <c r="O85" s="932">
        <v>0.1</v>
      </c>
      <c r="P85" s="1024">
        <v>0.0</v>
      </c>
      <c r="Q85" s="932">
        <v>0.1</v>
      </c>
      <c r="R85" s="1024">
        <v>0.0</v>
      </c>
      <c r="S85" s="932">
        <v>0.1</v>
      </c>
      <c r="T85" s="463">
        <v>0.0</v>
      </c>
      <c r="U85" s="460">
        <f>O85+Q85+S85</f>
        <v>0.3</v>
      </c>
      <c r="V85" s="448">
        <v>0.0</v>
      </c>
      <c r="W85" s="220">
        <f t="shared" si="223"/>
        <v>0</v>
      </c>
      <c r="X85" s="449" t="str">
        <f>IFERROR(__xludf.DUMMYFUNCTION("IFERROR(SPARKLINE(W85,{""charttype"",""bar"";""color1"",IF(W85&gt;='Май'!green_percent,'Май'!green,IF(W85&gt;='Май'!yellow_percent,'Май'!yellow,IF(W85&gt;='Май'!orange_percent,'Май'!orange,'Май'!red)));""max"",1}))"),"")</f>
        <v/>
      </c>
      <c r="Y85" s="932">
        <v>0.1</v>
      </c>
      <c r="Z85" s="824"/>
      <c r="AA85" s="932">
        <v>0.1</v>
      </c>
      <c r="AB85" s="824"/>
      <c r="AC85" s="932">
        <v>0.1</v>
      </c>
      <c r="AD85" s="824"/>
      <c r="AE85" s="932">
        <v>0.1</v>
      </c>
      <c r="AF85" s="824"/>
      <c r="AG85" s="932">
        <v>0.1</v>
      </c>
      <c r="AH85" s="824"/>
      <c r="AI85" s="932">
        <v>0.1</v>
      </c>
      <c r="AJ85" s="825"/>
      <c r="AK85" s="932">
        <v>0.1</v>
      </c>
      <c r="AL85" s="459"/>
      <c r="AM85" s="460">
        <f>Y85+AA85+AC85+AE85+AG85+AI85+AK85</f>
        <v>0.7</v>
      </c>
      <c r="AN85" s="448">
        <v>0.0</v>
      </c>
      <c r="AO85" s="279">
        <f t="shared" si="231"/>
        <v>0</v>
      </c>
      <c r="AP85" s="462" t="str">
        <f>IFERROR(__xludf.DUMMYFUNCTION("IFERROR(SPARKLINE(AO85,{""charttype"",""bar"";""color1"",IF(AO85&gt;='Май'!green_percent,'Май'!green,IF(AO85&gt;='Май'!yellow_percent,'Май'!yellow,IF(AO85&gt;='Май'!orange_percent,'Май'!orange,'Май'!red)));""max"",1}))"),"")</f>
        <v/>
      </c>
      <c r="AQ85" s="932">
        <v>0.1</v>
      </c>
      <c r="AR85" s="463"/>
      <c r="AS85" s="932">
        <v>0.1</v>
      </c>
      <c r="AT85" s="463"/>
      <c r="AU85" s="932">
        <v>0.1</v>
      </c>
      <c r="AV85" s="776"/>
      <c r="AW85" s="932">
        <v>0.1</v>
      </c>
      <c r="AX85" s="776"/>
      <c r="AY85" s="932">
        <v>0.1</v>
      </c>
      <c r="AZ85" s="776"/>
      <c r="BA85" s="932">
        <v>0.1</v>
      </c>
      <c r="BB85" s="776"/>
      <c r="BC85" s="932">
        <v>0.1</v>
      </c>
      <c r="BD85" s="463"/>
      <c r="BE85" s="460">
        <f>AQ85+AS85+AU85+AW85+AY85+BA85+BC85</f>
        <v>0.7</v>
      </c>
      <c r="BF85" s="448">
        <v>0.0</v>
      </c>
      <c r="BG85" s="279">
        <f t="shared" si="224"/>
        <v>0</v>
      </c>
      <c r="BH85" s="462" t="str">
        <f>IFERROR(__xludf.DUMMYFUNCTION("IFERROR(SPARKLINE(BG85,{""charttype"",""bar"";""color1"",IF(BG85&gt;='Май'!green_percent,'Май'!green,IF(BG85&gt;='Май'!yellow_percent,'Май'!yellow,IF(BG85&gt;='Май'!orange_percent,'Май'!orange,'Май'!red)));""max"",1}))"),"")</f>
        <v/>
      </c>
      <c r="BI85" s="932">
        <v>0.1</v>
      </c>
      <c r="BJ85" s="466"/>
      <c r="BK85" s="932">
        <v>0.1</v>
      </c>
      <c r="BL85" s="465"/>
      <c r="BM85" s="932">
        <v>0.1</v>
      </c>
      <c r="BN85" s="465"/>
      <c r="BO85" s="932">
        <v>0.1</v>
      </c>
      <c r="BP85" s="465"/>
      <c r="BQ85" s="932">
        <v>0.1</v>
      </c>
      <c r="BR85" s="465"/>
      <c r="BS85" s="932">
        <v>0.1</v>
      </c>
      <c r="BT85" s="465"/>
      <c r="BU85" s="932">
        <v>0.1</v>
      </c>
      <c r="BV85" s="465"/>
      <c r="BW85" s="460">
        <f>BI85+BK85+BM85+BO85+BQ85+BS85+BU85</f>
        <v>0.7</v>
      </c>
      <c r="BX85" s="448">
        <v>0.0</v>
      </c>
      <c r="BY85" s="279">
        <f t="shared" si="225"/>
        <v>0</v>
      </c>
      <c r="BZ85" s="462" t="str">
        <f>IFERROR(__xludf.DUMMYFUNCTION("IFERROR(SPARKLINE(BY85,{""charttype"",""bar"";""color1"",IF(BY85&gt;='Май'!green_percent,'Май'!green,IF(BY85&gt;='Май'!yellow_percent,'Май'!yellow,IF(BY85&gt;='Май'!orange_percent,'Май'!orange,'Май'!red)));""max"",1}))"),"")</f>
        <v/>
      </c>
      <c r="CA85" s="932">
        <v>0.1</v>
      </c>
      <c r="CB85" s="466"/>
      <c r="CC85" s="932">
        <v>0.1</v>
      </c>
      <c r="CD85" s="466"/>
      <c r="CE85" s="932">
        <v>0.1</v>
      </c>
      <c r="CF85" s="466"/>
      <c r="CG85" s="932">
        <v>0.1</v>
      </c>
      <c r="CH85" s="466"/>
      <c r="CI85" s="932">
        <v>0.1</v>
      </c>
      <c r="CJ85" s="466"/>
      <c r="CK85" s="932">
        <v>0.1</v>
      </c>
      <c r="CL85" s="466"/>
      <c r="CM85" s="932">
        <v>0.1</v>
      </c>
      <c r="CN85" s="466"/>
      <c r="CO85" s="460">
        <f>CA85+CC85+CE85+CG85+CI85+CK85+CM85</f>
        <v>0.7</v>
      </c>
      <c r="CP85" s="448">
        <v>0.0</v>
      </c>
      <c r="CQ85" s="279">
        <f t="shared" si="226"/>
        <v>0</v>
      </c>
      <c r="CR85" s="462" t="str">
        <f>IFERROR(__xludf.DUMMYFUNCTION("IFERROR(SPARKLINE(CQ85,{""charttype"",""bar"";""color1"",IF(CQ85&gt;='Май'!green_percent,'Май'!green,IF(CQ85&gt;='Май'!yellow_percent,'Май'!yellow,IF(CQ85&gt;='Май'!orange_percent,'Май'!orange,'Май'!red)));""max"",1}))"),"")</f>
        <v/>
      </c>
      <c r="CS85" s="924"/>
      <c r="CT85" s="448"/>
      <c r="CU85" s="842"/>
      <c r="CV85" s="843"/>
      <c r="CW85" s="843"/>
      <c r="CX85" s="843"/>
      <c r="CY85" s="843"/>
      <c r="CZ85" s="843"/>
      <c r="DA85" s="843"/>
      <c r="DB85" s="843"/>
      <c r="DC85" s="843"/>
      <c r="DD85" s="843"/>
      <c r="DE85" s="843"/>
      <c r="DF85" s="843"/>
      <c r="DG85" s="289"/>
      <c r="DH85" s="844"/>
      <c r="DI85" s="310"/>
      <c r="DJ85" s="339"/>
      <c r="DK85" s="843"/>
      <c r="DL85" s="933"/>
    </row>
    <row r="86">
      <c r="A86" s="912"/>
      <c r="B86" s="937" t="s">
        <v>22</v>
      </c>
      <c r="C86" s="242"/>
      <c r="D86" s="242"/>
      <c r="E86" s="243"/>
      <c r="F86" s="581">
        <f t="shared" ref="F86:G86" si="240">F79/F85</f>
        <v>10000</v>
      </c>
      <c r="G86" s="581" t="str">
        <f t="shared" si="240"/>
        <v>#DIV/0!</v>
      </c>
      <c r="H86" s="704" t="str">
        <f t="shared" si="222"/>
        <v/>
      </c>
      <c r="I86" s="427" t="str">
        <f>IFERROR(__xludf.DUMMYFUNCTION("IFERROR(SPARKLINE(H86,{""charttype"",""bar"";""color1"",IF(H86&gt;='Май'!green_percent,'Май'!green,IF(H86&gt;='Май'!yellow_percent,'Май'!yellow,IF(H86&gt;='Май'!orange_percent,'Май'!orange,'Май'!red)));""max"",1}))"),"")</f>
        <v/>
      </c>
      <c r="K86" s="497"/>
      <c r="L86" s="930"/>
      <c r="M86" s="1018"/>
      <c r="N86" s="773"/>
      <c r="O86" s="581">
        <f>O79/O85</f>
        <v>9677.419355</v>
      </c>
      <c r="P86" s="786"/>
      <c r="Q86" s="581">
        <v>9677.419354838708</v>
      </c>
      <c r="R86" s="786"/>
      <c r="S86" s="581">
        <v>9677.419354838708</v>
      </c>
      <c r="T86" s="822"/>
      <c r="U86" s="581">
        <f t="shared" ref="U86:V86" si="241">U79/U85</f>
        <v>9677.419355</v>
      </c>
      <c r="V86" s="592" t="str">
        <f t="shared" si="241"/>
        <v>#DIV/0!</v>
      </c>
      <c r="W86" s="412" t="str">
        <f t="shared" si="223"/>
        <v/>
      </c>
      <c r="X86" s="413" t="str">
        <f>IFERROR(__xludf.DUMMYFUNCTION("IFERROR(SPARKLINE(W86,{""charttype"",""bar"";""color1"",IF(W86&gt;='Май'!green_percent,'Май'!green,IF(W86&gt;='Май'!yellow_percent,'Май'!yellow,IF(W86&gt;='Май'!orange_percent,'Май'!orange,'Май'!red)));""max"",1}))"),"")</f>
        <v/>
      </c>
      <c r="Y86" s="581">
        <v>9677.419354838708</v>
      </c>
      <c r="Z86" s="824"/>
      <c r="AA86" s="581">
        <v>9677.419354838708</v>
      </c>
      <c r="AB86" s="824"/>
      <c r="AC86" s="581">
        <v>9677.419354838708</v>
      </c>
      <c r="AD86" s="824"/>
      <c r="AE86" s="581">
        <v>9677.419354838708</v>
      </c>
      <c r="AF86" s="824"/>
      <c r="AG86" s="581">
        <v>9677.419354838708</v>
      </c>
      <c r="AH86" s="824"/>
      <c r="AI86" s="581">
        <v>9677.419354838708</v>
      </c>
      <c r="AJ86" s="825"/>
      <c r="AK86" s="581">
        <v>9677.419354838708</v>
      </c>
      <c r="AL86" s="459"/>
      <c r="AM86" s="581">
        <f>AM79/AM85</f>
        <v>9677.419355</v>
      </c>
      <c r="AN86" s="244">
        <v>0.0</v>
      </c>
      <c r="AO86" s="253">
        <f t="shared" si="231"/>
        <v>0</v>
      </c>
      <c r="AP86" s="427" t="str">
        <f>IFERROR(__xludf.DUMMYFUNCTION("IFERROR(SPARKLINE(AO86,{""charttype"",""bar"";""color1"",IF(AO86&gt;='Май'!green_percent,'Май'!green,IF(AO86&gt;='Май'!yellow_percent,'Май'!yellow,IF(AO86&gt;='Май'!orange_percent,'Май'!orange,'Май'!red)));""max"",1}))"),"")</f>
        <v/>
      </c>
      <c r="AQ86" s="581">
        <v>9677.419354838708</v>
      </c>
      <c r="AR86" s="822"/>
      <c r="AS86" s="581">
        <v>9677.419354838708</v>
      </c>
      <c r="AT86" s="822"/>
      <c r="AU86" s="581">
        <v>9677.419354838708</v>
      </c>
      <c r="AV86" s="776"/>
      <c r="AW86" s="581">
        <v>9677.419354838708</v>
      </c>
      <c r="AX86" s="776"/>
      <c r="AY86" s="581">
        <v>9677.419354838708</v>
      </c>
      <c r="AZ86" s="776"/>
      <c r="BA86" s="581">
        <v>9677.419354838708</v>
      </c>
      <c r="BB86" s="776"/>
      <c r="BC86" s="581">
        <v>9677.419354838708</v>
      </c>
      <c r="BD86" s="822"/>
      <c r="BE86" s="581">
        <f>BE79/BE85</f>
        <v>9677.419355</v>
      </c>
      <c r="BF86" s="244">
        <v>0.0</v>
      </c>
      <c r="BG86" s="253">
        <f t="shared" si="224"/>
        <v>0</v>
      </c>
      <c r="BH86" s="427" t="str">
        <f>IFERROR(__xludf.DUMMYFUNCTION("IFERROR(SPARKLINE(BG86,{""charttype"",""bar"";""color1"",IF(BG86&gt;='Май'!green_percent,'Май'!green,IF(BG86&gt;='Май'!yellow_percent,'Май'!yellow,IF(BG86&gt;='Май'!orange_percent,'Май'!orange,'Май'!red)));""max"",1}))"),"")</f>
        <v/>
      </c>
      <c r="BI86" s="581">
        <v>9677.419354838708</v>
      </c>
      <c r="BJ86" s="710"/>
      <c r="BK86" s="581">
        <v>9677.419354838708</v>
      </c>
      <c r="BL86" s="465"/>
      <c r="BM86" s="581">
        <v>9677.419354838708</v>
      </c>
      <c r="BN86" s="716"/>
      <c r="BO86" s="581">
        <v>9677.419354838708</v>
      </c>
      <c r="BP86" s="716"/>
      <c r="BQ86" s="581">
        <v>9677.419354838708</v>
      </c>
      <c r="BR86" s="716"/>
      <c r="BS86" s="581">
        <v>9677.419354838708</v>
      </c>
      <c r="BT86" s="716"/>
      <c r="BU86" s="581">
        <v>9677.419354838708</v>
      </c>
      <c r="BV86" s="716"/>
      <c r="BW86" s="581">
        <f>BW79/BW85</f>
        <v>9677.419355</v>
      </c>
      <c r="BX86" s="486"/>
      <c r="BY86" s="253">
        <f t="shared" si="225"/>
        <v>0</v>
      </c>
      <c r="BZ86" s="427" t="str">
        <f>IFERROR(__xludf.DUMMYFUNCTION("IFERROR(SPARKLINE(BY86,{""charttype"",""bar"";""color1"",IF(BY86&gt;='Май'!green_percent,'Май'!green,IF(BY86&gt;='Май'!yellow_percent,'Май'!yellow,IF(BY86&gt;='Май'!orange_percent,'Май'!orange,'Май'!red)));""max"",1}))"),"")</f>
        <v/>
      </c>
      <c r="CA86" s="581">
        <v>9677.419354838708</v>
      </c>
      <c r="CB86" s="710"/>
      <c r="CC86" s="581">
        <v>9677.419354838708</v>
      </c>
      <c r="CD86" s="710"/>
      <c r="CE86" s="581">
        <v>9677.419354838708</v>
      </c>
      <c r="CF86" s="710"/>
      <c r="CG86" s="581">
        <v>9677.419354838708</v>
      </c>
      <c r="CH86" s="710"/>
      <c r="CI86" s="581">
        <v>9677.419354838708</v>
      </c>
      <c r="CJ86" s="710"/>
      <c r="CK86" s="581">
        <v>9677.419354838708</v>
      </c>
      <c r="CL86" s="710"/>
      <c r="CM86" s="581">
        <v>9677.419354838708</v>
      </c>
      <c r="CN86" s="710"/>
      <c r="CO86" s="581">
        <f>CO79/CO85</f>
        <v>9677.419355</v>
      </c>
      <c r="CP86" s="486"/>
      <c r="CQ86" s="253">
        <f t="shared" si="226"/>
        <v>0</v>
      </c>
      <c r="CR86" s="427" t="str">
        <f>IFERROR(__xludf.DUMMYFUNCTION("IFERROR(SPARKLINE(CQ86,{""charttype"",""bar"";""color1"",IF(CQ86&gt;='Май'!green_percent,'Май'!green,IF(CQ86&gt;='Май'!yellow_percent,'Май'!yellow,IF(CQ86&gt;='Май'!orange_percent,'Май'!orange,'Май'!red)));""max"",1}))"),"")</f>
        <v/>
      </c>
      <c r="CS86" s="924"/>
      <c r="CT86" s="244"/>
      <c r="CU86" s="842"/>
      <c r="CV86" s="875"/>
      <c r="CW86" s="875"/>
      <c r="CX86" s="875"/>
      <c r="CY86" s="875"/>
      <c r="CZ86" s="875"/>
      <c r="DA86" s="875"/>
      <c r="DB86" s="875"/>
      <c r="DC86" s="875"/>
      <c r="DD86" s="875"/>
      <c r="DE86" s="875"/>
      <c r="DF86" s="875"/>
      <c r="DG86" s="326"/>
      <c r="DH86" s="876"/>
      <c r="DI86" s="327"/>
      <c r="DJ86" s="329"/>
      <c r="DK86" s="875"/>
      <c r="DL86" s="926"/>
    </row>
    <row r="87">
      <c r="A87" s="927"/>
      <c r="B87" s="934" t="s">
        <v>56</v>
      </c>
      <c r="C87" s="217"/>
      <c r="D87" s="217"/>
      <c r="E87" s="218"/>
      <c r="F87" s="220">
        <f t="shared" ref="F87:G87" si="242">F85/F82</f>
        <v>0.00003</v>
      </c>
      <c r="G87" s="220">
        <f t="shared" si="242"/>
        <v>0</v>
      </c>
      <c r="H87" s="543">
        <f t="shared" si="222"/>
        <v>0</v>
      </c>
      <c r="I87" s="462" t="str">
        <f>IFERROR(__xludf.DUMMYFUNCTION("IFERROR(SPARKLINE(H87,{""charttype"",""bar"";""color1"",IF(H87&gt;='Май'!green_percent,'Май'!green,IF(H87&gt;='Май'!yellow_percent,'Май'!yellow,IF(H87&gt;='Май'!orange_percent,'Май'!orange,'Май'!red)));""max"",1}))"),"")</f>
        <v/>
      </c>
      <c r="K87" s="518"/>
      <c r="L87" s="930"/>
      <c r="M87" s="941"/>
      <c r="N87" s="773"/>
      <c r="O87" s="941">
        <v>5.166666666666667E-5</v>
      </c>
      <c r="P87" s="755"/>
      <c r="Q87" s="941">
        <v>5.166666666666667E-5</v>
      </c>
      <c r="R87" s="755"/>
      <c r="S87" s="941">
        <v>5.166666666666667E-5</v>
      </c>
      <c r="T87" s="463"/>
      <c r="U87" s="226">
        <f t="shared" ref="U87:V87" si="243">U85/U82</f>
        <v>0.000062</v>
      </c>
      <c r="V87" s="219" t="str">
        <f t="shared" si="243"/>
        <v>#DIV/0!</v>
      </c>
      <c r="W87" s="220" t="str">
        <f t="shared" si="223"/>
        <v/>
      </c>
      <c r="X87" s="449" t="str">
        <f>IFERROR(__xludf.DUMMYFUNCTION("IFERROR(SPARKLINE(W87,{""charttype"",""bar"";""color1"",IF(W87&gt;='Май'!green_percent,'Май'!green,IF(W87&gt;='Май'!yellow_percent,'Май'!yellow,IF(W87&gt;='Май'!orange_percent,'Май'!orange,'Май'!red)));""max"",1}))"),"")</f>
        <v/>
      </c>
      <c r="Y87" s="941">
        <v>5.166666666666667E-5</v>
      </c>
      <c r="Z87" s="824"/>
      <c r="AA87" s="941">
        <v>5.166666666666667E-5</v>
      </c>
      <c r="AB87" s="824"/>
      <c r="AC87" s="941">
        <v>5.166666666666667E-5</v>
      </c>
      <c r="AD87" s="824"/>
      <c r="AE87" s="941">
        <v>5.166666666666667E-5</v>
      </c>
      <c r="AF87" s="824"/>
      <c r="AG87" s="941">
        <v>5.166666666666667E-5</v>
      </c>
      <c r="AH87" s="824"/>
      <c r="AI87" s="941">
        <v>5.166666666666667E-5</v>
      </c>
      <c r="AJ87" s="825"/>
      <c r="AK87" s="941">
        <v>5.166666666666667E-5</v>
      </c>
      <c r="AL87" s="459"/>
      <c r="AM87" s="226">
        <f>AM85/AM82</f>
        <v>0.000124</v>
      </c>
      <c r="AN87" s="448">
        <v>0.0</v>
      </c>
      <c r="AO87" s="279">
        <f t="shared" si="231"/>
        <v>0</v>
      </c>
      <c r="AP87" s="462" t="str">
        <f>IFERROR(__xludf.DUMMYFUNCTION("IFERROR(SPARKLINE(AO87,{""charttype"",""bar"";""color1"",IF(AO87&gt;='Май'!green_percent,'Май'!green,IF(AO87&gt;='Май'!yellow_percent,'Май'!yellow,IF(AO87&gt;='Май'!orange_percent,'Май'!orange,'Май'!red)));""max"",1}))"),"")</f>
        <v/>
      </c>
      <c r="AQ87" s="941">
        <v>5.166666666666667E-5</v>
      </c>
      <c r="AR87" s="463"/>
      <c r="AS87" s="941">
        <v>5.166666666666667E-5</v>
      </c>
      <c r="AT87" s="463"/>
      <c r="AU87" s="941">
        <v>5.166666666666667E-5</v>
      </c>
      <c r="AV87" s="776"/>
      <c r="AW87" s="941">
        <v>5.166666666666667E-5</v>
      </c>
      <c r="AX87" s="776"/>
      <c r="AY87" s="941">
        <v>5.166666666666667E-5</v>
      </c>
      <c r="AZ87" s="776"/>
      <c r="BA87" s="941">
        <v>5.166666666666667E-5</v>
      </c>
      <c r="BB87" s="776"/>
      <c r="BC87" s="941">
        <v>5.166666666666667E-5</v>
      </c>
      <c r="BD87" s="463"/>
      <c r="BE87" s="226">
        <f>BE85/BE82</f>
        <v>0.000124</v>
      </c>
      <c r="BF87" s="448">
        <v>0.0</v>
      </c>
      <c r="BG87" s="279">
        <f t="shared" si="224"/>
        <v>0</v>
      </c>
      <c r="BH87" s="462" t="str">
        <f>IFERROR(__xludf.DUMMYFUNCTION("IFERROR(SPARKLINE(BG87,{""charttype"",""bar"";""color1"",IF(BG87&gt;='Май'!green_percent,'Май'!green,IF(BG87&gt;='Май'!yellow_percent,'Май'!yellow,IF(BG87&gt;='Май'!orange_percent,'Май'!orange,'Май'!red)));""max"",1}))"),"")</f>
        <v/>
      </c>
      <c r="BI87" s="941">
        <v>5.166666666666667E-5</v>
      </c>
      <c r="BJ87" s="466"/>
      <c r="BK87" s="941">
        <v>5.166666666666667E-5</v>
      </c>
      <c r="BL87" s="465"/>
      <c r="BM87" s="941">
        <v>5.166666666666667E-5</v>
      </c>
      <c r="BN87" s="465"/>
      <c r="BO87" s="941">
        <v>5.166666666666667E-5</v>
      </c>
      <c r="BP87" s="465"/>
      <c r="BQ87" s="941">
        <v>5.166666666666667E-5</v>
      </c>
      <c r="BR87" s="465"/>
      <c r="BS87" s="941">
        <v>5.166666666666667E-5</v>
      </c>
      <c r="BT87" s="465"/>
      <c r="BU87" s="941">
        <v>5.166666666666667E-5</v>
      </c>
      <c r="BV87" s="465"/>
      <c r="BW87" s="226">
        <f>BW85/BW82</f>
        <v>0.000124</v>
      </c>
      <c r="BX87" s="464"/>
      <c r="BY87" s="279">
        <f t="shared" si="225"/>
        <v>0</v>
      </c>
      <c r="BZ87" s="462" t="str">
        <f>IFERROR(__xludf.DUMMYFUNCTION("IFERROR(SPARKLINE(BY87,{""charttype"",""bar"";""color1"",IF(BY87&gt;='Май'!green_percent,'Май'!green,IF(BY87&gt;='Май'!yellow_percent,'Май'!yellow,IF(BY87&gt;='Май'!orange_percent,'Май'!orange,'Май'!red)));""max"",1}))"),"")</f>
        <v/>
      </c>
      <c r="CA87" s="941">
        <v>5.166666666666667E-5</v>
      </c>
      <c r="CB87" s="466"/>
      <c r="CC87" s="941">
        <v>5.166666666666667E-5</v>
      </c>
      <c r="CD87" s="466"/>
      <c r="CE87" s="941">
        <v>5.166666666666667E-5</v>
      </c>
      <c r="CF87" s="466"/>
      <c r="CG87" s="941">
        <v>5.166666666666667E-5</v>
      </c>
      <c r="CH87" s="466"/>
      <c r="CI87" s="941">
        <v>5.166666666666667E-5</v>
      </c>
      <c r="CJ87" s="466"/>
      <c r="CK87" s="941">
        <v>5.166666666666667E-5</v>
      </c>
      <c r="CL87" s="466"/>
      <c r="CM87" s="941">
        <v>5.166666666666667E-5</v>
      </c>
      <c r="CN87" s="466"/>
      <c r="CO87" s="226">
        <f>CO85/CO82</f>
        <v>0.000124</v>
      </c>
      <c r="CP87" s="464"/>
      <c r="CQ87" s="279">
        <f t="shared" si="226"/>
        <v>0</v>
      </c>
      <c r="CR87" s="462" t="str">
        <f>IFERROR(__xludf.DUMMYFUNCTION("IFERROR(SPARKLINE(CQ87,{""charttype"",""bar"";""color1"",IF(CQ87&gt;='Май'!green_percent,'Май'!green,IF(CQ87&gt;='Май'!yellow_percent,'Май'!yellow,IF(CQ87&gt;='Май'!orange_percent,'Май'!orange,'Май'!red)));""max"",1}))"),"")</f>
        <v/>
      </c>
      <c r="CS87" s="924"/>
      <c r="CT87" s="448"/>
      <c r="CU87" s="842"/>
      <c r="CV87" s="843"/>
      <c r="CW87" s="843"/>
      <c r="CX87" s="843"/>
      <c r="CY87" s="843"/>
      <c r="CZ87" s="843"/>
      <c r="DA87" s="843"/>
      <c r="DB87" s="843"/>
      <c r="DC87" s="843"/>
      <c r="DD87" s="843"/>
      <c r="DE87" s="843"/>
      <c r="DF87" s="843"/>
      <c r="DG87" s="289"/>
      <c r="DH87" s="844"/>
      <c r="DI87" s="310"/>
      <c r="DJ87" s="339"/>
      <c r="DK87" s="843"/>
      <c r="DL87" s="933"/>
    </row>
    <row r="88">
      <c r="A88" s="912"/>
      <c r="B88" s="937" t="s">
        <v>35</v>
      </c>
      <c r="C88" s="242"/>
      <c r="D88" s="242"/>
      <c r="E88" s="243"/>
      <c r="F88" s="244">
        <v>2.0</v>
      </c>
      <c r="G88" s="244">
        <f>V88+AN88+BF88+BX88+CP88</f>
        <v>0</v>
      </c>
      <c r="H88" s="704">
        <f t="shared" si="222"/>
        <v>0</v>
      </c>
      <c r="I88" s="427" t="str">
        <f>IFERROR(__xludf.DUMMYFUNCTION("IFERROR(SPARKLINE(H88,{""charttype"",""bar"";""color1"",IF(H88&gt;='Май'!green_percent,'Май'!green,IF(H88&gt;='Май'!yellow_percent,'Май'!yellow,IF(H88&gt;='Май'!orange_percent,'Май'!orange,'Май'!red)));""max"",1}))"),"")</f>
        <v/>
      </c>
      <c r="K88" s="1025"/>
      <c r="L88" s="773">
        <v>0.0</v>
      </c>
      <c r="M88" s="932"/>
      <c r="N88" s="773">
        <v>0.0</v>
      </c>
      <c r="O88" s="932">
        <f>F88/31</f>
        <v>0.06451612903</v>
      </c>
      <c r="P88" s="1024">
        <v>0.0</v>
      </c>
      <c r="Q88" s="932">
        <v>0.06451612903225806</v>
      </c>
      <c r="R88" s="1024">
        <v>0.0</v>
      </c>
      <c r="S88" s="932">
        <v>0.06451612903225806</v>
      </c>
      <c r="T88" s="822">
        <v>0.0</v>
      </c>
      <c r="U88" s="535">
        <f>O88+Q88+S88</f>
        <v>0.1935483871</v>
      </c>
      <c r="V88" s="244">
        <v>0.0</v>
      </c>
      <c r="W88" s="412">
        <f t="shared" si="223"/>
        <v>0</v>
      </c>
      <c r="X88" s="413" t="str">
        <f>IFERROR(__xludf.DUMMYFUNCTION("IFERROR(SPARKLINE(W88,{""charttype"",""bar"";""color1"",IF(W88&gt;='Май'!green_percent,'Май'!green,IF(W88&gt;='Май'!yellow_percent,'Май'!yellow,IF(W88&gt;='Май'!orange_percent,'Май'!orange,'Май'!red)));""max"",1}))"),"")</f>
        <v/>
      </c>
      <c r="Y88" s="932">
        <v>0.06451612903225806</v>
      </c>
      <c r="Z88" s="824"/>
      <c r="AA88" s="932">
        <v>0.06451612903225806</v>
      </c>
      <c r="AB88" s="824"/>
      <c r="AC88" s="932">
        <v>0.06451612903225806</v>
      </c>
      <c r="AD88" s="824"/>
      <c r="AE88" s="932">
        <v>0.06451612903225806</v>
      </c>
      <c r="AF88" s="824"/>
      <c r="AG88" s="932">
        <v>0.06451612903225806</v>
      </c>
      <c r="AH88" s="824"/>
      <c r="AI88" s="932">
        <v>0.06451612903225806</v>
      </c>
      <c r="AJ88" s="825"/>
      <c r="AK88" s="932">
        <v>0.06451612903225806</v>
      </c>
      <c r="AL88" s="459"/>
      <c r="AM88" s="531">
        <f>Y88+AA88+AC88+AE88+AG88+AI88+AK88</f>
        <v>0.4516129032</v>
      </c>
      <c r="AN88" s="244">
        <v>0.0</v>
      </c>
      <c r="AO88" s="253">
        <f t="shared" si="231"/>
        <v>0</v>
      </c>
      <c r="AP88" s="427" t="str">
        <f>IFERROR(__xludf.DUMMYFUNCTION("IFERROR(SPARKLINE(AO88,{""charttype"",""bar"";""color1"",IF(AO88&gt;='Май'!green_percent,'Май'!green,IF(AO88&gt;='Май'!yellow_percent,'Май'!yellow,IF(AO88&gt;='Май'!orange_percent,'Май'!orange,'Май'!red)));""max"",1}))"),"")</f>
        <v/>
      </c>
      <c r="AQ88" s="932">
        <v>0.06451612903225806</v>
      </c>
      <c r="AR88" s="822"/>
      <c r="AS88" s="932">
        <v>0.06451612903225806</v>
      </c>
      <c r="AT88" s="822"/>
      <c r="AU88" s="932">
        <v>0.06451612903225806</v>
      </c>
      <c r="AV88" s="776"/>
      <c r="AW88" s="932">
        <v>0.06451612903225806</v>
      </c>
      <c r="AX88" s="776"/>
      <c r="AY88" s="932">
        <v>0.06451612903225806</v>
      </c>
      <c r="AZ88" s="776"/>
      <c r="BA88" s="932">
        <v>0.06451612903225806</v>
      </c>
      <c r="BB88" s="776"/>
      <c r="BC88" s="932">
        <v>0.06451612903225806</v>
      </c>
      <c r="BD88" s="822"/>
      <c r="BE88" s="531">
        <f>AQ88+AS88+AU88+AW88+AY88+BA88+BC88</f>
        <v>0.4516129032</v>
      </c>
      <c r="BF88" s="244">
        <v>0.0</v>
      </c>
      <c r="BG88" s="253">
        <f t="shared" si="224"/>
        <v>0</v>
      </c>
      <c r="BH88" s="427" t="str">
        <f>IFERROR(__xludf.DUMMYFUNCTION("IFERROR(SPARKLINE(BG88,{""charttype"",""bar"";""color1"",IF(BG88&gt;='Май'!green_percent,'Май'!green,IF(BG88&gt;='Май'!yellow_percent,'Май'!yellow,IF(BG88&gt;='Май'!orange_percent,'Май'!orange,'Май'!red)));""max"",1}))"),"")</f>
        <v/>
      </c>
      <c r="BI88" s="932">
        <v>0.06451612903225806</v>
      </c>
      <c r="BJ88" s="710"/>
      <c r="BK88" s="932">
        <v>0.06451612903225806</v>
      </c>
      <c r="BL88" s="465"/>
      <c r="BM88" s="932">
        <v>0.06451612903225806</v>
      </c>
      <c r="BN88" s="716"/>
      <c r="BO88" s="932">
        <v>0.06451612903225806</v>
      </c>
      <c r="BP88" s="716"/>
      <c r="BQ88" s="932">
        <v>0.06451612903225806</v>
      </c>
      <c r="BR88" s="716"/>
      <c r="BS88" s="932">
        <v>0.06451612903225806</v>
      </c>
      <c r="BT88" s="716"/>
      <c r="BU88" s="932">
        <v>0.06451612903225806</v>
      </c>
      <c r="BV88" s="716"/>
      <c r="BW88" s="531">
        <f>BI88+BK88+BM88+BO88+BQ88+BS88+BU88</f>
        <v>0.4516129032</v>
      </c>
      <c r="BX88" s="244">
        <v>0.0</v>
      </c>
      <c r="BY88" s="253">
        <f t="shared" si="225"/>
        <v>0</v>
      </c>
      <c r="BZ88" s="427" t="str">
        <f>IFERROR(__xludf.DUMMYFUNCTION("IFERROR(SPARKLINE(BY88,{""charttype"",""bar"";""color1"",IF(BY88&gt;='Май'!green_percent,'Май'!green,IF(BY88&gt;='Май'!yellow_percent,'Май'!yellow,IF(BY88&gt;='Май'!orange_percent,'Май'!orange,'Май'!red)));""max"",1}))"),"")</f>
        <v/>
      </c>
      <c r="CA88" s="932">
        <v>0.06451612903225806</v>
      </c>
      <c r="CB88" s="710"/>
      <c r="CC88" s="932">
        <v>0.06451612903225806</v>
      </c>
      <c r="CD88" s="710"/>
      <c r="CE88" s="932">
        <v>0.06451612903225806</v>
      </c>
      <c r="CF88" s="710"/>
      <c r="CG88" s="932">
        <v>0.06451612903225806</v>
      </c>
      <c r="CH88" s="710"/>
      <c r="CI88" s="932">
        <v>0.06451612903225806</v>
      </c>
      <c r="CJ88" s="710"/>
      <c r="CK88" s="932">
        <v>0.06451612903225806</v>
      </c>
      <c r="CL88" s="710"/>
      <c r="CM88" s="932">
        <v>0.06451612903225806</v>
      </c>
      <c r="CN88" s="710"/>
      <c r="CO88" s="531">
        <f>CA88+CC88+CE88+CG88+CI88+CK88+CM88</f>
        <v>0.4516129032</v>
      </c>
      <c r="CP88" s="244">
        <v>0.0</v>
      </c>
      <c r="CQ88" s="253">
        <f t="shared" si="226"/>
        <v>0</v>
      </c>
      <c r="CR88" s="427" t="str">
        <f>IFERROR(__xludf.DUMMYFUNCTION("IFERROR(SPARKLINE(CQ88,{""charttype"",""bar"";""color1"",IF(CQ88&gt;='Май'!green_percent,'Май'!green,IF(CQ88&gt;='Май'!yellow_percent,'Май'!yellow,IF(CQ88&gt;='Май'!orange_percent,'Май'!orange,'Май'!red)));""max"",1}))"),"")</f>
        <v/>
      </c>
      <c r="CS88" s="924"/>
      <c r="CT88" s="244"/>
      <c r="CU88" s="842"/>
      <c r="CV88" s="875"/>
      <c r="CW88" s="875"/>
      <c r="CX88" s="875"/>
      <c r="CY88" s="875"/>
      <c r="CZ88" s="875"/>
      <c r="DA88" s="875"/>
      <c r="DB88" s="875"/>
      <c r="DC88" s="875"/>
      <c r="DD88" s="875"/>
      <c r="DE88" s="875"/>
      <c r="DF88" s="875"/>
      <c r="DG88" s="326"/>
      <c r="DH88" s="876"/>
      <c r="DI88" s="327"/>
      <c r="DJ88" s="329"/>
      <c r="DK88" s="875"/>
      <c r="DL88" s="926"/>
    </row>
    <row r="89">
      <c r="A89" s="927"/>
      <c r="B89" s="934" t="s">
        <v>25</v>
      </c>
      <c r="C89" s="217"/>
      <c r="D89" s="217"/>
      <c r="E89" s="218"/>
      <c r="F89" s="220">
        <f t="shared" ref="F89:G89" si="244">F88/F85</f>
        <v>0.6666666667</v>
      </c>
      <c r="G89" s="219" t="str">
        <f t="shared" si="244"/>
        <v>#DIV/0!</v>
      </c>
      <c r="H89" s="543" t="str">
        <f t="shared" si="222"/>
        <v/>
      </c>
      <c r="I89" s="462" t="str">
        <f>IFERROR(__xludf.DUMMYFUNCTION("IFERROR(SPARKLINE(H89,{""charttype"",""bar"";""color1"",IF(H89&gt;='Май'!green_percent,'Май'!green,IF(H89&gt;='Май'!yellow_percent,'Май'!yellow,IF(H89&gt;='Май'!orange_percent,'Май'!orange,'Май'!red)));""max"",1}))"),"")</f>
        <v/>
      </c>
      <c r="K89" s="518"/>
      <c r="L89" s="773">
        <v>0.0</v>
      </c>
      <c r="M89" s="941"/>
      <c r="N89" s="773">
        <v>0.0</v>
      </c>
      <c r="O89" s="941">
        <f>O88/O85</f>
        <v>0.6451612903</v>
      </c>
      <c r="P89" s="755"/>
      <c r="Q89" s="941">
        <f>Q88/Q85</f>
        <v>0.6451612903</v>
      </c>
      <c r="R89" s="755"/>
      <c r="S89" s="941">
        <f>S88/S85</f>
        <v>0.6451612903</v>
      </c>
      <c r="T89" s="463"/>
      <c r="U89" s="226">
        <f t="shared" ref="U89:V89" si="245">U88/U85</f>
        <v>0.6451612903</v>
      </c>
      <c r="V89" s="219" t="str">
        <f t="shared" si="245"/>
        <v>#DIV/0!</v>
      </c>
      <c r="W89" s="220" t="str">
        <f t="shared" si="223"/>
        <v/>
      </c>
      <c r="X89" s="449" t="str">
        <f>IFERROR(__xludf.DUMMYFUNCTION("IFERROR(SPARKLINE(W89,{""charttype"",""bar"";""color1"",IF(W89&gt;='Май'!green_percent,'Май'!green,IF(W89&gt;='Май'!yellow_percent,'Май'!yellow,IF(W89&gt;='Май'!orange_percent,'Май'!orange,'Май'!red)));""max"",1}))"),"")</f>
        <v/>
      </c>
      <c r="Y89" s="941">
        <f>Y88/Y85</f>
        <v>0.6451612903</v>
      </c>
      <c r="Z89" s="824"/>
      <c r="AA89" s="941">
        <f>AA88/AA85</f>
        <v>0.6451612903</v>
      </c>
      <c r="AB89" s="824"/>
      <c r="AC89" s="941">
        <f>AC88/AC85</f>
        <v>0.6451612903</v>
      </c>
      <c r="AD89" s="824"/>
      <c r="AE89" s="941">
        <f>AE88/AE85</f>
        <v>0.6451612903</v>
      </c>
      <c r="AF89" s="824"/>
      <c r="AG89" s="941">
        <f>AG88/AG85</f>
        <v>0.6451612903</v>
      </c>
      <c r="AH89" s="824"/>
      <c r="AI89" s="941">
        <f>AI88/AI85</f>
        <v>0.6451612903</v>
      </c>
      <c r="AJ89" s="825"/>
      <c r="AK89" s="941">
        <f>AK88/AK85</f>
        <v>0.6451612903</v>
      </c>
      <c r="AL89" s="459"/>
      <c r="AM89" s="226">
        <f>AM88/AM85</f>
        <v>0.6451612903</v>
      </c>
      <c r="AN89" s="448">
        <v>0.0</v>
      </c>
      <c r="AO89" s="279">
        <f t="shared" si="231"/>
        <v>0</v>
      </c>
      <c r="AP89" s="462" t="str">
        <f>IFERROR(__xludf.DUMMYFUNCTION("IFERROR(SPARKLINE(AO89,{""charttype"",""bar"";""color1"",IF(AO89&gt;='Май'!green_percent,'Май'!green,IF(AO89&gt;='Май'!yellow_percent,'Май'!yellow,IF(AO89&gt;='Май'!orange_percent,'Май'!orange,'Май'!red)));""max"",1}))"),"")</f>
        <v/>
      </c>
      <c r="AQ89" s="941">
        <v>0.6666666666666666</v>
      </c>
      <c r="AR89" s="463"/>
      <c r="AS89" s="941">
        <v>0.6666666666666666</v>
      </c>
      <c r="AT89" s="463"/>
      <c r="AU89" s="941">
        <v>0.6666666666666666</v>
      </c>
      <c r="AV89" s="776"/>
      <c r="AW89" s="941">
        <v>0.6666666666666666</v>
      </c>
      <c r="AX89" s="776"/>
      <c r="AY89" s="941">
        <v>0.6666666666666666</v>
      </c>
      <c r="AZ89" s="776"/>
      <c r="BA89" s="941">
        <v>0.6666666666666666</v>
      </c>
      <c r="BB89" s="776"/>
      <c r="BC89" s="941">
        <v>0.6666666666666666</v>
      </c>
      <c r="BD89" s="463"/>
      <c r="BE89" s="226">
        <f>BE88/BE85</f>
        <v>0.6451612903</v>
      </c>
      <c r="BF89" s="448">
        <v>0.0</v>
      </c>
      <c r="BG89" s="279">
        <f t="shared" si="224"/>
        <v>0</v>
      </c>
      <c r="BH89" s="462" t="str">
        <f>IFERROR(__xludf.DUMMYFUNCTION("IFERROR(SPARKLINE(BG89,{""charttype"",""bar"";""color1"",IF(BG89&gt;='Май'!green_percent,'Май'!green,IF(BG89&gt;='Май'!yellow_percent,'Май'!yellow,IF(BG89&gt;='Май'!orange_percent,'Май'!orange,'Май'!red)));""max"",1}))"),"")</f>
        <v/>
      </c>
      <c r="BI89" s="941">
        <v>0.6666666666666666</v>
      </c>
      <c r="BJ89" s="466"/>
      <c r="BK89" s="941">
        <v>0.6666666666666666</v>
      </c>
      <c r="BL89" s="465"/>
      <c r="BM89" s="941">
        <v>0.6666666666666666</v>
      </c>
      <c r="BN89" s="465"/>
      <c r="BO89" s="941">
        <v>0.6666666666666666</v>
      </c>
      <c r="BP89" s="465"/>
      <c r="BQ89" s="941">
        <v>0.6666666666666666</v>
      </c>
      <c r="BR89" s="465"/>
      <c r="BS89" s="941">
        <v>0.6666666666666666</v>
      </c>
      <c r="BT89" s="465"/>
      <c r="BU89" s="941">
        <v>0.6666666666666666</v>
      </c>
      <c r="BV89" s="465"/>
      <c r="BW89" s="226">
        <f>BW88/BW85</f>
        <v>0.6451612903</v>
      </c>
      <c r="BX89" s="464"/>
      <c r="BY89" s="279">
        <f t="shared" si="225"/>
        <v>0</v>
      </c>
      <c r="BZ89" s="462" t="str">
        <f>IFERROR(__xludf.DUMMYFUNCTION("IFERROR(SPARKLINE(BY89,{""charttype"",""bar"";""color1"",IF(BY89&gt;='Май'!green_percent,'Май'!green,IF(BY89&gt;='Май'!yellow_percent,'Май'!yellow,IF(BY89&gt;='Май'!orange_percent,'Май'!orange,'Май'!red)));""max"",1}))"),"")</f>
        <v/>
      </c>
      <c r="CA89" s="941">
        <v>0.6666666666666666</v>
      </c>
      <c r="CB89" s="466"/>
      <c r="CC89" s="941">
        <v>0.6666666666666666</v>
      </c>
      <c r="CD89" s="466"/>
      <c r="CE89" s="941">
        <v>0.6666666666666666</v>
      </c>
      <c r="CF89" s="466"/>
      <c r="CG89" s="941">
        <v>0.6666666666666666</v>
      </c>
      <c r="CH89" s="466"/>
      <c r="CI89" s="941">
        <v>0.6666666666666666</v>
      </c>
      <c r="CJ89" s="466"/>
      <c r="CK89" s="941">
        <v>0.6666666666666666</v>
      </c>
      <c r="CL89" s="466"/>
      <c r="CM89" s="941">
        <v>0.6666666666666666</v>
      </c>
      <c r="CN89" s="466"/>
      <c r="CO89" s="226">
        <f>CO88/CO85</f>
        <v>0.6451612903</v>
      </c>
      <c r="CP89" s="464"/>
      <c r="CQ89" s="279">
        <f t="shared" si="226"/>
        <v>0</v>
      </c>
      <c r="CR89" s="462" t="str">
        <f>IFERROR(__xludf.DUMMYFUNCTION("IFERROR(SPARKLINE(CQ89,{""charttype"",""bar"";""color1"",IF(CQ89&gt;='Май'!green_percent,'Май'!green,IF(CQ89&gt;='Май'!yellow_percent,'Май'!yellow,IF(CQ89&gt;='Май'!orange_percent,'Май'!orange,'Май'!red)));""max"",1}))"),"")</f>
        <v/>
      </c>
      <c r="CS89" s="924"/>
      <c r="CT89" s="448"/>
      <c r="CU89" s="842"/>
      <c r="CV89" s="843"/>
      <c r="CW89" s="843"/>
      <c r="CX89" s="843"/>
      <c r="CY89" s="843"/>
      <c r="CZ89" s="843"/>
      <c r="DA89" s="843"/>
      <c r="DB89" s="843"/>
      <c r="DC89" s="843"/>
      <c r="DD89" s="843"/>
      <c r="DE89" s="843"/>
      <c r="DF89" s="843"/>
      <c r="DG89" s="289"/>
      <c r="DH89" s="844"/>
      <c r="DI89" s="310"/>
      <c r="DJ89" s="339"/>
      <c r="DK89" s="843"/>
      <c r="DL89" s="933"/>
    </row>
    <row r="90">
      <c r="A90" s="912"/>
      <c r="B90" s="937" t="s">
        <v>36</v>
      </c>
      <c r="C90" s="242"/>
      <c r="D90" s="242"/>
      <c r="E90" s="243"/>
      <c r="F90" s="411">
        <f>F79/F88</f>
        <v>15000</v>
      </c>
      <c r="G90" s="581" t="str">
        <f>V90</f>
        <v>#DIV/0!</v>
      </c>
      <c r="H90" s="704" t="str">
        <f t="shared" si="222"/>
        <v/>
      </c>
      <c r="I90" s="427" t="str">
        <f>IFERROR(__xludf.DUMMYFUNCTION("IFERROR(SPARKLINE(H90,{""charttype"",""bar"";""color1"",IF(H90&gt;='Май'!green_percent,'Май'!green,IF(H90&gt;='Май'!yellow_percent,'Май'!yellow,IF(H90&gt;='Май'!orange_percent,'Май'!orange,'Май'!red)));""max"",1}))"),"")</f>
        <v/>
      </c>
      <c r="K90" s="497"/>
      <c r="L90" s="930"/>
      <c r="M90" s="1018"/>
      <c r="N90" s="773"/>
      <c r="O90" s="411">
        <f>O79/O88</f>
        <v>15000</v>
      </c>
      <c r="P90" s="786"/>
      <c r="Q90" s="411">
        <v>15000.0</v>
      </c>
      <c r="R90" s="786"/>
      <c r="S90" s="411">
        <v>15000.0</v>
      </c>
      <c r="T90" s="822"/>
      <c r="U90" s="411">
        <f t="shared" ref="U90:V90" si="246">U79/U88</f>
        <v>15000</v>
      </c>
      <c r="V90" s="592" t="str">
        <f t="shared" si="246"/>
        <v>#DIV/0!</v>
      </c>
      <c r="W90" s="412" t="str">
        <f t="shared" si="223"/>
        <v/>
      </c>
      <c r="X90" s="413" t="str">
        <f>IFERROR(__xludf.DUMMYFUNCTION("IFERROR(SPARKLINE(W90,{""charttype"",""bar"";""color1"",IF(W90&gt;='Май'!green_percent,'Май'!green,IF(W90&gt;='Май'!yellow_percent,'Май'!yellow,IF(W90&gt;='Май'!orange_percent,'Май'!orange,'Май'!red)));""max"",1}))"),"")</f>
        <v/>
      </c>
      <c r="Y90" s="411">
        <v>15000.0</v>
      </c>
      <c r="Z90" s="824"/>
      <c r="AA90" s="411">
        <v>15000.0</v>
      </c>
      <c r="AB90" s="824"/>
      <c r="AC90" s="411">
        <v>15000.0</v>
      </c>
      <c r="AD90" s="824"/>
      <c r="AE90" s="411">
        <v>15000.0</v>
      </c>
      <c r="AF90" s="824"/>
      <c r="AG90" s="411">
        <v>15000.0</v>
      </c>
      <c r="AH90" s="824"/>
      <c r="AI90" s="411">
        <v>15000.0</v>
      </c>
      <c r="AJ90" s="825"/>
      <c r="AK90" s="411">
        <v>15000.0</v>
      </c>
      <c r="AL90" s="459"/>
      <c r="AM90" s="411">
        <f>AM79/AM88</f>
        <v>15000</v>
      </c>
      <c r="AN90" s="244">
        <v>0.0</v>
      </c>
      <c r="AO90" s="253">
        <f t="shared" si="231"/>
        <v>0</v>
      </c>
      <c r="AP90" s="427" t="str">
        <f>IFERROR(__xludf.DUMMYFUNCTION("IFERROR(SPARKLINE(AO90,{""charttype"",""bar"";""color1"",IF(AO90&gt;='Май'!green_percent,'Май'!green,IF(AO90&gt;='Май'!yellow_percent,'Май'!yellow,IF(AO90&gt;='Май'!orange_percent,'Май'!orange,'Май'!red)));""max"",1}))"),"")</f>
        <v/>
      </c>
      <c r="AQ90" s="411">
        <v>15000.0</v>
      </c>
      <c r="AR90" s="822"/>
      <c r="AS90" s="411">
        <v>15000.0</v>
      </c>
      <c r="AT90" s="822"/>
      <c r="AU90" s="411">
        <v>15000.0</v>
      </c>
      <c r="AV90" s="776"/>
      <c r="AW90" s="411">
        <v>15000.0</v>
      </c>
      <c r="AX90" s="776"/>
      <c r="AY90" s="411">
        <v>15000.0</v>
      </c>
      <c r="AZ90" s="776"/>
      <c r="BA90" s="411">
        <v>15000.0</v>
      </c>
      <c r="BB90" s="776"/>
      <c r="BC90" s="411">
        <v>15000.0</v>
      </c>
      <c r="BD90" s="822"/>
      <c r="BE90" s="411">
        <f>BE79/BE88</f>
        <v>15000</v>
      </c>
      <c r="BF90" s="244">
        <v>0.0</v>
      </c>
      <c r="BG90" s="253">
        <f t="shared" si="224"/>
        <v>0</v>
      </c>
      <c r="BH90" s="427" t="str">
        <f>IFERROR(__xludf.DUMMYFUNCTION("IFERROR(SPARKLINE(BG90,{""charttype"",""bar"";""color1"",IF(BG90&gt;='Май'!green_percent,'Май'!green,IF(BG90&gt;='Май'!yellow_percent,'Май'!yellow,IF(BG90&gt;='Май'!orange_percent,'Май'!orange,'Май'!red)));""max"",1}))"),"")</f>
        <v/>
      </c>
      <c r="BI90" s="411">
        <v>15000.0</v>
      </c>
      <c r="BJ90" s="710"/>
      <c r="BK90" s="411">
        <v>15000.0</v>
      </c>
      <c r="BL90" s="465"/>
      <c r="BM90" s="411">
        <v>15000.0</v>
      </c>
      <c r="BN90" s="716"/>
      <c r="BO90" s="411">
        <v>15000.0</v>
      </c>
      <c r="BP90" s="716"/>
      <c r="BQ90" s="411">
        <v>15000.0</v>
      </c>
      <c r="BR90" s="716"/>
      <c r="BS90" s="411">
        <v>15000.0</v>
      </c>
      <c r="BT90" s="716"/>
      <c r="BU90" s="411">
        <v>15000.0</v>
      </c>
      <c r="BV90" s="716"/>
      <c r="BW90" s="411">
        <f>BW79/BW88</f>
        <v>15000</v>
      </c>
      <c r="BX90" s="486"/>
      <c r="BY90" s="253">
        <f t="shared" si="225"/>
        <v>0</v>
      </c>
      <c r="BZ90" s="427" t="str">
        <f>IFERROR(__xludf.DUMMYFUNCTION("IFERROR(SPARKLINE(BY90,{""charttype"",""bar"";""color1"",IF(BY90&gt;='Май'!green_percent,'Май'!green,IF(BY90&gt;='Май'!yellow_percent,'Май'!yellow,IF(BY90&gt;='Май'!orange_percent,'Май'!orange,'Май'!red)));""max"",1}))"),"")</f>
        <v/>
      </c>
      <c r="CA90" s="411">
        <v>15000.0</v>
      </c>
      <c r="CB90" s="710"/>
      <c r="CC90" s="411">
        <v>15000.0</v>
      </c>
      <c r="CD90" s="710"/>
      <c r="CE90" s="411">
        <v>15000.0</v>
      </c>
      <c r="CF90" s="710"/>
      <c r="CG90" s="411">
        <v>15000.0</v>
      </c>
      <c r="CH90" s="710"/>
      <c r="CI90" s="411">
        <v>15000.0</v>
      </c>
      <c r="CJ90" s="710"/>
      <c r="CK90" s="411">
        <v>15000.0</v>
      </c>
      <c r="CL90" s="710"/>
      <c r="CM90" s="411">
        <v>15000.0</v>
      </c>
      <c r="CN90" s="710"/>
      <c r="CO90" s="411">
        <f>CO79/CO88</f>
        <v>15000</v>
      </c>
      <c r="CP90" s="486"/>
      <c r="CQ90" s="253">
        <f t="shared" si="226"/>
        <v>0</v>
      </c>
      <c r="CR90" s="427" t="str">
        <f>IFERROR(__xludf.DUMMYFUNCTION("IFERROR(SPARKLINE(CQ90,{""charttype"",""bar"";""color1"",IF(CQ90&gt;='Май'!green_percent,'Май'!green,IF(CQ90&gt;='Май'!yellow_percent,'Май'!yellow,IF(CQ90&gt;='Май'!orange_percent,'Май'!orange,'Май'!red)));""max"",1}))"),"")</f>
        <v/>
      </c>
      <c r="CS90" s="924"/>
      <c r="CT90" s="244"/>
      <c r="CU90" s="842"/>
      <c r="CV90" s="875"/>
      <c r="CW90" s="875"/>
      <c r="CX90" s="875"/>
      <c r="CY90" s="875"/>
      <c r="CZ90" s="875"/>
      <c r="DA90" s="875"/>
      <c r="DB90" s="875"/>
      <c r="DC90" s="875"/>
      <c r="DD90" s="875"/>
      <c r="DE90" s="875"/>
      <c r="DF90" s="875"/>
      <c r="DG90" s="326"/>
      <c r="DH90" s="876"/>
      <c r="DI90" s="327"/>
      <c r="DJ90" s="329"/>
      <c r="DK90" s="875"/>
      <c r="DL90" s="926"/>
    </row>
    <row r="91">
      <c r="A91" s="927"/>
      <c r="B91" s="948" t="s">
        <v>37</v>
      </c>
      <c r="C91" s="217"/>
      <c r="D91" s="217"/>
      <c r="E91" s="218"/>
      <c r="F91" s="448">
        <v>2.0</v>
      </c>
      <c r="G91" s="448">
        <f>V91+AN91+BF91+BX91+CP91</f>
        <v>0</v>
      </c>
      <c r="H91" s="543">
        <f t="shared" si="222"/>
        <v>0</v>
      </c>
      <c r="I91" s="462" t="str">
        <f>IFERROR(__xludf.DUMMYFUNCTION("IFERROR(SPARKLINE(H91,{""charttype"",""bar"";""color1"",IF(H91&gt;='Май'!green_percent,'Май'!green,IF(H91&gt;='Май'!yellow_percent,'Май'!yellow,IF(H91&gt;='Май'!orange_percent,'Май'!orange,'Май'!red)));""max"",1}))"),"")</f>
        <v/>
      </c>
      <c r="K91" s="417"/>
      <c r="L91" s="930"/>
      <c r="M91" s="932"/>
      <c r="N91" s="773"/>
      <c r="O91" s="932">
        <v>0.06451612903225806</v>
      </c>
      <c r="P91" s="1024"/>
      <c r="Q91" s="932">
        <v>0.06451612903225806</v>
      </c>
      <c r="R91" s="1024"/>
      <c r="S91" s="932">
        <v>0.06451612903225806</v>
      </c>
      <c r="T91" s="463">
        <v>0.0</v>
      </c>
      <c r="U91" s="460">
        <f>O91+Q91+S91</f>
        <v>0.1935483871</v>
      </c>
      <c r="V91" s="448">
        <v>0.0</v>
      </c>
      <c r="W91" s="220">
        <f t="shared" si="223"/>
        <v>0</v>
      </c>
      <c r="X91" s="449" t="str">
        <f>IFERROR(__xludf.DUMMYFUNCTION("IFERROR(SPARKLINE(W91,{""charttype"",""bar"";""color1"",IF(W91&gt;='Май'!green_percent,'Май'!green,IF(W91&gt;='Май'!yellow_percent,'Май'!yellow,IF(W91&gt;='Май'!orange_percent,'Май'!orange,'Май'!red)));""max"",1}))"),"")</f>
        <v/>
      </c>
      <c r="Y91" s="932">
        <v>0.06451612903225806</v>
      </c>
      <c r="Z91" s="824"/>
      <c r="AA91" s="932">
        <v>0.06451612903225806</v>
      </c>
      <c r="AB91" s="824"/>
      <c r="AC91" s="932">
        <v>0.06451612903225806</v>
      </c>
      <c r="AD91" s="824"/>
      <c r="AE91" s="932">
        <v>0.06451612903225806</v>
      </c>
      <c r="AF91" s="824"/>
      <c r="AG91" s="932">
        <v>0.06451612903225806</v>
      </c>
      <c r="AH91" s="824"/>
      <c r="AI91" s="932">
        <v>0.06451612903225806</v>
      </c>
      <c r="AJ91" s="825"/>
      <c r="AK91" s="932">
        <v>0.06451612903225806</v>
      </c>
      <c r="AL91" s="459"/>
      <c r="AM91" s="333">
        <f>Y91+AA91+AC91+AE91+AG91+AI91+AK91</f>
        <v>0.4516129032</v>
      </c>
      <c r="AN91" s="448">
        <v>0.0</v>
      </c>
      <c r="AO91" s="279">
        <f t="shared" si="231"/>
        <v>0</v>
      </c>
      <c r="AP91" s="462" t="str">
        <f>IFERROR(__xludf.DUMMYFUNCTION("IFERROR(SPARKLINE(AO91,{""charttype"",""bar"";""color1"",IF(AO91&gt;='Май'!green_percent,'Май'!green,IF(AO91&gt;='Май'!yellow_percent,'Май'!yellow,IF(AO91&gt;='Май'!orange_percent,'Май'!orange,'Май'!red)));""max"",1}))"),"")</f>
        <v/>
      </c>
      <c r="AQ91" s="932">
        <v>0.06451612903225806</v>
      </c>
      <c r="AR91" s="463"/>
      <c r="AS91" s="932">
        <v>0.06451612903225806</v>
      </c>
      <c r="AT91" s="463"/>
      <c r="AU91" s="932">
        <v>0.06451612903225806</v>
      </c>
      <c r="AV91" s="776"/>
      <c r="AW91" s="932">
        <v>0.06451612903225806</v>
      </c>
      <c r="AX91" s="776"/>
      <c r="AY91" s="932">
        <v>0.06451612903225806</v>
      </c>
      <c r="AZ91" s="776"/>
      <c r="BA91" s="932">
        <v>0.06451612903225806</v>
      </c>
      <c r="BB91" s="776"/>
      <c r="BC91" s="932">
        <v>0.06451612903225806</v>
      </c>
      <c r="BD91" s="463"/>
      <c r="BE91" s="333">
        <f>AQ91+AS91+AU91+AW91+AY91+BA91+BC91</f>
        <v>0.4516129032</v>
      </c>
      <c r="BF91" s="448">
        <v>0.0</v>
      </c>
      <c r="BG91" s="279">
        <f t="shared" si="224"/>
        <v>0</v>
      </c>
      <c r="BH91" s="462" t="str">
        <f>IFERROR(__xludf.DUMMYFUNCTION("IFERROR(SPARKLINE(BG91,{""charttype"",""bar"";""color1"",IF(BG91&gt;='Май'!green_percent,'Май'!green,IF(BG91&gt;='Май'!yellow_percent,'Май'!yellow,IF(BG91&gt;='Май'!orange_percent,'Май'!orange,'Май'!red)));""max"",1}))"),"")</f>
        <v/>
      </c>
      <c r="BI91" s="932">
        <v>0.06451612903225806</v>
      </c>
      <c r="BJ91" s="466"/>
      <c r="BK91" s="932">
        <v>0.06451612903225806</v>
      </c>
      <c r="BL91" s="465"/>
      <c r="BM91" s="932">
        <v>0.06451612903225806</v>
      </c>
      <c r="BN91" s="465"/>
      <c r="BO91" s="932">
        <v>0.06451612903225806</v>
      </c>
      <c r="BP91" s="465"/>
      <c r="BQ91" s="932">
        <v>0.06451612903225806</v>
      </c>
      <c r="BR91" s="465"/>
      <c r="BS91" s="932">
        <v>0.06451612903225806</v>
      </c>
      <c r="BT91" s="465"/>
      <c r="BU91" s="932">
        <v>0.06451612903225806</v>
      </c>
      <c r="BV91" s="465"/>
      <c r="BW91" s="333">
        <f>BI91+BK91+BM91+BO91+BQ91+BS91+BU91</f>
        <v>0.4516129032</v>
      </c>
      <c r="BX91" s="448">
        <v>0.0</v>
      </c>
      <c r="BY91" s="279">
        <f t="shared" si="225"/>
        <v>0</v>
      </c>
      <c r="BZ91" s="462" t="str">
        <f>IFERROR(__xludf.DUMMYFUNCTION("IFERROR(SPARKLINE(BY91,{""charttype"",""bar"";""color1"",IF(BY91&gt;='Май'!green_percent,'Май'!green,IF(BY91&gt;='Май'!yellow_percent,'Май'!yellow,IF(BY91&gt;='Май'!orange_percent,'Май'!orange,'Май'!red)));""max"",1}))"),"")</f>
        <v/>
      </c>
      <c r="CA91" s="932">
        <v>0.06451612903225806</v>
      </c>
      <c r="CB91" s="466"/>
      <c r="CC91" s="932">
        <v>0.06451612903225806</v>
      </c>
      <c r="CD91" s="466"/>
      <c r="CE91" s="932">
        <v>0.06451612903225806</v>
      </c>
      <c r="CF91" s="466"/>
      <c r="CG91" s="932">
        <v>0.06451612903225806</v>
      </c>
      <c r="CH91" s="466"/>
      <c r="CI91" s="932">
        <v>0.06451612903225806</v>
      </c>
      <c r="CJ91" s="466"/>
      <c r="CK91" s="932">
        <v>0.06451612903225806</v>
      </c>
      <c r="CL91" s="466"/>
      <c r="CM91" s="932">
        <v>0.06451612903225806</v>
      </c>
      <c r="CN91" s="466"/>
      <c r="CO91" s="333">
        <f>CA91+CC91+CE91+CG91+CI91+CK91+CM91</f>
        <v>0.4516129032</v>
      </c>
      <c r="CP91" s="448">
        <v>0.0</v>
      </c>
      <c r="CQ91" s="279">
        <f t="shared" si="226"/>
        <v>0</v>
      </c>
      <c r="CR91" s="462" t="str">
        <f>IFERROR(__xludf.DUMMYFUNCTION("IFERROR(SPARKLINE(CQ91,{""charttype"",""bar"";""color1"",IF(CQ91&gt;='Май'!green_percent,'Май'!green,IF(CQ91&gt;='Май'!yellow_percent,'Май'!yellow,IF(CQ91&gt;='Май'!orange_percent,'Май'!orange,'Май'!red)));""max"",1}))"),"")</f>
        <v/>
      </c>
      <c r="CS91" s="924"/>
      <c r="CT91" s="448"/>
      <c r="CU91" s="842"/>
      <c r="CV91" s="843"/>
      <c r="CW91" s="843"/>
      <c r="CX91" s="843"/>
      <c r="CY91" s="843"/>
      <c r="CZ91" s="843"/>
      <c r="DA91" s="843"/>
      <c r="DB91" s="843"/>
      <c r="DC91" s="843"/>
      <c r="DD91" s="843"/>
      <c r="DE91" s="843"/>
      <c r="DF91" s="843"/>
      <c r="DG91" s="289"/>
      <c r="DH91" s="844"/>
      <c r="DI91" s="310"/>
      <c r="DJ91" s="339"/>
      <c r="DK91" s="843"/>
      <c r="DL91" s="933"/>
    </row>
    <row r="92">
      <c r="A92" s="912"/>
      <c r="B92" s="944" t="s">
        <v>38</v>
      </c>
      <c r="C92" s="242"/>
      <c r="D92" s="242"/>
      <c r="E92" s="243"/>
      <c r="F92" s="802">
        <f t="shared" ref="F92:G92" si="247">F91/F88</f>
        <v>1</v>
      </c>
      <c r="G92" s="412" t="str">
        <f t="shared" si="247"/>
        <v>#DIV/0!</v>
      </c>
      <c r="H92" s="704" t="str">
        <f t="shared" si="222"/>
        <v/>
      </c>
      <c r="I92" s="427" t="str">
        <f>IFERROR(__xludf.DUMMYFUNCTION("IFERROR(SPARKLINE(H92,{""charttype"",""bar"";""color1"",IF(H92&gt;='Май'!green_percent,'Май'!green,IF(H92&gt;='Май'!yellow_percent,'Май'!yellow,IF(H92&gt;='Май'!orange_percent,'Май'!orange,'Май'!red)));""max"",1}))"),"")</f>
        <v/>
      </c>
      <c r="K92" s="515"/>
      <c r="L92" s="773"/>
      <c r="M92" s="941"/>
      <c r="N92" s="773"/>
      <c r="O92" s="941">
        <v>0.967741935483871</v>
      </c>
      <c r="P92" s="755"/>
      <c r="Q92" s="941">
        <v>0.967741935483871</v>
      </c>
      <c r="R92" s="755"/>
      <c r="S92" s="941">
        <v>0.967741935483871</v>
      </c>
      <c r="T92" s="822"/>
      <c r="U92" s="319">
        <f t="shared" ref="U92:V92" si="248">U91/U88</f>
        <v>1</v>
      </c>
      <c r="V92" s="412" t="str">
        <f t="shared" si="248"/>
        <v>#DIV/0!</v>
      </c>
      <c r="W92" s="412" t="str">
        <f t="shared" si="223"/>
        <v/>
      </c>
      <c r="X92" s="413" t="str">
        <f>IFERROR(__xludf.DUMMYFUNCTION("IFERROR(SPARKLINE(W92,{""charttype"",""bar"";""color1"",IF(W92&gt;='Май'!green_percent,'Май'!green,IF(W92&gt;='Май'!yellow_percent,'Май'!yellow,IF(W92&gt;='Май'!orange_percent,'Май'!orange,'Май'!red)));""max"",1}))"),"")</f>
        <v/>
      </c>
      <c r="Y92" s="941">
        <v>0.967741935483871</v>
      </c>
      <c r="Z92" s="824"/>
      <c r="AA92" s="941">
        <v>0.967741935483871</v>
      </c>
      <c r="AB92" s="824"/>
      <c r="AC92" s="941">
        <v>0.967741935483871</v>
      </c>
      <c r="AD92" s="824"/>
      <c r="AE92" s="941">
        <v>0.967741935483871</v>
      </c>
      <c r="AF92" s="824"/>
      <c r="AG92" s="941">
        <v>0.967741935483871</v>
      </c>
      <c r="AH92" s="824"/>
      <c r="AI92" s="941">
        <v>0.967741935483871</v>
      </c>
      <c r="AJ92" s="825"/>
      <c r="AK92" s="941">
        <v>0.967741935483871</v>
      </c>
      <c r="AL92" s="459"/>
      <c r="AM92" s="319">
        <f>AM91/AM88</f>
        <v>1</v>
      </c>
      <c r="AN92" s="244">
        <v>0.0</v>
      </c>
      <c r="AO92" s="253">
        <f t="shared" si="231"/>
        <v>0</v>
      </c>
      <c r="AP92" s="427" t="str">
        <f>IFERROR(__xludf.DUMMYFUNCTION("IFERROR(SPARKLINE(AO92,{""charttype"",""bar"";""color1"",IF(AO92&gt;='Май'!green_percent,'Май'!green,IF(AO92&gt;='Май'!yellow_percent,'Май'!yellow,IF(AO92&gt;='Май'!orange_percent,'Май'!orange,'Май'!red)));""max"",1}))"),"")</f>
        <v/>
      </c>
      <c r="AQ92" s="941">
        <v>0.967741935483871</v>
      </c>
      <c r="AR92" s="822"/>
      <c r="AS92" s="941">
        <v>0.967741935483871</v>
      </c>
      <c r="AT92" s="822"/>
      <c r="AU92" s="941">
        <v>0.967741935483871</v>
      </c>
      <c r="AV92" s="776"/>
      <c r="AW92" s="941">
        <v>0.967741935483871</v>
      </c>
      <c r="AX92" s="776"/>
      <c r="AY92" s="941">
        <v>0.967741935483871</v>
      </c>
      <c r="AZ92" s="776"/>
      <c r="BA92" s="941">
        <v>0.967741935483871</v>
      </c>
      <c r="BB92" s="776"/>
      <c r="BC92" s="941">
        <v>0.967741935483871</v>
      </c>
      <c r="BD92" s="822"/>
      <c r="BE92" s="319">
        <f>BE91/BE88</f>
        <v>1</v>
      </c>
      <c r="BF92" s="244">
        <v>0.0</v>
      </c>
      <c r="BG92" s="253">
        <f t="shared" si="224"/>
        <v>0</v>
      </c>
      <c r="BH92" s="427" t="str">
        <f>IFERROR(__xludf.DUMMYFUNCTION("IFERROR(SPARKLINE(BG92,{""charttype"",""bar"";""color1"",IF(BG92&gt;='Май'!green_percent,'Май'!green,IF(BG92&gt;='Май'!yellow_percent,'Май'!yellow,IF(BG92&gt;='Май'!orange_percent,'Май'!orange,'Май'!red)));""max"",1}))"),"")</f>
        <v/>
      </c>
      <c r="BI92" s="941">
        <v>0.967741935483871</v>
      </c>
      <c r="BJ92" s="710"/>
      <c r="BK92" s="941">
        <v>0.967741935483871</v>
      </c>
      <c r="BL92" s="465"/>
      <c r="BM92" s="941">
        <v>0.967741935483871</v>
      </c>
      <c r="BN92" s="716"/>
      <c r="BO92" s="941">
        <v>0.967741935483871</v>
      </c>
      <c r="BP92" s="716"/>
      <c r="BQ92" s="941">
        <v>0.967741935483871</v>
      </c>
      <c r="BR92" s="716"/>
      <c r="BS92" s="941">
        <v>0.967741935483871</v>
      </c>
      <c r="BT92" s="716"/>
      <c r="BU92" s="941">
        <v>0.967741935483871</v>
      </c>
      <c r="BV92" s="716"/>
      <c r="BW92" s="319">
        <f>BW91/BW88</f>
        <v>1</v>
      </c>
      <c r="BX92" s="486"/>
      <c r="BY92" s="253">
        <f t="shared" si="225"/>
        <v>0</v>
      </c>
      <c r="BZ92" s="427" t="str">
        <f>IFERROR(__xludf.DUMMYFUNCTION("IFERROR(SPARKLINE(BY92,{""charttype"",""bar"";""color1"",IF(BY92&gt;='Май'!green_percent,'Май'!green,IF(BY92&gt;='Май'!yellow_percent,'Май'!yellow,IF(BY92&gt;='Май'!orange_percent,'Май'!orange,'Май'!red)));""max"",1}))"),"")</f>
        <v/>
      </c>
      <c r="CA92" s="941">
        <v>0.967741935483871</v>
      </c>
      <c r="CB92" s="710"/>
      <c r="CC92" s="941">
        <v>0.967741935483871</v>
      </c>
      <c r="CD92" s="710"/>
      <c r="CE92" s="941">
        <v>0.967741935483871</v>
      </c>
      <c r="CF92" s="710"/>
      <c r="CG92" s="941">
        <v>0.967741935483871</v>
      </c>
      <c r="CH92" s="710"/>
      <c r="CI92" s="941">
        <v>0.967741935483871</v>
      </c>
      <c r="CJ92" s="710"/>
      <c r="CK92" s="941">
        <v>0.967741935483871</v>
      </c>
      <c r="CL92" s="710"/>
      <c r="CM92" s="941">
        <v>0.967741935483871</v>
      </c>
      <c r="CN92" s="710"/>
      <c r="CO92" s="319">
        <f>CO91/CO88</f>
        <v>1</v>
      </c>
      <c r="CP92" s="486"/>
      <c r="CQ92" s="253">
        <f t="shared" si="226"/>
        <v>0</v>
      </c>
      <c r="CR92" s="427" t="str">
        <f>IFERROR(__xludf.DUMMYFUNCTION("IFERROR(SPARKLINE(CQ92,{""charttype"",""bar"";""color1"",IF(CQ92&gt;='Май'!green_percent,'Май'!green,IF(CQ92&gt;='Май'!yellow_percent,'Май'!yellow,IF(CQ92&gt;='Май'!orange_percent,'Май'!orange,'Май'!red)));""max"",1}))"),"")</f>
        <v/>
      </c>
      <c r="CS92" s="924"/>
      <c r="CT92" s="244"/>
      <c r="CU92" s="842"/>
      <c r="CV92" s="875"/>
      <c r="CW92" s="875"/>
      <c r="CX92" s="875"/>
      <c r="CY92" s="875"/>
      <c r="CZ92" s="875"/>
      <c r="DA92" s="875"/>
      <c r="DB92" s="875"/>
      <c r="DC92" s="875"/>
      <c r="DD92" s="875"/>
      <c r="DE92" s="875"/>
      <c r="DF92" s="875"/>
      <c r="DG92" s="326"/>
      <c r="DH92" s="876"/>
      <c r="DI92" s="327"/>
      <c r="DJ92" s="329"/>
      <c r="DK92" s="875"/>
      <c r="DL92" s="926"/>
    </row>
    <row r="93">
      <c r="A93" s="927"/>
      <c r="B93" s="934" t="s">
        <v>26</v>
      </c>
      <c r="C93" s="217"/>
      <c r="D93" s="217"/>
      <c r="E93" s="218"/>
      <c r="F93" s="448">
        <v>1.0</v>
      </c>
      <c r="G93" s="448">
        <f t="shared" ref="G93:G94" si="249">V93+AN93+BF93+BX93+CP93</f>
        <v>0</v>
      </c>
      <c r="H93" s="543">
        <f t="shared" si="222"/>
        <v>0</v>
      </c>
      <c r="I93" s="462" t="str">
        <f>IFERROR(__xludf.DUMMYFUNCTION("IFERROR(SPARKLINE(H93,{""charttype"",""bar"";""color1"",IF(H93&gt;='Май'!green_percent,'Май'!green,IF(H93&gt;='Май'!yellow_percent,'Май'!yellow,IF(H93&gt;='Май'!orange_percent,'Май'!orange,'Май'!red)));""max"",1}))"),"")</f>
        <v/>
      </c>
      <c r="K93" s="282"/>
      <c r="L93" s="773">
        <v>0.0</v>
      </c>
      <c r="M93" s="932"/>
      <c r="N93" s="773">
        <v>0.0</v>
      </c>
      <c r="O93" s="1028">
        <v>0.03333333333333333</v>
      </c>
      <c r="P93" s="1024"/>
      <c r="Q93" s="1028">
        <v>0.03333333333333333</v>
      </c>
      <c r="R93" s="1024"/>
      <c r="S93" s="1028">
        <v>0.03333333333333333</v>
      </c>
      <c r="T93" s="463"/>
      <c r="U93" s="460">
        <f t="shared" ref="U93:U94" si="250">O93+Q93+S93</f>
        <v>0.1</v>
      </c>
      <c r="V93" s="448">
        <v>0.0</v>
      </c>
      <c r="W93" s="220">
        <f t="shared" si="223"/>
        <v>0</v>
      </c>
      <c r="X93" s="449" t="str">
        <f>IFERROR(__xludf.DUMMYFUNCTION("IFERROR(SPARKLINE(W93,{""charttype"",""bar"";""color1"",IF(W93&gt;='Май'!green_percent,'Май'!green,IF(W93&gt;='Май'!yellow_percent,'Май'!yellow,IF(W93&gt;='Май'!orange_percent,'Май'!orange,'Май'!red)));""max"",1}))"),"")</f>
        <v/>
      </c>
      <c r="Y93" s="1028">
        <v>0.03333333333333333</v>
      </c>
      <c r="Z93" s="824"/>
      <c r="AA93" s="1028">
        <v>0.03333333333333333</v>
      </c>
      <c r="AB93" s="824"/>
      <c r="AC93" s="1028">
        <v>0.03333333333333333</v>
      </c>
      <c r="AD93" s="824"/>
      <c r="AE93" s="1028">
        <v>0.03333333333333333</v>
      </c>
      <c r="AF93" s="824"/>
      <c r="AG93" s="1028">
        <v>0.03333333333333333</v>
      </c>
      <c r="AH93" s="824"/>
      <c r="AI93" s="1028">
        <v>0.03333333333333333</v>
      </c>
      <c r="AJ93" s="825"/>
      <c r="AK93" s="1028">
        <v>0.03333333333333333</v>
      </c>
      <c r="AL93" s="459"/>
      <c r="AM93" s="333">
        <f t="shared" ref="AM93:AM94" si="251">Y93+AA93+AC93+AE93+AG93+AI93+AK93</f>
        <v>0.2333333333</v>
      </c>
      <c r="AN93" s="448">
        <v>0.0</v>
      </c>
      <c r="AO93" s="279"/>
      <c r="AP93" s="462"/>
      <c r="AQ93" s="1028">
        <v>0.03333333333333333</v>
      </c>
      <c r="AR93" s="463"/>
      <c r="AS93" s="1028">
        <v>0.03333333333333333</v>
      </c>
      <c r="AT93" s="463"/>
      <c r="AU93" s="1028">
        <v>0.03333333333333333</v>
      </c>
      <c r="AV93" s="776"/>
      <c r="AW93" s="1028">
        <v>0.03333333333333333</v>
      </c>
      <c r="AX93" s="776"/>
      <c r="AY93" s="1028">
        <v>0.03333333333333333</v>
      </c>
      <c r="AZ93" s="776"/>
      <c r="BA93" s="1028">
        <v>0.03333333333333333</v>
      </c>
      <c r="BB93" s="776"/>
      <c r="BC93" s="1028">
        <v>0.03333333333333333</v>
      </c>
      <c r="BD93" s="463"/>
      <c r="BE93" s="333">
        <f t="shared" ref="BE93:BE94" si="252">AQ93+AS93+AU93+AW93+AY93+BA93+BC93</f>
        <v>0.2333333333</v>
      </c>
      <c r="BF93" s="448">
        <v>0.0</v>
      </c>
      <c r="BG93" s="279">
        <f t="shared" si="224"/>
        <v>0</v>
      </c>
      <c r="BH93" s="462" t="str">
        <f>IFERROR(__xludf.DUMMYFUNCTION("IFERROR(SPARKLINE(BG93,{""charttype"",""bar"";""color1"",IF(BG93&gt;='Май'!green_percent,'Май'!green,IF(BG93&gt;='Май'!yellow_percent,'Май'!yellow,IF(BG93&gt;='Май'!orange_percent,'Май'!orange,'Май'!red)));""max"",1}))"),"")</f>
        <v/>
      </c>
      <c r="BI93" s="1028">
        <v>0.03333333333333333</v>
      </c>
      <c r="BJ93" s="466"/>
      <c r="BK93" s="1028">
        <v>0.03333333333333333</v>
      </c>
      <c r="BL93" s="465"/>
      <c r="BM93" s="1028">
        <v>0.03333333333333333</v>
      </c>
      <c r="BN93" s="465"/>
      <c r="BO93" s="1028">
        <v>0.03333333333333333</v>
      </c>
      <c r="BP93" s="465"/>
      <c r="BQ93" s="1028">
        <v>0.03333333333333333</v>
      </c>
      <c r="BR93" s="465"/>
      <c r="BS93" s="1028">
        <v>0.03333333333333333</v>
      </c>
      <c r="BT93" s="465"/>
      <c r="BU93" s="1028">
        <v>0.03333333333333333</v>
      </c>
      <c r="BV93" s="465"/>
      <c r="BW93" s="333">
        <f t="shared" ref="BW93:BW94" si="253">BI93+BK93+BM93+BO93+BQ93+BS93+BU93</f>
        <v>0.2333333333</v>
      </c>
      <c r="BX93" s="464"/>
      <c r="BY93" s="279">
        <f t="shared" si="225"/>
        <v>0</v>
      </c>
      <c r="BZ93" s="462" t="str">
        <f>IFERROR(__xludf.DUMMYFUNCTION("IFERROR(SPARKLINE(BY93,{""charttype"",""bar"";""color1"",IF(BY93&gt;='Май'!green_percent,'Май'!green,IF(BY93&gt;='Май'!yellow_percent,'Май'!yellow,IF(BY93&gt;='Май'!orange_percent,'Май'!orange,'Май'!red)));""max"",1}))"),"")</f>
        <v/>
      </c>
      <c r="CA93" s="1028">
        <v>0.03333333333333333</v>
      </c>
      <c r="CB93" s="466"/>
      <c r="CC93" s="1028">
        <v>0.03333333333333333</v>
      </c>
      <c r="CD93" s="466"/>
      <c r="CE93" s="1028">
        <v>0.03333333333333333</v>
      </c>
      <c r="CF93" s="466"/>
      <c r="CG93" s="1028">
        <v>0.03333333333333333</v>
      </c>
      <c r="CH93" s="466"/>
      <c r="CI93" s="1028">
        <v>0.03333333333333333</v>
      </c>
      <c r="CJ93" s="466"/>
      <c r="CK93" s="1028">
        <v>0.03333333333333333</v>
      </c>
      <c r="CL93" s="466"/>
      <c r="CM93" s="1028">
        <v>0.03333333333333333</v>
      </c>
      <c r="CN93" s="466"/>
      <c r="CO93" s="333">
        <f t="shared" ref="CO93:CO94" si="254">CA93+CC93+CE93+CG93+CI93+CK93+CM93</f>
        <v>0.2333333333</v>
      </c>
      <c r="CP93" s="464"/>
      <c r="CQ93" s="279">
        <f t="shared" si="226"/>
        <v>0</v>
      </c>
      <c r="CR93" s="462" t="str">
        <f>IFERROR(__xludf.DUMMYFUNCTION("IFERROR(SPARKLINE(CQ93,{""charttype"",""bar"";""color1"",IF(CQ93&gt;='Май'!green_percent,'Май'!green,IF(CQ93&gt;='Май'!yellow_percent,'Май'!yellow,IF(CQ93&gt;='Май'!orange_percent,'Май'!orange,'Май'!red)));""max"",1}))"),"")</f>
        <v/>
      </c>
      <c r="CS93" s="924"/>
      <c r="CT93" s="448"/>
      <c r="CU93" s="842"/>
      <c r="CV93" s="843"/>
      <c r="CW93" s="843"/>
      <c r="CX93" s="843"/>
      <c r="CY93" s="843"/>
      <c r="CZ93" s="843"/>
      <c r="DA93" s="843"/>
      <c r="DB93" s="843"/>
      <c r="DC93" s="843"/>
      <c r="DD93" s="843"/>
      <c r="DE93" s="843"/>
      <c r="DF93" s="843"/>
      <c r="DG93" s="289"/>
      <c r="DH93" s="844"/>
      <c r="DI93" s="310"/>
      <c r="DJ93" s="339"/>
      <c r="DK93" s="843"/>
      <c r="DL93" s="933"/>
    </row>
    <row r="94">
      <c r="A94" s="912"/>
      <c r="B94" s="937" t="s">
        <v>39</v>
      </c>
      <c r="C94" s="242"/>
      <c r="D94" s="242"/>
      <c r="E94" s="243"/>
      <c r="F94" s="581">
        <v>200000.0</v>
      </c>
      <c r="G94" s="581">
        <f t="shared" si="249"/>
        <v>0</v>
      </c>
      <c r="H94" s="704">
        <f t="shared" si="222"/>
        <v>0</v>
      </c>
      <c r="I94" s="427" t="str">
        <f>IFERROR(__xludf.DUMMYFUNCTION("IFERROR(SPARKLINE(H94,{""charttype"",""bar"";""color1"",IF(H94&gt;='Май'!green_percent,'Май'!green,IF(H94&gt;='Май'!yellow_percent,'Май'!yellow,IF(H94&gt;='Май'!orange_percent,'Май'!orange,'Май'!red)));""max"",1}))"),"")</f>
        <v/>
      </c>
      <c r="K94" s="497"/>
      <c r="L94" s="930"/>
      <c r="M94" s="1018"/>
      <c r="N94" s="773"/>
      <c r="O94" s="1018">
        <f>F94/31</f>
        <v>6451.612903</v>
      </c>
      <c r="P94" s="786"/>
      <c r="Q94" s="1018">
        <v>6451.612903225807</v>
      </c>
      <c r="R94" s="786"/>
      <c r="S94" s="1018">
        <v>6451.612903225807</v>
      </c>
      <c r="T94" s="822">
        <v>0.0</v>
      </c>
      <c r="U94" s="423">
        <f t="shared" si="250"/>
        <v>19354.83871</v>
      </c>
      <c r="V94" s="244"/>
      <c r="W94" s="412">
        <f t="shared" si="223"/>
        <v>0</v>
      </c>
      <c r="X94" s="413" t="str">
        <f>IFERROR(__xludf.DUMMYFUNCTION("IFERROR(SPARKLINE(W94,{""charttype"",""bar"";""color1"",IF(W94&gt;='Май'!green_percent,'Май'!green,IF(W94&gt;='Май'!yellow_percent,'Май'!yellow,IF(W94&gt;='Май'!orange_percent,'Май'!orange,'Май'!red)));""max"",1}))"),"")</f>
        <v/>
      </c>
      <c r="Y94" s="1018">
        <v>6451.612903225807</v>
      </c>
      <c r="Z94" s="824"/>
      <c r="AA94" s="1018">
        <v>6451.612903225807</v>
      </c>
      <c r="AB94" s="824"/>
      <c r="AC94" s="1018">
        <v>6451.612903225807</v>
      </c>
      <c r="AD94" s="824"/>
      <c r="AE94" s="1018">
        <v>6451.612903225807</v>
      </c>
      <c r="AF94" s="824"/>
      <c r="AG94" s="1018">
        <v>6451.612903225807</v>
      </c>
      <c r="AH94" s="824"/>
      <c r="AI94" s="1018">
        <v>6451.612903225807</v>
      </c>
      <c r="AJ94" s="825"/>
      <c r="AK94" s="1018">
        <v>6451.612903225807</v>
      </c>
      <c r="AL94" s="459"/>
      <c r="AM94" s="591">
        <f t="shared" si="251"/>
        <v>45161.29032</v>
      </c>
      <c r="AN94" s="244">
        <v>0.0</v>
      </c>
      <c r="AO94" s="253"/>
      <c r="AP94" s="427"/>
      <c r="AQ94" s="1018">
        <v>6451.612903225807</v>
      </c>
      <c r="AR94" s="822"/>
      <c r="AS94" s="1018">
        <v>6451.612903225807</v>
      </c>
      <c r="AT94" s="822"/>
      <c r="AU94" s="1018">
        <v>6451.612903225807</v>
      </c>
      <c r="AV94" s="776"/>
      <c r="AW94" s="1018">
        <v>6451.612903225807</v>
      </c>
      <c r="AX94" s="776"/>
      <c r="AY94" s="1018">
        <v>6451.612903225807</v>
      </c>
      <c r="AZ94" s="776"/>
      <c r="BA94" s="1018">
        <v>6451.612903225807</v>
      </c>
      <c r="BB94" s="776"/>
      <c r="BC94" s="1018">
        <v>6451.612903225807</v>
      </c>
      <c r="BD94" s="822"/>
      <c r="BE94" s="591">
        <f t="shared" si="252"/>
        <v>45161.29032</v>
      </c>
      <c r="BF94" s="244">
        <v>0.0</v>
      </c>
      <c r="BG94" s="253">
        <f t="shared" si="224"/>
        <v>0</v>
      </c>
      <c r="BH94" s="427" t="str">
        <f>IFERROR(__xludf.DUMMYFUNCTION("IFERROR(SPARKLINE(BG94,{""charttype"",""bar"";""color1"",IF(BG94&gt;='Май'!green_percent,'Май'!green,IF(BG94&gt;='Май'!yellow_percent,'Май'!yellow,IF(BG94&gt;='Май'!orange_percent,'Май'!orange,'Май'!red)));""max"",1}))"),"")</f>
        <v/>
      </c>
      <c r="BI94" s="1018">
        <v>6451.612903225807</v>
      </c>
      <c r="BJ94" s="710"/>
      <c r="BK94" s="1018">
        <v>6451.612903225807</v>
      </c>
      <c r="BL94" s="465"/>
      <c r="BM94" s="1018">
        <v>6451.612903225807</v>
      </c>
      <c r="BN94" s="716"/>
      <c r="BO94" s="1018">
        <v>6451.612903225807</v>
      </c>
      <c r="BP94" s="716"/>
      <c r="BQ94" s="1018">
        <v>6451.612903225807</v>
      </c>
      <c r="BR94" s="716"/>
      <c r="BS94" s="1018">
        <v>6451.612903225807</v>
      </c>
      <c r="BT94" s="716"/>
      <c r="BU94" s="1018">
        <v>6451.612903225807</v>
      </c>
      <c r="BV94" s="716"/>
      <c r="BW94" s="591">
        <f t="shared" si="253"/>
        <v>45161.29032</v>
      </c>
      <c r="BX94" s="244">
        <v>0.0</v>
      </c>
      <c r="BY94" s="253">
        <f t="shared" si="225"/>
        <v>0</v>
      </c>
      <c r="BZ94" s="427" t="str">
        <f>IFERROR(__xludf.DUMMYFUNCTION("IFERROR(SPARKLINE(BY94,{""charttype"",""bar"";""color1"",IF(BY94&gt;='Май'!green_percent,'Май'!green,IF(BY94&gt;='Май'!yellow_percent,'Май'!yellow,IF(BY94&gt;='Май'!orange_percent,'Май'!orange,'Май'!red)));""max"",1}))"),"")</f>
        <v/>
      </c>
      <c r="CA94" s="1018">
        <v>6451.612903225807</v>
      </c>
      <c r="CB94" s="710"/>
      <c r="CC94" s="1018">
        <v>6451.612903225807</v>
      </c>
      <c r="CD94" s="710"/>
      <c r="CE94" s="1018">
        <v>6451.612903225807</v>
      </c>
      <c r="CF94" s="710"/>
      <c r="CG94" s="1018">
        <v>6451.612903225807</v>
      </c>
      <c r="CH94" s="710"/>
      <c r="CI94" s="1018">
        <v>6451.612903225807</v>
      </c>
      <c r="CJ94" s="710"/>
      <c r="CK94" s="1018">
        <v>6451.612903225807</v>
      </c>
      <c r="CL94" s="710"/>
      <c r="CM94" s="1018">
        <v>6451.612903225807</v>
      </c>
      <c r="CN94" s="710"/>
      <c r="CO94" s="591">
        <f t="shared" si="254"/>
        <v>45161.29032</v>
      </c>
      <c r="CP94" s="244">
        <v>0.0</v>
      </c>
      <c r="CQ94" s="253">
        <f t="shared" si="226"/>
        <v>0</v>
      </c>
      <c r="CR94" s="427" t="str">
        <f>IFERROR(__xludf.DUMMYFUNCTION("IFERROR(SPARKLINE(CQ94,{""charttype"",""bar"";""color1"",IF(CQ94&gt;='Май'!green_percent,'Май'!green,IF(CQ94&gt;='Май'!yellow_percent,'Май'!yellow,IF(CQ94&gt;='Май'!orange_percent,'Май'!orange,'Май'!red)));""max"",1}))"),"")</f>
        <v/>
      </c>
      <c r="CS94" s="924"/>
      <c r="CT94" s="244"/>
      <c r="CU94" s="842"/>
      <c r="CV94" s="875"/>
      <c r="CW94" s="875"/>
      <c r="CX94" s="875"/>
      <c r="CY94" s="875"/>
      <c r="CZ94" s="875"/>
      <c r="DA94" s="875"/>
      <c r="DB94" s="875"/>
      <c r="DC94" s="875"/>
      <c r="DD94" s="875"/>
      <c r="DE94" s="875"/>
      <c r="DF94" s="875"/>
      <c r="DG94" s="326"/>
      <c r="DH94" s="876"/>
      <c r="DI94" s="327"/>
      <c r="DJ94" s="329"/>
      <c r="DK94" s="875"/>
      <c r="DL94" s="926"/>
    </row>
    <row r="95">
      <c r="A95" s="927"/>
      <c r="B95" s="951" t="s">
        <v>57</v>
      </c>
      <c r="C95" s="217"/>
      <c r="D95" s="217"/>
      <c r="E95" s="218"/>
      <c r="F95" s="1030">
        <f t="shared" ref="F95:G95" si="255">F93/F88</f>
        <v>0.5</v>
      </c>
      <c r="G95" s="219" t="str">
        <f t="shared" si="255"/>
        <v>#DIV/0!</v>
      </c>
      <c r="H95" s="543" t="str">
        <f t="shared" si="222"/>
        <v/>
      </c>
      <c r="I95" s="462" t="str">
        <f>IFERROR(__xludf.DUMMYFUNCTION("IFERROR(SPARKLINE(H95,{""charttype"",""bar"";""color1"",IF(H95&gt;='Май'!green_percent,'Май'!green,IF(H95&gt;='Май'!yellow_percent,'Май'!yellow,IF(H95&gt;='Май'!orange_percent,'Май'!orange,'Май'!red)));""max"",1}))"),"")</f>
        <v/>
      </c>
      <c r="K95" s="518"/>
      <c r="L95" s="930"/>
      <c r="M95" s="941"/>
      <c r="N95" s="773"/>
      <c r="O95" s="941">
        <v>0.5166666666666667</v>
      </c>
      <c r="P95" s="755"/>
      <c r="Q95" s="941">
        <v>0.5166666666666667</v>
      </c>
      <c r="R95" s="755"/>
      <c r="S95" s="941">
        <v>0.5166666666666667</v>
      </c>
      <c r="T95" s="463"/>
      <c r="U95" s="226">
        <f t="shared" ref="U95:V95" si="256">U93/U88</f>
        <v>0.5166666667</v>
      </c>
      <c r="V95" s="219" t="str">
        <f t="shared" si="256"/>
        <v>#DIV/0!</v>
      </c>
      <c r="W95" s="220" t="str">
        <f t="shared" si="223"/>
        <v/>
      </c>
      <c r="X95" s="449" t="str">
        <f>IFERROR(__xludf.DUMMYFUNCTION("IFERROR(SPARKLINE(W95,{""charttype"",""bar"";""color1"",IF(W95&gt;='Май'!green_percent,'Май'!green,IF(W95&gt;='Май'!yellow_percent,'Май'!yellow,IF(W95&gt;='Май'!orange_percent,'Май'!orange,'Май'!red)));""max"",1}))"),"")</f>
        <v/>
      </c>
      <c r="Y95" s="941">
        <v>0.5166666666666667</v>
      </c>
      <c r="Z95" s="824"/>
      <c r="AA95" s="941">
        <v>0.5166666666666667</v>
      </c>
      <c r="AB95" s="824"/>
      <c r="AC95" s="941">
        <v>0.5166666666666667</v>
      </c>
      <c r="AD95" s="824"/>
      <c r="AE95" s="941">
        <v>0.5166666666666667</v>
      </c>
      <c r="AF95" s="824"/>
      <c r="AG95" s="941">
        <v>0.5166666666666667</v>
      </c>
      <c r="AH95" s="824"/>
      <c r="AI95" s="941">
        <v>0.5166666666666667</v>
      </c>
      <c r="AJ95" s="825"/>
      <c r="AK95" s="941">
        <v>0.5166666666666667</v>
      </c>
      <c r="AL95" s="459"/>
      <c r="AM95" s="226">
        <f>AM93/AM88</f>
        <v>0.5166666667</v>
      </c>
      <c r="AN95" s="448">
        <v>0.0</v>
      </c>
      <c r="AO95" s="279"/>
      <c r="AP95" s="462"/>
      <c r="AQ95" s="941">
        <v>0.5166666666666667</v>
      </c>
      <c r="AR95" s="463"/>
      <c r="AS95" s="941">
        <v>0.5166666666666667</v>
      </c>
      <c r="AT95" s="463"/>
      <c r="AU95" s="941">
        <v>0.5166666666666667</v>
      </c>
      <c r="AV95" s="776"/>
      <c r="AW95" s="941">
        <v>0.5166666666666667</v>
      </c>
      <c r="AX95" s="776"/>
      <c r="AY95" s="941">
        <v>0.5166666666666667</v>
      </c>
      <c r="AZ95" s="776"/>
      <c r="BA95" s="941">
        <v>0.5166666666666667</v>
      </c>
      <c r="BB95" s="776"/>
      <c r="BC95" s="941">
        <v>0.5166666666666667</v>
      </c>
      <c r="BD95" s="463"/>
      <c r="BE95" s="226">
        <f>BE93/BE88</f>
        <v>0.5166666667</v>
      </c>
      <c r="BF95" s="448">
        <v>0.0</v>
      </c>
      <c r="BG95" s="279">
        <f t="shared" si="224"/>
        <v>0</v>
      </c>
      <c r="BH95" s="462" t="str">
        <f>IFERROR(__xludf.DUMMYFUNCTION("IFERROR(SPARKLINE(BG95,{""charttype"",""bar"";""color1"",IF(BG95&gt;='Май'!green_percent,'Май'!green,IF(BG95&gt;='Май'!yellow_percent,'Май'!yellow,IF(BG95&gt;='Май'!orange_percent,'Май'!orange,'Май'!red)));""max"",1}))"),"")</f>
        <v/>
      </c>
      <c r="BI95" s="941">
        <v>0.5166666666666667</v>
      </c>
      <c r="BJ95" s="466"/>
      <c r="BK95" s="941">
        <v>0.5166666666666667</v>
      </c>
      <c r="BL95" s="465"/>
      <c r="BM95" s="941">
        <v>0.5166666666666667</v>
      </c>
      <c r="BN95" s="465"/>
      <c r="BO95" s="941">
        <v>0.5166666666666667</v>
      </c>
      <c r="BP95" s="465"/>
      <c r="BQ95" s="941">
        <v>0.5166666666666667</v>
      </c>
      <c r="BR95" s="465"/>
      <c r="BS95" s="941">
        <v>0.5166666666666667</v>
      </c>
      <c r="BT95" s="465"/>
      <c r="BU95" s="941">
        <v>0.5166666666666667</v>
      </c>
      <c r="BV95" s="465"/>
      <c r="BW95" s="226">
        <f>BW93/BW88</f>
        <v>0.5166666667</v>
      </c>
      <c r="BX95" s="464"/>
      <c r="BY95" s="279">
        <f t="shared" si="225"/>
        <v>0</v>
      </c>
      <c r="BZ95" s="462" t="str">
        <f>IFERROR(__xludf.DUMMYFUNCTION("IFERROR(SPARKLINE(BY95,{""charttype"",""bar"";""color1"",IF(BY95&gt;='Май'!green_percent,'Май'!green,IF(BY95&gt;='Май'!yellow_percent,'Май'!yellow,IF(BY95&gt;='Май'!orange_percent,'Май'!orange,'Май'!red)));""max"",1}))"),"")</f>
        <v/>
      </c>
      <c r="CA95" s="941">
        <v>0.5166666666666667</v>
      </c>
      <c r="CB95" s="466"/>
      <c r="CC95" s="941">
        <v>0.5166666666666667</v>
      </c>
      <c r="CD95" s="466"/>
      <c r="CE95" s="941">
        <v>0.5166666666666667</v>
      </c>
      <c r="CF95" s="466"/>
      <c r="CG95" s="941">
        <v>0.5166666666666667</v>
      </c>
      <c r="CH95" s="466"/>
      <c r="CI95" s="941">
        <v>0.5166666666666667</v>
      </c>
      <c r="CJ95" s="466"/>
      <c r="CK95" s="941">
        <v>0.5166666666666667</v>
      </c>
      <c r="CL95" s="466"/>
      <c r="CM95" s="941">
        <v>0.5166666666666667</v>
      </c>
      <c r="CN95" s="466"/>
      <c r="CO95" s="226">
        <f>CO93/CO88</f>
        <v>0.5166666667</v>
      </c>
      <c r="CP95" s="464"/>
      <c r="CQ95" s="279">
        <f t="shared" si="226"/>
        <v>0</v>
      </c>
      <c r="CR95" s="462" t="str">
        <f>IFERROR(__xludf.DUMMYFUNCTION("IFERROR(SPARKLINE(CQ95,{""charttype"",""bar"";""color1"",IF(CQ95&gt;='Май'!green_percent,'Май'!green,IF(CQ95&gt;='Май'!yellow_percent,'Май'!yellow,IF(CQ95&gt;='Май'!orange_percent,'Май'!orange,'Май'!red)));""max"",1}))"),"")</f>
        <v/>
      </c>
      <c r="CS95" s="924"/>
      <c r="CT95" s="448"/>
      <c r="CU95" s="842"/>
      <c r="CV95" s="843"/>
      <c r="CW95" s="843"/>
      <c r="CX95" s="843"/>
      <c r="CY95" s="843"/>
      <c r="CZ95" s="843"/>
      <c r="DA95" s="843"/>
      <c r="DB95" s="843"/>
      <c r="DC95" s="843"/>
      <c r="DD95" s="843"/>
      <c r="DE95" s="843"/>
      <c r="DF95" s="843"/>
      <c r="DG95" s="289"/>
      <c r="DH95" s="844"/>
      <c r="DI95" s="310"/>
      <c r="DJ95" s="339"/>
      <c r="DK95" s="843"/>
      <c r="DL95" s="933"/>
    </row>
    <row r="96">
      <c r="A96" s="912"/>
      <c r="B96" s="1031" t="s">
        <v>27</v>
      </c>
      <c r="C96" s="242"/>
      <c r="D96" s="242"/>
      <c r="E96" s="243"/>
      <c r="F96" s="581">
        <f t="shared" ref="F96:G96" si="257">F79/F93</f>
        <v>30000</v>
      </c>
      <c r="G96" s="581" t="str">
        <f t="shared" si="257"/>
        <v>#DIV/0!</v>
      </c>
      <c r="H96" s="704" t="str">
        <f t="shared" si="222"/>
        <v/>
      </c>
      <c r="I96" s="427" t="str">
        <f>IFERROR(__xludf.DUMMYFUNCTION("IFERROR(SPARKLINE(H96,{""charttype"",""bar"";""color1"",IF(H96&gt;='Май'!green_percent,'Май'!green,IF(H96&gt;='Май'!yellow_percent,'Май'!yellow,IF(H96&gt;='Май'!orange_percent,'Май'!orange,'Май'!red)));""max"",1}))"),"")</f>
        <v/>
      </c>
      <c r="K96" s="497"/>
      <c r="L96" s="955"/>
      <c r="M96" s="1018"/>
      <c r="N96" s="820"/>
      <c r="O96" s="581">
        <v>30000.0</v>
      </c>
      <c r="P96" s="786"/>
      <c r="Q96" s="581">
        <v>30000.0</v>
      </c>
      <c r="R96" s="786"/>
      <c r="S96" s="581">
        <v>30000.0</v>
      </c>
      <c r="T96" s="822"/>
      <c r="U96" s="581">
        <f>U79/U93</f>
        <v>29032.25806</v>
      </c>
      <c r="V96" s="592" t="str">
        <f>L96+N96+#REF!+#REF!+P96+R96+T96</f>
        <v>#REF!</v>
      </c>
      <c r="W96" s="412" t="str">
        <f t="shared" si="223"/>
        <v/>
      </c>
      <c r="X96" s="413" t="str">
        <f>IFERROR(__xludf.DUMMYFUNCTION("IFERROR(SPARKLINE(W96,{""charttype"",""bar"";""color1"",IF(W96&gt;='Май'!green_percent,'Май'!green,IF(W96&gt;='Май'!yellow_percent,'Май'!yellow,IF(W96&gt;='Май'!orange_percent,'Май'!orange,'Май'!red)));""max"",1}))"),"")</f>
        <v/>
      </c>
      <c r="Y96" s="581">
        <v>30000.0</v>
      </c>
      <c r="Z96" s="824"/>
      <c r="AA96" s="581">
        <v>30000.0</v>
      </c>
      <c r="AB96" s="824"/>
      <c r="AC96" s="581">
        <v>30000.0</v>
      </c>
      <c r="AD96" s="824"/>
      <c r="AE96" s="581">
        <v>30000.0</v>
      </c>
      <c r="AF96" s="824"/>
      <c r="AG96" s="581">
        <v>30000.0</v>
      </c>
      <c r="AH96" s="824"/>
      <c r="AI96" s="581">
        <v>30000.0</v>
      </c>
      <c r="AJ96" s="825"/>
      <c r="AK96" s="581">
        <v>30000.0</v>
      </c>
      <c r="AL96" s="459"/>
      <c r="AM96" s="581">
        <v>30000.0</v>
      </c>
      <c r="AN96" s="244">
        <v>0.0</v>
      </c>
      <c r="AO96" s="253"/>
      <c r="AP96" s="427"/>
      <c r="AQ96" s="581">
        <v>30000.0</v>
      </c>
      <c r="AR96" s="822"/>
      <c r="AS96" s="581">
        <v>30000.0</v>
      </c>
      <c r="AT96" s="822"/>
      <c r="AU96" s="581">
        <v>30000.0</v>
      </c>
      <c r="AV96" s="776"/>
      <c r="AW96" s="581">
        <v>30000.0</v>
      </c>
      <c r="AX96" s="776"/>
      <c r="AY96" s="581">
        <v>30000.0</v>
      </c>
      <c r="AZ96" s="776"/>
      <c r="BA96" s="581">
        <v>30000.0</v>
      </c>
      <c r="BB96" s="776"/>
      <c r="BC96" s="581">
        <v>30000.0</v>
      </c>
      <c r="BD96" s="822"/>
      <c r="BE96" s="581">
        <v>30000.0</v>
      </c>
      <c r="BF96" s="244">
        <v>0.0</v>
      </c>
      <c r="BG96" s="253">
        <f t="shared" si="224"/>
        <v>0</v>
      </c>
      <c r="BH96" s="427" t="str">
        <f>IFERROR(__xludf.DUMMYFUNCTION("IFERROR(SPARKLINE(BG96,{""charttype"",""bar"";""color1"",IF(BG96&gt;='Май'!green_percent,'Май'!green,IF(BG96&gt;='Май'!yellow_percent,'Май'!yellow,IF(BG96&gt;='Май'!orange_percent,'Май'!orange,'Май'!red)));""max"",1}))"),"")</f>
        <v/>
      </c>
      <c r="BI96" s="581">
        <v>30000.0</v>
      </c>
      <c r="BJ96" s="710"/>
      <c r="BK96" s="581">
        <v>30000.0</v>
      </c>
      <c r="BL96" s="465"/>
      <c r="BM96" s="581">
        <v>30000.0</v>
      </c>
      <c r="BN96" s="716"/>
      <c r="BO96" s="581">
        <v>30000.0</v>
      </c>
      <c r="BP96" s="716"/>
      <c r="BQ96" s="581">
        <v>30000.0</v>
      </c>
      <c r="BR96" s="716"/>
      <c r="BS96" s="581">
        <v>30000.0</v>
      </c>
      <c r="BT96" s="716"/>
      <c r="BU96" s="581">
        <v>30000.0</v>
      </c>
      <c r="BV96" s="716"/>
      <c r="BW96" s="581">
        <v>30000.0</v>
      </c>
      <c r="BX96" s="486"/>
      <c r="BY96" s="253">
        <f t="shared" si="225"/>
        <v>0</v>
      </c>
      <c r="BZ96" s="427" t="str">
        <f>IFERROR(__xludf.DUMMYFUNCTION("IFERROR(SPARKLINE(BY96,{""charttype"",""bar"";""color1"",IF(BY96&gt;='Май'!green_percent,'Май'!green,IF(BY96&gt;='Май'!yellow_percent,'Май'!yellow,IF(BY96&gt;='Май'!orange_percent,'Май'!orange,'Май'!red)));""max"",1}))"),"")</f>
        <v/>
      </c>
      <c r="CA96" s="581">
        <v>30000.0</v>
      </c>
      <c r="CB96" s="710"/>
      <c r="CC96" s="581">
        <v>30000.0</v>
      </c>
      <c r="CD96" s="710"/>
      <c r="CE96" s="581">
        <v>30000.0</v>
      </c>
      <c r="CF96" s="710"/>
      <c r="CG96" s="581">
        <v>30000.0</v>
      </c>
      <c r="CH96" s="710"/>
      <c r="CI96" s="581">
        <v>30000.0</v>
      </c>
      <c r="CJ96" s="710"/>
      <c r="CK96" s="581">
        <v>30000.0</v>
      </c>
      <c r="CL96" s="710"/>
      <c r="CM96" s="581">
        <v>30000.0</v>
      </c>
      <c r="CN96" s="710"/>
      <c r="CO96" s="581">
        <v>30000.0</v>
      </c>
      <c r="CP96" s="486"/>
      <c r="CQ96" s="253">
        <f t="shared" si="226"/>
        <v>0</v>
      </c>
      <c r="CR96" s="427" t="str">
        <f>IFERROR(__xludf.DUMMYFUNCTION("IFERROR(SPARKLINE(CQ96,{""charttype"",""bar"";""color1"",IF(CQ96&gt;='Май'!green_percent,'Май'!green,IF(CQ96&gt;='Май'!yellow_percent,'Май'!yellow,IF(CQ96&gt;='Май'!orange_percent,'Май'!orange,'Май'!red)));""max"",1}))"),"")</f>
        <v/>
      </c>
      <c r="CS96" s="924"/>
      <c r="CT96" s="244"/>
      <c r="CU96" s="956"/>
      <c r="CV96" s="827"/>
      <c r="CW96" s="827"/>
      <c r="CX96" s="827"/>
      <c r="CY96" s="827"/>
      <c r="CZ96" s="827"/>
      <c r="DA96" s="827"/>
      <c r="DB96" s="827"/>
      <c r="DC96" s="827"/>
      <c r="DD96" s="827"/>
      <c r="DE96" s="827"/>
      <c r="DF96" s="827"/>
      <c r="DG96" s="829"/>
      <c r="DH96" s="830"/>
      <c r="DI96" s="831"/>
      <c r="DJ96" s="832"/>
      <c r="DK96" s="827"/>
      <c r="DL96" s="1032"/>
    </row>
    <row r="97">
      <c r="A97" s="927"/>
      <c r="B97" s="934" t="s">
        <v>28</v>
      </c>
      <c r="C97" s="217"/>
      <c r="D97" s="217"/>
      <c r="E97" s="218"/>
      <c r="F97" s="270"/>
      <c r="G97" s="448">
        <f t="shared" ref="G97:G98" si="258">V97+AN97+BF97+BX97+CP97</f>
        <v>0</v>
      </c>
      <c r="H97" s="543"/>
      <c r="I97" s="462"/>
      <c r="K97" s="550"/>
      <c r="L97" s="964"/>
      <c r="M97" s="1033"/>
      <c r="N97" s="834"/>
      <c r="O97" s="1018"/>
      <c r="P97" s="786"/>
      <c r="Q97" s="1018"/>
      <c r="R97" s="786"/>
      <c r="S97" s="837"/>
      <c r="T97" s="463"/>
      <c r="U97" s="565"/>
      <c r="V97" s="563"/>
      <c r="W97" s="220"/>
      <c r="X97" s="449"/>
      <c r="Y97" s="837"/>
      <c r="Z97" s="824"/>
      <c r="AA97" s="837"/>
      <c r="AB97" s="824"/>
      <c r="AC97" s="837"/>
      <c r="AD97" s="459"/>
      <c r="AE97" s="837"/>
      <c r="AF97" s="824"/>
      <c r="AG97" s="837"/>
      <c r="AH97" s="824"/>
      <c r="AI97" s="837"/>
      <c r="AJ97" s="825"/>
      <c r="AK97" s="837"/>
      <c r="AL97" s="459"/>
      <c r="AM97" s="349"/>
      <c r="AN97" s="464">
        <f t="shared" ref="AN97:AN98" si="259">Z97+AB97+AD97+AF97+AH97+AJ97+AL97</f>
        <v>0</v>
      </c>
      <c r="AO97" s="279"/>
      <c r="AP97" s="462"/>
      <c r="AQ97" s="837"/>
      <c r="AR97" s="463"/>
      <c r="AS97" s="837"/>
      <c r="AT97" s="463"/>
      <c r="AU97" s="837"/>
      <c r="AV97" s="776"/>
      <c r="AW97" s="837"/>
      <c r="AX97" s="776"/>
      <c r="AY97" s="837"/>
      <c r="AZ97" s="776"/>
      <c r="BA97" s="837"/>
      <c r="BB97" s="776"/>
      <c r="BC97" s="837"/>
      <c r="BD97" s="463"/>
      <c r="BE97" s="349"/>
      <c r="BF97" s="464">
        <f t="shared" ref="BF97:BF98" si="260">AR97+AT97+AV97+AX97+AZ97+BB97+BD97</f>
        <v>0</v>
      </c>
      <c r="BG97" s="279"/>
      <c r="BH97" s="462"/>
      <c r="BI97" s="837"/>
      <c r="BJ97" s="466"/>
      <c r="BK97" s="837"/>
      <c r="BL97" s="465"/>
      <c r="BM97" s="837"/>
      <c r="BN97" s="465"/>
      <c r="BO97" s="837"/>
      <c r="BP97" s="465"/>
      <c r="BQ97" s="837"/>
      <c r="BR97" s="465"/>
      <c r="BS97" s="837"/>
      <c r="BT97" s="465"/>
      <c r="BU97" s="837"/>
      <c r="BV97" s="465"/>
      <c r="BW97" s="349"/>
      <c r="BX97" s="464">
        <f t="shared" ref="BX97:BX98" si="261">BJ97+BL97+BN97+BP97+BR97+BT97+BV97</f>
        <v>0</v>
      </c>
      <c r="BY97" s="279"/>
      <c r="BZ97" s="462"/>
      <c r="CA97" s="837"/>
      <c r="CB97" s="466"/>
      <c r="CC97" s="837"/>
      <c r="CD97" s="466"/>
      <c r="CE97" s="837"/>
      <c r="CF97" s="466"/>
      <c r="CG97" s="837"/>
      <c r="CH97" s="466"/>
      <c r="CI97" s="837"/>
      <c r="CJ97" s="466"/>
      <c r="CK97" s="837"/>
      <c r="CL97" s="466"/>
      <c r="CM97" s="837"/>
      <c r="CN97" s="466"/>
      <c r="CO97" s="349"/>
      <c r="CP97" s="464">
        <f t="shared" ref="CP97:CP98" si="262">CB97+CD97+CF97+CH97+CJ97+CL97+CN97</f>
        <v>0</v>
      </c>
      <c r="CQ97" s="279"/>
      <c r="CR97" s="462"/>
      <c r="CS97" s="924"/>
      <c r="CT97" s="448"/>
      <c r="CU97" s="842"/>
      <c r="CV97" s="843"/>
      <c r="CW97" s="843"/>
      <c r="CX97" s="843"/>
      <c r="CY97" s="843"/>
      <c r="CZ97" s="843"/>
      <c r="DA97" s="843"/>
      <c r="DB97" s="843"/>
      <c r="DC97" s="843"/>
      <c r="DD97" s="843"/>
      <c r="DE97" s="843"/>
      <c r="DF97" s="843"/>
      <c r="DG97" s="289"/>
      <c r="DH97" s="844"/>
      <c r="DI97" s="310"/>
      <c r="DJ97" s="339"/>
      <c r="DK97" s="843"/>
      <c r="DL97" s="933"/>
    </row>
    <row r="98">
      <c r="A98" s="1034"/>
      <c r="B98" s="1035" t="s">
        <v>41</v>
      </c>
      <c r="C98" s="352"/>
      <c r="D98" s="352"/>
      <c r="E98" s="353"/>
      <c r="F98" s="1036"/>
      <c r="G98" s="1036">
        <f t="shared" si="258"/>
        <v>0</v>
      </c>
      <c r="H98" s="1037"/>
      <c r="I98" s="863"/>
      <c r="J98" s="1038"/>
      <c r="K98" s="1039"/>
      <c r="L98" s="964"/>
      <c r="M98" s="1033"/>
      <c r="N98" s="834"/>
      <c r="O98" s="1041"/>
      <c r="P98" s="1042"/>
      <c r="Q98" s="1041"/>
      <c r="R98" s="1042"/>
      <c r="S98" s="1043"/>
      <c r="T98" s="864"/>
      <c r="U98" s="1044"/>
      <c r="V98" s="1045"/>
      <c r="W98" s="1046"/>
      <c r="X98" s="1047"/>
      <c r="Y98" s="857"/>
      <c r="Z98" s="858"/>
      <c r="AA98" s="857"/>
      <c r="AB98" s="858"/>
      <c r="AC98" s="857"/>
      <c r="AD98" s="1048"/>
      <c r="AE98" s="857"/>
      <c r="AF98" s="858"/>
      <c r="AG98" s="857"/>
      <c r="AH98" s="858"/>
      <c r="AI98" s="857"/>
      <c r="AJ98" s="859"/>
      <c r="AK98" s="857"/>
      <c r="AL98" s="860"/>
      <c r="AM98" s="1049"/>
      <c r="AN98" s="1050">
        <f t="shared" si="259"/>
        <v>0</v>
      </c>
      <c r="AO98" s="1051"/>
      <c r="AP98" s="1052"/>
      <c r="AQ98" s="1053"/>
      <c r="AR98" s="853"/>
      <c r="AS98" s="1053"/>
      <c r="AT98" s="853"/>
      <c r="AU98" s="1053"/>
      <c r="AV98" s="849"/>
      <c r="AW98" s="1053"/>
      <c r="AX98" s="849"/>
      <c r="AY98" s="857"/>
      <c r="AZ98" s="865"/>
      <c r="BA98" s="857"/>
      <c r="BB98" s="865"/>
      <c r="BC98" s="857"/>
      <c r="BD98" s="864"/>
      <c r="BE98" s="1049"/>
      <c r="BF98" s="1050">
        <f t="shared" si="260"/>
        <v>0</v>
      </c>
      <c r="BG98" s="1051"/>
      <c r="BH98" s="1052"/>
      <c r="BI98" s="857"/>
      <c r="BJ98" s="866"/>
      <c r="BK98" s="857"/>
      <c r="BL98" s="867"/>
      <c r="BM98" s="857"/>
      <c r="BN98" s="868"/>
      <c r="BO98" s="857"/>
      <c r="BP98" s="868"/>
      <c r="BQ98" s="857"/>
      <c r="BR98" s="868"/>
      <c r="BS98" s="857"/>
      <c r="BT98" s="868"/>
      <c r="BU98" s="857"/>
      <c r="BV98" s="868"/>
      <c r="BW98" s="1049"/>
      <c r="BX98" s="1050">
        <f t="shared" si="261"/>
        <v>0</v>
      </c>
      <c r="BY98" s="1054"/>
      <c r="BZ98" s="1055"/>
      <c r="CA98" s="857"/>
      <c r="CB98" s="866"/>
      <c r="CC98" s="857"/>
      <c r="CD98" s="866"/>
      <c r="CE98" s="857"/>
      <c r="CF98" s="866"/>
      <c r="CG98" s="857"/>
      <c r="CH98" s="866"/>
      <c r="CI98" s="857"/>
      <c r="CJ98" s="866"/>
      <c r="CK98" s="857"/>
      <c r="CL98" s="866"/>
      <c r="CM98" s="857"/>
      <c r="CN98" s="866"/>
      <c r="CO98" s="1049"/>
      <c r="CP98" s="1050">
        <f t="shared" si="262"/>
        <v>0</v>
      </c>
      <c r="CQ98" s="1054"/>
      <c r="CR98" s="1055"/>
      <c r="CS98" s="924"/>
      <c r="CT98" s="244"/>
      <c r="CU98" s="842"/>
      <c r="CV98" s="875"/>
      <c r="CW98" s="875"/>
      <c r="CX98" s="875"/>
      <c r="CY98" s="875"/>
      <c r="CZ98" s="875"/>
      <c r="DA98" s="875"/>
      <c r="DB98" s="875"/>
      <c r="DC98" s="875"/>
      <c r="DD98" s="875"/>
      <c r="DE98" s="875"/>
      <c r="DF98" s="875"/>
      <c r="DG98" s="326"/>
      <c r="DH98" s="876"/>
      <c r="DI98" s="327"/>
      <c r="DJ98" s="329"/>
      <c r="DK98" s="875"/>
      <c r="DL98" s="926"/>
    </row>
    <row r="99">
      <c r="A99" s="1056" t="s">
        <v>62</v>
      </c>
      <c r="B99" s="1057" t="s">
        <v>20</v>
      </c>
      <c r="C99" s="374"/>
      <c r="D99" s="374"/>
      <c r="E99" s="347"/>
      <c r="F99" s="375">
        <f>F100/F113</f>
        <v>0.3</v>
      </c>
      <c r="G99" s="1642"/>
      <c r="H99" s="1058"/>
      <c r="I99" s="1059"/>
      <c r="J99" s="1060"/>
      <c r="K99" s="885"/>
      <c r="L99" s="886"/>
      <c r="M99" s="887"/>
      <c r="N99" s="890"/>
      <c r="O99" s="1062"/>
      <c r="P99" s="901"/>
      <c r="Q99" s="1062"/>
      <c r="R99" s="1063"/>
      <c r="S99" s="1064"/>
      <c r="T99" s="1065"/>
      <c r="U99" s="1066">
        <f>U100/U113</f>
        <v>0.3</v>
      </c>
      <c r="V99" s="375" t="str">
        <f>V100/V115</f>
        <v>#DIV/0!</v>
      </c>
      <c r="W99" s="376" t="str">
        <f t="shared" ref="W99:W115" si="264">IFERROR(V99/U99,"")</f>
        <v/>
      </c>
      <c r="X99" s="377" t="str">
        <f>IFERROR(__xludf.DUMMYFUNCTION("IFERROR(SPARKLINE(W99,{""charttype"",""bar"";""color1"",IF(W99&gt;='Май'!green_percent,'Май'!green,IF(W99&gt;='Май'!yellow_percent,'Май'!yellow,IF(W99&gt;='Май'!orange_percent,'Май'!orange,'Май'!red)));""max"",1}))"),"")</f>
        <v/>
      </c>
      <c r="Y99" s="261"/>
      <c r="Z99" s="1067"/>
      <c r="AA99" s="261"/>
      <c r="AB99" s="1067"/>
      <c r="AC99" s="261"/>
      <c r="AD99" s="1067"/>
      <c r="AE99" s="261"/>
      <c r="AF99" s="1067"/>
      <c r="AG99" s="261"/>
      <c r="AH99" s="1067"/>
      <c r="AI99" s="261"/>
      <c r="AJ99" s="1068"/>
      <c r="AK99" s="261"/>
      <c r="AL99" s="1069"/>
      <c r="AM99" s="893">
        <f t="shared" ref="AM99:AN99" si="263">AM100/AM113</f>
        <v>0.3</v>
      </c>
      <c r="AN99" s="893" t="str">
        <f t="shared" si="263"/>
        <v>#DIV/0!</v>
      </c>
      <c r="AO99" s="894" t="str">
        <f t="shared" ref="AO99:AO115" si="265">IFERROR(AN99/AM99,"")</f>
        <v/>
      </c>
      <c r="AP99" s="895" t="str">
        <f>IFERROR(__xludf.DUMMYFUNCTION("IFERROR(SPARKLINE(AO99,{""charttype"",""bar"";""color1"",IF(AO99&gt;='Май'!green_percent,'Май'!green,IF(AO99&gt;='Май'!yellow_percent,'Май'!yellow,IF(AO99&gt;='Май'!orange_percent,'Май'!orange,'Май'!red)));""max"",1}))"),"")</f>
        <v/>
      </c>
      <c r="AQ99" s="1011"/>
      <c r="AR99" s="1074"/>
      <c r="AS99" s="1011"/>
      <c r="AT99" s="1074"/>
      <c r="AU99" s="1011"/>
      <c r="AV99" s="888"/>
      <c r="AW99" s="1011"/>
      <c r="AX99" s="890"/>
      <c r="AY99" s="1011"/>
      <c r="AZ99" s="890"/>
      <c r="BA99" s="1011"/>
      <c r="BB99" s="890"/>
      <c r="BC99" s="1011"/>
      <c r="BD99" s="888"/>
      <c r="BE99" s="893">
        <f>BE100/BE113</f>
        <v>0.3</v>
      </c>
      <c r="BF99" s="1071"/>
      <c r="BG99" s="894">
        <f t="shared" ref="BG99:BG115" si="266">IFERROR(BF99/BE99,"")</f>
        <v>0</v>
      </c>
      <c r="BH99" s="895" t="str">
        <f>IFERROR(__xludf.DUMMYFUNCTION("IFERROR(SPARKLINE(BG99,{""charttype"",""bar"";""color1"",IF(BG99&gt;='Май'!green_percent,'Май'!green,IF(BG99&gt;='Май'!yellow_percent,'Май'!yellow,IF(BG99&gt;='Май'!orange_percent,'Май'!orange,'Май'!red)));""max"",1}))"),"")</f>
        <v/>
      </c>
      <c r="BI99" s="1077"/>
      <c r="BJ99" s="890"/>
      <c r="BK99" s="1011"/>
      <c r="BL99" s="890"/>
      <c r="BM99" s="1011"/>
      <c r="BN99" s="890"/>
      <c r="BO99" s="1011"/>
      <c r="BP99" s="890"/>
      <c r="BQ99" s="1011"/>
      <c r="BR99" s="890"/>
      <c r="BS99" s="1011"/>
      <c r="BT99" s="890"/>
      <c r="BU99" s="1011"/>
      <c r="BV99" s="888"/>
      <c r="BW99" s="893">
        <f>BW100/BW113</f>
        <v>0.3</v>
      </c>
      <c r="BX99" s="1071"/>
      <c r="BY99" s="894">
        <f t="shared" ref="BY99:BY115" si="267">IFERROR(BX99/BW99,"")</f>
        <v>0</v>
      </c>
      <c r="BZ99" s="895" t="str">
        <f>IFERROR(__xludf.DUMMYFUNCTION("IFERROR(SPARKLINE(BY99,{""charttype"",""bar"";""color1"",IF(BY99&gt;='Май'!green_percent,'Май'!green,IF(BY99&gt;='Май'!yellow_percent,'Май'!yellow,IF(BY99&gt;='Май'!orange_percent,'Май'!orange,'Май'!red)));""max"",1}))"),"")</f>
        <v/>
      </c>
      <c r="CA99" s="1077"/>
      <c r="CB99" s="890"/>
      <c r="CC99" s="1011"/>
      <c r="CD99" s="890"/>
      <c r="CE99" s="1011"/>
      <c r="CF99" s="890"/>
      <c r="CG99" s="1011"/>
      <c r="CH99" s="890"/>
      <c r="CI99" s="1011"/>
      <c r="CJ99" s="890"/>
      <c r="CK99" s="1011"/>
      <c r="CL99" s="890"/>
      <c r="CM99" s="1011"/>
      <c r="CN99" s="890"/>
      <c r="CO99" s="893">
        <f>CO100/CO113</f>
        <v>0.3</v>
      </c>
      <c r="CP99" s="1169"/>
      <c r="CQ99" s="894">
        <f t="shared" ref="CQ99:CQ115" si="268">IFERROR(CP99/CO99,"")</f>
        <v>0</v>
      </c>
      <c r="CR99" s="895" t="str">
        <f>IFERROR(__xludf.DUMMYFUNCTION("IFERROR(SPARKLINE(CQ99,{""charttype"",""bar"";""color1"",IF(CQ99&gt;='Май'!green_percent,'Май'!green,IF(CQ99&gt;='Май'!yellow_percent,'Май'!yellow,IF(CQ99&gt;='Май'!orange_percent,'Май'!orange,'Май'!red)));""max"",1}))"),"")</f>
        <v/>
      </c>
      <c r="CS99" s="842"/>
      <c r="CT99" s="843"/>
      <c r="CU99" s="905"/>
      <c r="CV99" s="906"/>
      <c r="CW99" s="906"/>
      <c r="CX99" s="906"/>
      <c r="CY99" s="906"/>
      <c r="CZ99" s="906"/>
      <c r="DA99" s="906"/>
      <c r="DB99" s="906"/>
      <c r="DC99" s="906"/>
      <c r="DD99" s="906"/>
      <c r="DE99" s="906"/>
      <c r="DF99" s="906"/>
      <c r="DG99" s="907"/>
      <c r="DH99" s="908"/>
      <c r="DI99" s="909"/>
      <c r="DJ99" s="910"/>
      <c r="DK99" s="906"/>
      <c r="DL99" s="911"/>
    </row>
    <row r="100">
      <c r="A100" s="703"/>
      <c r="B100" s="913" t="s">
        <v>49</v>
      </c>
      <c r="C100" s="242"/>
      <c r="D100" s="242"/>
      <c r="E100" s="243"/>
      <c r="F100" s="581">
        <v>60000.0</v>
      </c>
      <c r="G100" s="581">
        <f>V100+AN100</f>
        <v>60000</v>
      </c>
      <c r="H100" s="704">
        <f t="shared" ref="H100:H117" si="269">IFERROR(G100/F100,"")</f>
        <v>1</v>
      </c>
      <c r="I100" s="427" t="str">
        <f>IFERROR(__xludf.DUMMYFUNCTION("IFERROR(SPARKLINE(H100,{""charttype"",""bar"";""color1"",IF(H100&gt;='Май'!green_percent,'Май'!green,IF(H100&gt;='Май'!yellow_percent,'Май'!yellow,IF(H100&gt;='Май'!orange_percent,'Май'!orange,'Май'!red)));""max"",1}))"),"")</f>
        <v/>
      </c>
      <c r="J100" s="912"/>
      <c r="K100" s="1020"/>
      <c r="L100" s="930"/>
      <c r="M100" s="929"/>
      <c r="N100" s="776"/>
      <c r="O100" s="929"/>
      <c r="P100" s="776"/>
      <c r="Q100" s="929"/>
      <c r="R100" s="773"/>
      <c r="S100" s="1064"/>
      <c r="T100" s="1078"/>
      <c r="U100" s="591">
        <f t="shared" ref="U100:U101" si="270">F100/31*3</f>
        <v>5806.451613</v>
      </c>
      <c r="V100" s="244">
        <v>30000.0</v>
      </c>
      <c r="W100" s="245">
        <f t="shared" si="264"/>
        <v>5.166666667</v>
      </c>
      <c r="X100" s="920" t="str">
        <f>IFERROR(__xludf.DUMMYFUNCTION("IFERROR(SPARKLINE(W100,{""charttype"",""bar"";""color1"",IF(W100&gt;='Май'!green_percent,'Май'!green,IF(W100&gt;='Май'!yellow_percent,'Май'!yellow,IF(W100&gt;='Май'!orange_percent,'Май'!orange,'Май'!red)));""max"",1}))"),"")</f>
        <v/>
      </c>
      <c r="Y100" s="1079"/>
      <c r="Z100" s="1067"/>
      <c r="AA100" s="1079"/>
      <c r="AB100" s="1067"/>
      <c r="AC100" s="1079"/>
      <c r="AD100" s="1067"/>
      <c r="AE100" s="1079"/>
      <c r="AF100" s="1067"/>
      <c r="AG100" s="1079"/>
      <c r="AH100" s="1067"/>
      <c r="AI100" s="1079"/>
      <c r="AJ100" s="1068"/>
      <c r="AK100" s="1079"/>
      <c r="AL100" s="1069"/>
      <c r="AM100" s="591">
        <f t="shared" ref="AM100:AM104" si="271">F100/31*7</f>
        <v>13548.3871</v>
      </c>
      <c r="AN100" s="411">
        <v>30000.0</v>
      </c>
      <c r="AO100" s="245">
        <f t="shared" si="265"/>
        <v>2.214285714</v>
      </c>
      <c r="AP100" s="920" t="str">
        <f>IFERROR(__xludf.DUMMYFUNCTION("IFERROR(SPARKLINE(AO100,{""charttype"",""bar"";""color1"",IF(AO100&gt;='Май'!green_percent,'Май'!green,IF(AO100&gt;='Май'!yellow_percent,'Май'!yellow,IF(AO100&gt;='Май'!orange_percent,'Май'!orange,'Май'!red)));""max"",1}))"),"")</f>
        <v/>
      </c>
      <c r="AQ100" s="711"/>
      <c r="AR100" s="1078"/>
      <c r="AS100" s="711"/>
      <c r="AT100" s="1078"/>
      <c r="AU100" s="711"/>
      <c r="AV100" s="773"/>
      <c r="AW100" s="711"/>
      <c r="AX100" s="776"/>
      <c r="AY100" s="711"/>
      <c r="AZ100" s="776"/>
      <c r="BA100" s="711"/>
      <c r="BB100" s="776"/>
      <c r="BC100" s="711"/>
      <c r="BD100" s="773"/>
      <c r="BE100" s="591">
        <f t="shared" ref="BE100:BE101" si="272">F100/31*7</f>
        <v>13548.3871</v>
      </c>
      <c r="BF100" s="244">
        <v>0.0</v>
      </c>
      <c r="BG100" s="245">
        <f t="shared" si="266"/>
        <v>0</v>
      </c>
      <c r="BH100" s="920" t="str">
        <f>IFERROR(__xludf.DUMMYFUNCTION("IFERROR(SPARKLINE(BG100,{""charttype"",""bar"";""color1"",IF(BG100&gt;='Май'!green_percent,'Май'!green,IF(BG100&gt;='Май'!yellow_percent,'Май'!yellow,IF(BG100&gt;='Май'!orange_percent,'Май'!orange,'Май'!red)));""max"",1}))"),"")</f>
        <v/>
      </c>
      <c r="BI100" s="1081"/>
      <c r="BJ100" s="776"/>
      <c r="BK100" s="711"/>
      <c r="BL100" s="776"/>
      <c r="BM100" s="711"/>
      <c r="BN100" s="776"/>
      <c r="BO100" s="711"/>
      <c r="BP100" s="776"/>
      <c r="BQ100" s="711"/>
      <c r="BR100" s="776"/>
      <c r="BS100" s="711"/>
      <c r="BT100" s="776"/>
      <c r="BU100" s="711"/>
      <c r="BV100" s="773"/>
      <c r="BW100" s="591">
        <f t="shared" ref="BW100:BW104" si="273">F100/31*7</f>
        <v>13548.3871</v>
      </c>
      <c r="BX100" s="244">
        <v>0.0</v>
      </c>
      <c r="BY100" s="245">
        <f t="shared" si="267"/>
        <v>0</v>
      </c>
      <c r="BZ100" s="920" t="str">
        <f>IFERROR(__xludf.DUMMYFUNCTION("IFERROR(SPARKLINE(BY100,{""charttype"",""bar"";""color1"",IF(BY100&gt;='Май'!green_percent,'Май'!green,IF(BY100&gt;='Май'!yellow_percent,'Май'!yellow,IF(BY100&gt;='Май'!orange_percent,'Май'!orange,'Май'!red)));""max"",1}))"),"")</f>
        <v/>
      </c>
      <c r="CA100" s="1081"/>
      <c r="CB100" s="776"/>
      <c r="CC100" s="711"/>
      <c r="CD100" s="776"/>
      <c r="CE100" s="711"/>
      <c r="CF100" s="776"/>
      <c r="CG100" s="711"/>
      <c r="CH100" s="776"/>
      <c r="CI100" s="711"/>
      <c r="CJ100" s="776"/>
      <c r="CK100" s="711"/>
      <c r="CL100" s="776"/>
      <c r="CM100" s="711"/>
      <c r="CN100" s="776"/>
      <c r="CO100" s="591">
        <f t="shared" ref="CO100:CO104" si="274">F100/31*7</f>
        <v>13548.3871</v>
      </c>
      <c r="CP100" s="258"/>
      <c r="CQ100" s="245">
        <f t="shared" si="268"/>
        <v>0</v>
      </c>
      <c r="CR100" s="920" t="str">
        <f>IFERROR(__xludf.DUMMYFUNCTION("IFERROR(SPARKLINE(CQ100,{""charttype"",""bar"";""color1"",IF(CQ100&gt;='Май'!green_percent,'Май'!green,IF(CQ100&gt;='Май'!yellow_percent,'Май'!yellow,IF(CQ100&gt;='Май'!orange_percent,'Май'!orange,'Май'!red)));""max"",1}))"),"")</f>
        <v/>
      </c>
      <c r="CS100" s="842"/>
      <c r="CT100" s="875"/>
      <c r="CU100" s="842"/>
      <c r="CV100" s="875"/>
      <c r="CW100" s="875"/>
      <c r="CX100" s="875"/>
      <c r="CY100" s="875"/>
      <c r="CZ100" s="875"/>
      <c r="DA100" s="875"/>
      <c r="DB100" s="875"/>
      <c r="DC100" s="875"/>
      <c r="DD100" s="875"/>
      <c r="DE100" s="875"/>
      <c r="DF100" s="875"/>
      <c r="DG100" s="326"/>
      <c r="DH100" s="876"/>
      <c r="DI100" s="327"/>
      <c r="DJ100" s="329"/>
      <c r="DK100" s="875"/>
      <c r="DL100" s="926"/>
    </row>
    <row r="101">
      <c r="A101" s="673"/>
      <c r="B101" s="1082" t="s">
        <v>90</v>
      </c>
      <c r="C101" s="374"/>
      <c r="D101" s="374"/>
      <c r="E101" s="347"/>
      <c r="F101" s="448">
        <v>150.0</v>
      </c>
      <c r="G101" s="448">
        <f>V101+AN101+BX101</f>
        <v>312</v>
      </c>
      <c r="H101" s="543">
        <f t="shared" si="269"/>
        <v>2.08</v>
      </c>
      <c r="I101" s="462" t="str">
        <f>IFERROR(__xludf.DUMMYFUNCTION("IFERROR(SPARKLINE(H101,{""charttype"",""bar"";""color1"",IF(H101&gt;='Май'!green_percent,'Май'!green,IF(H101&gt;='Май'!yellow_percent,'Май'!yellow,IF(H101&gt;='Май'!orange_percent,'Май'!orange,'Май'!red)));""max"",1}))"),"")</f>
        <v/>
      </c>
      <c r="J101" s="927"/>
      <c r="K101" s="282"/>
      <c r="L101" s="930"/>
      <c r="M101" s="929"/>
      <c r="N101" s="776"/>
      <c r="O101" s="929"/>
      <c r="P101" s="776"/>
      <c r="Q101" s="929"/>
      <c r="R101" s="773"/>
      <c r="S101" s="1064"/>
      <c r="T101" s="1083"/>
      <c r="U101" s="349">
        <f t="shared" si="270"/>
        <v>14.51612903</v>
      </c>
      <c r="V101" s="448">
        <v>100.0</v>
      </c>
      <c r="W101" s="220">
        <f t="shared" si="264"/>
        <v>6.888888889</v>
      </c>
      <c r="X101" s="449" t="str">
        <f>IFERROR(__xludf.DUMMYFUNCTION("IFERROR(SPARKLINE(W101,{""charttype"",""bar"";""color1"",IF(W101&gt;='Май'!green_percent,'Май'!green,IF(W101&gt;='Май'!yellow_percent,'Май'!yellow,IF(W101&gt;='Май'!orange_percent,'Май'!orange,'Май'!red)));""max"",1}))"),"")</f>
        <v/>
      </c>
      <c r="Y101" s="261"/>
      <c r="Z101" s="1067"/>
      <c r="AA101" s="261"/>
      <c r="AB101" s="1067"/>
      <c r="AC101" s="261"/>
      <c r="AD101" s="1067"/>
      <c r="AE101" s="261"/>
      <c r="AF101" s="1067"/>
      <c r="AG101" s="261"/>
      <c r="AH101" s="1067"/>
      <c r="AI101" s="261"/>
      <c r="AJ101" s="1068"/>
      <c r="AK101" s="261"/>
      <c r="AL101" s="1069"/>
      <c r="AM101" s="460">
        <f t="shared" si="271"/>
        <v>33.87096774</v>
      </c>
      <c r="AN101" s="448">
        <v>100.0</v>
      </c>
      <c r="AO101" s="220">
        <f t="shared" si="265"/>
        <v>2.952380952</v>
      </c>
      <c r="AP101" s="449" t="str">
        <f>IFERROR(__xludf.DUMMYFUNCTION("IFERROR(SPARKLINE(AO101,{""charttype"",""bar"";""color1"",IF(AO101&gt;='Май'!green_percent,'Май'!green,IF(AO101&gt;='Май'!yellow_percent,'Май'!yellow,IF(AO101&gt;='Май'!orange_percent,'Май'!orange,'Май'!red)));""max"",1}))"),"")</f>
        <v/>
      </c>
      <c r="AQ101" s="256"/>
      <c r="AR101" s="1083"/>
      <c r="AS101" s="256"/>
      <c r="AT101" s="1083"/>
      <c r="AU101" s="256"/>
      <c r="AV101" s="773"/>
      <c r="AW101" s="256"/>
      <c r="AX101" s="776"/>
      <c r="AY101" s="256"/>
      <c r="AZ101" s="776"/>
      <c r="BA101" s="256"/>
      <c r="BB101" s="776"/>
      <c r="BC101" s="256"/>
      <c r="BD101" s="773"/>
      <c r="BE101" s="460">
        <f t="shared" si="272"/>
        <v>33.87096774</v>
      </c>
      <c r="BF101" s="448">
        <v>100.0</v>
      </c>
      <c r="BG101" s="220">
        <f t="shared" si="266"/>
        <v>2.952380952</v>
      </c>
      <c r="BH101" s="449" t="str">
        <f>IFERROR(__xludf.DUMMYFUNCTION("IFERROR(SPARKLINE(BG101,{""charttype"",""bar"";""color1"",IF(BG101&gt;='Май'!green_percent,'Май'!green,IF(BG101&gt;='Май'!yellow_percent,'Май'!yellow,IF(BG101&gt;='Май'!orange_percent,'Май'!orange,'Май'!red)));""max"",1}))"),"")</f>
        <v/>
      </c>
      <c r="BI101" s="924"/>
      <c r="BJ101" s="776"/>
      <c r="BK101" s="256"/>
      <c r="BL101" s="776"/>
      <c r="BM101" s="256"/>
      <c r="BN101" s="776"/>
      <c r="BO101" s="256"/>
      <c r="BP101" s="776"/>
      <c r="BQ101" s="256"/>
      <c r="BR101" s="776"/>
      <c r="BS101" s="256"/>
      <c r="BT101" s="776"/>
      <c r="BU101" s="256"/>
      <c r="BV101" s="773"/>
      <c r="BW101" s="460">
        <f t="shared" si="273"/>
        <v>33.87096774</v>
      </c>
      <c r="BX101" s="448">
        <v>112.0</v>
      </c>
      <c r="BY101" s="220">
        <f t="shared" si="267"/>
        <v>3.306666667</v>
      </c>
      <c r="BZ101" s="449" t="str">
        <f>IFERROR(__xludf.DUMMYFUNCTION("IFERROR(SPARKLINE(BY101,{""charttype"",""bar"";""color1"",IF(BY101&gt;='Май'!green_percent,'Май'!green,IF(BY101&gt;='Май'!yellow_percent,'Май'!yellow,IF(BY101&gt;='Май'!orange_percent,'Май'!orange,'Май'!red)));""max"",1}))"),"")</f>
        <v/>
      </c>
      <c r="CA101" s="924"/>
      <c r="CB101" s="776"/>
      <c r="CC101" s="256"/>
      <c r="CD101" s="776"/>
      <c r="CE101" s="256"/>
      <c r="CF101" s="776"/>
      <c r="CG101" s="256"/>
      <c r="CH101" s="776"/>
      <c r="CI101" s="256"/>
      <c r="CJ101" s="776"/>
      <c r="CK101" s="256"/>
      <c r="CL101" s="776"/>
      <c r="CM101" s="256"/>
      <c r="CN101" s="776"/>
      <c r="CO101" s="460">
        <f t="shared" si="274"/>
        <v>33.87096774</v>
      </c>
      <c r="CP101" s="733"/>
      <c r="CQ101" s="220">
        <f t="shared" si="268"/>
        <v>0</v>
      </c>
      <c r="CR101" s="449" t="str">
        <f>IFERROR(__xludf.DUMMYFUNCTION("IFERROR(SPARKLINE(CQ101,{""charttype"",""bar"";""color1"",IF(CQ101&gt;='Май'!green_percent,'Май'!green,IF(CQ101&gt;='Май'!yellow_percent,'Май'!yellow,IF(CQ101&gt;='Май'!orange_percent,'Май'!orange,'Май'!red)));""max"",1}))"),"")</f>
        <v/>
      </c>
      <c r="CS101" s="842"/>
      <c r="CT101" s="843"/>
      <c r="CU101" s="842"/>
      <c r="CV101" s="843"/>
      <c r="CW101" s="843"/>
      <c r="CX101" s="843"/>
      <c r="CY101" s="843"/>
      <c r="CZ101" s="843"/>
      <c r="DA101" s="843"/>
      <c r="DB101" s="843"/>
      <c r="DC101" s="843"/>
      <c r="DD101" s="843"/>
      <c r="DE101" s="843"/>
      <c r="DF101" s="843"/>
      <c r="DG101" s="289"/>
      <c r="DH101" s="844"/>
      <c r="DI101" s="310"/>
      <c r="DJ101" s="339"/>
      <c r="DK101" s="843"/>
      <c r="DL101" s="933"/>
    </row>
    <row r="102">
      <c r="A102" s="703"/>
      <c r="B102" s="1085" t="s">
        <v>60</v>
      </c>
      <c r="C102" s="646"/>
      <c r="D102" s="646"/>
      <c r="E102" s="647"/>
      <c r="F102" s="244">
        <v>0.0</v>
      </c>
      <c r="G102" s="244">
        <f>V102</f>
        <v>0</v>
      </c>
      <c r="H102" s="704" t="str">
        <f t="shared" si="269"/>
        <v/>
      </c>
      <c r="I102" s="427" t="str">
        <f>IFERROR(__xludf.DUMMYFUNCTION("IFERROR(SPARKLINE(H102,{""charttype"",""bar"";""color1"",IF(H102&gt;='Май'!green_percent,'Май'!green,IF(H102&gt;='Май'!yellow_percent,'Май'!yellow,IF(H102&gt;='Май'!orange_percent,'Май'!orange,'Май'!red)));""max"",1}))"),"")</f>
        <v/>
      </c>
      <c r="J102" s="912"/>
      <c r="K102" s="1020"/>
      <c r="L102" s="930"/>
      <c r="M102" s="929"/>
      <c r="N102" s="776"/>
      <c r="O102" s="929"/>
      <c r="P102" s="776"/>
      <c r="Q102" s="929"/>
      <c r="R102" s="773"/>
      <c r="S102" s="1064"/>
      <c r="T102" s="1078"/>
      <c r="U102" s="255"/>
      <c r="V102" s="244">
        <v>0.0</v>
      </c>
      <c r="W102" s="412" t="str">
        <f t="shared" si="264"/>
        <v/>
      </c>
      <c r="X102" s="413" t="str">
        <f>IFERROR(__xludf.DUMMYFUNCTION("IFERROR(SPARKLINE(W102,{""charttype"",""bar"";""color1"",IF(W102&gt;='Май'!green_percent,'Май'!green,IF(W102&gt;='Май'!yellow_percent,'Май'!yellow,IF(W102&gt;='Май'!orange_percent,'Май'!orange,'Май'!red)));""max"",1}))"),"")</f>
        <v/>
      </c>
      <c r="Y102" s="1079"/>
      <c r="Z102" s="1067"/>
      <c r="AA102" s="1079"/>
      <c r="AB102" s="1067"/>
      <c r="AC102" s="1079"/>
      <c r="AD102" s="1067"/>
      <c r="AE102" s="1079"/>
      <c r="AF102" s="1067"/>
      <c r="AG102" s="1079"/>
      <c r="AH102" s="1067"/>
      <c r="AI102" s="1079"/>
      <c r="AJ102" s="1068"/>
      <c r="AK102" s="1079"/>
      <c r="AL102" s="1069"/>
      <c r="AM102" s="535">
        <f t="shared" si="271"/>
        <v>0</v>
      </c>
      <c r="AN102" s="244">
        <v>0.0</v>
      </c>
      <c r="AO102" s="412" t="str">
        <f t="shared" si="265"/>
        <v/>
      </c>
      <c r="AP102" s="413" t="str">
        <f>IFERROR(__xludf.DUMMYFUNCTION("IFERROR(SPARKLINE(AO102,{""charttype"",""bar"";""color1"",IF(AO102&gt;='Май'!green_percent,'Май'!green,IF(AO102&gt;='Май'!yellow_percent,'Май'!yellow,IF(AO102&gt;='Май'!orange_percent,'Май'!orange,'Май'!red)));""max"",1}))"),"")</f>
        <v/>
      </c>
      <c r="AQ102" s="711"/>
      <c r="AR102" s="1078"/>
      <c r="AS102" s="711"/>
      <c r="AT102" s="1078"/>
      <c r="AU102" s="711"/>
      <c r="AV102" s="773"/>
      <c r="AW102" s="711"/>
      <c r="AX102" s="776"/>
      <c r="AY102" s="711"/>
      <c r="AZ102" s="776"/>
      <c r="BA102" s="711"/>
      <c r="BB102" s="776"/>
      <c r="BC102" s="711"/>
      <c r="BD102" s="773"/>
      <c r="BE102" s="535">
        <f>X102/31*7</f>
        <v>0</v>
      </c>
      <c r="BF102" s="244">
        <v>0.0</v>
      </c>
      <c r="BG102" s="412" t="str">
        <f t="shared" si="266"/>
        <v/>
      </c>
      <c r="BH102" s="413" t="str">
        <f>IFERROR(__xludf.DUMMYFUNCTION("IFERROR(SPARKLINE(BG102,{""charttype"",""bar"";""color1"",IF(BG102&gt;='Май'!green_percent,'Май'!green,IF(BG102&gt;='Май'!yellow_percent,'Май'!yellow,IF(BG102&gt;='Май'!orange_percent,'Май'!orange,'Май'!red)));""max"",1}))"),"")</f>
        <v/>
      </c>
      <c r="BI102" s="1081"/>
      <c r="BJ102" s="776"/>
      <c r="BK102" s="711"/>
      <c r="BL102" s="776"/>
      <c r="BM102" s="711"/>
      <c r="BN102" s="776"/>
      <c r="BO102" s="711"/>
      <c r="BP102" s="776"/>
      <c r="BQ102" s="711"/>
      <c r="BR102" s="776"/>
      <c r="BS102" s="711"/>
      <c r="BT102" s="776"/>
      <c r="BU102" s="711"/>
      <c r="BV102" s="773"/>
      <c r="BW102" s="535">
        <f t="shared" si="273"/>
        <v>0</v>
      </c>
      <c r="BX102" s="244">
        <v>0.0</v>
      </c>
      <c r="BY102" s="412" t="str">
        <f t="shared" si="267"/>
        <v/>
      </c>
      <c r="BZ102" s="413" t="str">
        <f>IFERROR(__xludf.DUMMYFUNCTION("IFERROR(SPARKLINE(BY102,{""charttype"",""bar"";""color1"",IF(BY102&gt;='Май'!green_percent,'Май'!green,IF(BY102&gt;='Май'!yellow_percent,'Май'!yellow,IF(BY102&gt;='Май'!orange_percent,'Май'!orange,'Май'!red)));""max"",1}))"),"")</f>
        <v/>
      </c>
      <c r="CA102" s="1081"/>
      <c r="CB102" s="776"/>
      <c r="CC102" s="711"/>
      <c r="CD102" s="776"/>
      <c r="CE102" s="711"/>
      <c r="CF102" s="776"/>
      <c r="CG102" s="711"/>
      <c r="CH102" s="776"/>
      <c r="CI102" s="711"/>
      <c r="CJ102" s="776"/>
      <c r="CK102" s="711"/>
      <c r="CL102" s="776"/>
      <c r="CM102" s="711"/>
      <c r="CN102" s="776"/>
      <c r="CO102" s="535">
        <f t="shared" si="274"/>
        <v>0</v>
      </c>
      <c r="CP102" s="258"/>
      <c r="CQ102" s="412" t="str">
        <f t="shared" si="268"/>
        <v/>
      </c>
      <c r="CR102" s="413" t="str">
        <f>IFERROR(__xludf.DUMMYFUNCTION("IFERROR(SPARKLINE(CQ102,{""charttype"",""bar"";""color1"",IF(CQ102&gt;='Май'!green_percent,'Май'!green,IF(CQ102&gt;='Май'!yellow_percent,'Май'!yellow,IF(CQ102&gt;='Май'!orange_percent,'Май'!orange,'Май'!red)));""max"",1}))"),"")</f>
        <v/>
      </c>
      <c r="CS102" s="842"/>
      <c r="CT102" s="875"/>
      <c r="CU102" s="842"/>
      <c r="CV102" s="875"/>
      <c r="CW102" s="875"/>
      <c r="CX102" s="875"/>
      <c r="CY102" s="875"/>
      <c r="CZ102" s="875"/>
      <c r="DA102" s="875"/>
      <c r="DB102" s="875"/>
      <c r="DC102" s="875"/>
      <c r="DD102" s="875"/>
      <c r="DE102" s="875"/>
      <c r="DF102" s="875"/>
      <c r="DG102" s="326"/>
      <c r="DH102" s="876"/>
      <c r="DI102" s="327"/>
      <c r="DJ102" s="329"/>
      <c r="DK102" s="875"/>
      <c r="DL102" s="926"/>
    </row>
    <row r="103">
      <c r="A103" s="673"/>
      <c r="B103" s="934" t="s">
        <v>52</v>
      </c>
      <c r="C103" s="217"/>
      <c r="D103" s="217"/>
      <c r="E103" s="218"/>
      <c r="F103" s="448">
        <v>30000.0</v>
      </c>
      <c r="G103" s="448">
        <f t="shared" ref="G103:G104" si="275">V103+AN103+BF103+BX103+CP103</f>
        <v>163400</v>
      </c>
      <c r="H103" s="543">
        <f t="shared" si="269"/>
        <v>5.446666667</v>
      </c>
      <c r="I103" s="462" t="str">
        <f>IFERROR(__xludf.DUMMYFUNCTION("IFERROR(SPARKLINE(H103,{""charttype"",""bar"";""color1"",IF(H103&gt;='Май'!green_percent,'Май'!green,IF(H103&gt;='Май'!yellow_percent,'Май'!yellow,IF(H103&gt;='Май'!orange_percent,'Май'!orange,'Май'!red)));""max"",1}))"),"")</f>
        <v/>
      </c>
      <c r="J103" s="927"/>
      <c r="K103" s="282"/>
      <c r="L103" s="930"/>
      <c r="M103" s="929"/>
      <c r="N103" s="776"/>
      <c r="O103" s="929"/>
      <c r="P103" s="776"/>
      <c r="Q103" s="929"/>
      <c r="R103" s="773"/>
      <c r="S103" s="1064"/>
      <c r="T103" s="1083"/>
      <c r="U103" s="938">
        <f t="shared" ref="U103:U104" si="276">F103/31*3</f>
        <v>2903.225806</v>
      </c>
      <c r="V103" s="448">
        <v>82000.0</v>
      </c>
      <c r="W103" s="220">
        <f t="shared" si="264"/>
        <v>28.24444444</v>
      </c>
      <c r="X103" s="449" t="str">
        <f>IFERROR(__xludf.DUMMYFUNCTION("IFERROR(SPARKLINE(W103,{""charttype"",""bar"";""color1"",IF(W103&gt;='Май'!green_percent,'Май'!green,IF(W103&gt;='Май'!yellow_percent,'Май'!yellow,IF(W103&gt;='Май'!orange_percent,'Май'!orange,'Май'!red)));""max"",1}))"),"")</f>
        <v/>
      </c>
      <c r="Y103" s="261"/>
      <c r="Z103" s="1067"/>
      <c r="AA103" s="261"/>
      <c r="AB103" s="1067"/>
      <c r="AC103" s="261"/>
      <c r="AD103" s="1067"/>
      <c r="AE103" s="261"/>
      <c r="AF103" s="1067"/>
      <c r="AG103" s="261"/>
      <c r="AH103" s="1067"/>
      <c r="AI103" s="261"/>
      <c r="AJ103" s="1068"/>
      <c r="AK103" s="261"/>
      <c r="AL103" s="1069"/>
      <c r="AM103" s="460">
        <f t="shared" si="271"/>
        <v>6774.193548</v>
      </c>
      <c r="AN103" s="448">
        <v>81400.0</v>
      </c>
      <c r="AO103" s="220">
        <f t="shared" si="265"/>
        <v>12.01619048</v>
      </c>
      <c r="AP103" s="449" t="str">
        <f>IFERROR(__xludf.DUMMYFUNCTION("IFERROR(SPARKLINE(AO103,{""charttype"",""bar"";""color1"",IF(AO103&gt;='Май'!green_percent,'Май'!green,IF(AO103&gt;='Май'!yellow_percent,'Май'!yellow,IF(AO103&gt;='Май'!orange_percent,'Май'!orange,'Май'!red)));""max"",1}))"),"")</f>
        <v/>
      </c>
      <c r="AQ103" s="256"/>
      <c r="AR103" s="1083"/>
      <c r="AS103" s="256"/>
      <c r="AT103" s="1083"/>
      <c r="AU103" s="256"/>
      <c r="AV103" s="773"/>
      <c r="AW103" s="256"/>
      <c r="AX103" s="776"/>
      <c r="AY103" s="256"/>
      <c r="AZ103" s="776"/>
      <c r="BA103" s="256"/>
      <c r="BB103" s="776"/>
      <c r="BC103" s="256"/>
      <c r="BD103" s="773"/>
      <c r="BE103" s="460">
        <f t="shared" ref="BE103:BE104" si="277">F103/31*7</f>
        <v>6774.193548</v>
      </c>
      <c r="BF103" s="448">
        <v>0.0</v>
      </c>
      <c r="BG103" s="220">
        <f t="shared" si="266"/>
        <v>0</v>
      </c>
      <c r="BH103" s="449" t="str">
        <f>IFERROR(__xludf.DUMMYFUNCTION("IFERROR(SPARKLINE(BG103,{""charttype"",""bar"";""color1"",IF(BG103&gt;='Май'!green_percent,'Май'!green,IF(BG103&gt;='Май'!yellow_percent,'Май'!yellow,IF(BG103&gt;='Май'!orange_percent,'Май'!orange,'Май'!red)));""max"",1}))"),"")</f>
        <v/>
      </c>
      <c r="BI103" s="924"/>
      <c r="BJ103" s="776"/>
      <c r="BK103" s="256"/>
      <c r="BL103" s="776"/>
      <c r="BM103" s="256"/>
      <c r="BN103" s="776"/>
      <c r="BO103" s="256"/>
      <c r="BP103" s="776"/>
      <c r="BQ103" s="256"/>
      <c r="BR103" s="776"/>
      <c r="BS103" s="256"/>
      <c r="BT103" s="776"/>
      <c r="BU103" s="256"/>
      <c r="BV103" s="773"/>
      <c r="BW103" s="460">
        <f t="shared" si="273"/>
        <v>6774.193548</v>
      </c>
      <c r="BX103" s="448">
        <v>0.0</v>
      </c>
      <c r="BY103" s="220">
        <f t="shared" si="267"/>
        <v>0</v>
      </c>
      <c r="BZ103" s="449" t="str">
        <f>IFERROR(__xludf.DUMMYFUNCTION("IFERROR(SPARKLINE(BY103,{""charttype"",""bar"";""color1"",IF(BY103&gt;='Май'!green_percent,'Май'!green,IF(BY103&gt;='Май'!yellow_percent,'Май'!yellow,IF(BY103&gt;='Май'!orange_percent,'Май'!orange,'Май'!red)));""max"",1}))"),"")</f>
        <v/>
      </c>
      <c r="CA103" s="924"/>
      <c r="CB103" s="776"/>
      <c r="CC103" s="256"/>
      <c r="CD103" s="776"/>
      <c r="CE103" s="256"/>
      <c r="CF103" s="776"/>
      <c r="CG103" s="256"/>
      <c r="CH103" s="776"/>
      <c r="CI103" s="256"/>
      <c r="CJ103" s="776"/>
      <c r="CK103" s="256"/>
      <c r="CL103" s="776"/>
      <c r="CM103" s="256"/>
      <c r="CN103" s="776"/>
      <c r="CO103" s="460">
        <f t="shared" si="274"/>
        <v>6774.193548</v>
      </c>
      <c r="CP103" s="733"/>
      <c r="CQ103" s="220">
        <f t="shared" si="268"/>
        <v>0</v>
      </c>
      <c r="CR103" s="449" t="str">
        <f>IFERROR(__xludf.DUMMYFUNCTION("IFERROR(SPARKLINE(CQ103,{""charttype"",""bar"";""color1"",IF(CQ103&gt;='Май'!green_percent,'Май'!green,IF(CQ103&gt;='Май'!yellow_percent,'Май'!yellow,IF(CQ103&gt;='Май'!orange_percent,'Май'!orange,'Май'!red)));""max"",1}))"),"")</f>
        <v/>
      </c>
      <c r="CS103" s="842"/>
      <c r="CT103" s="843"/>
      <c r="CU103" s="842"/>
      <c r="CV103" s="843"/>
      <c r="CW103" s="843"/>
      <c r="CX103" s="843"/>
      <c r="CY103" s="843"/>
      <c r="CZ103" s="843"/>
      <c r="DA103" s="843"/>
      <c r="DB103" s="843"/>
      <c r="DC103" s="843"/>
      <c r="DD103" s="843"/>
      <c r="DE103" s="843"/>
      <c r="DF103" s="843"/>
      <c r="DG103" s="289"/>
      <c r="DH103" s="844"/>
      <c r="DI103" s="310"/>
      <c r="DJ103" s="339"/>
      <c r="DK103" s="843"/>
      <c r="DL103" s="933"/>
    </row>
    <row r="104">
      <c r="A104" s="703"/>
      <c r="B104" s="913" t="s">
        <v>64</v>
      </c>
      <c r="C104" s="242"/>
      <c r="D104" s="242"/>
      <c r="E104" s="243"/>
      <c r="F104" s="244">
        <v>100.0</v>
      </c>
      <c r="G104" s="244">
        <f t="shared" si="275"/>
        <v>24</v>
      </c>
      <c r="H104" s="704">
        <f t="shared" si="269"/>
        <v>0.24</v>
      </c>
      <c r="I104" s="427" t="str">
        <f>IFERROR(__xludf.DUMMYFUNCTION("IFERROR(SPARKLINE(H104,{""charttype"",""bar"";""color1"",IF(H104&gt;='Май'!green_percent,'Май'!green,IF(H104&gt;='Май'!yellow_percent,'Май'!yellow,IF(H104&gt;='Май'!orange_percent,'Май'!orange,'Май'!red)));""max"",1}))"),"")</f>
        <v/>
      </c>
      <c r="J104" s="912"/>
      <c r="K104" s="1020"/>
      <c r="L104" s="930"/>
      <c r="M104" s="929"/>
      <c r="N104" s="776"/>
      <c r="O104" s="929"/>
      <c r="P104" s="776"/>
      <c r="Q104" s="929"/>
      <c r="R104" s="773"/>
      <c r="S104" s="1064"/>
      <c r="T104" s="1078"/>
      <c r="U104" s="1086">
        <f t="shared" si="276"/>
        <v>9.677419355</v>
      </c>
      <c r="V104" s="244">
        <v>10.0</v>
      </c>
      <c r="W104" s="412">
        <f t="shared" si="264"/>
        <v>1.033333333</v>
      </c>
      <c r="X104" s="413" t="str">
        <f>IFERROR(__xludf.DUMMYFUNCTION("IFERROR(SPARKLINE(W104,{""charttype"",""bar"";""color1"",IF(W104&gt;='Май'!green_percent,'Май'!green,IF(W104&gt;='Май'!yellow_percent,'Май'!yellow,IF(W104&gt;='Май'!orange_percent,'Май'!orange,'Май'!red)));""max"",1}))"),"")</f>
        <v/>
      </c>
      <c r="Y104" s="1079"/>
      <c r="Z104" s="1067"/>
      <c r="AA104" s="1079"/>
      <c r="AB104" s="1067"/>
      <c r="AC104" s="1079"/>
      <c r="AD104" s="1067"/>
      <c r="AE104" s="1079"/>
      <c r="AF104" s="1067"/>
      <c r="AG104" s="1079"/>
      <c r="AH104" s="1067"/>
      <c r="AI104" s="1079"/>
      <c r="AJ104" s="1068"/>
      <c r="AK104" s="1079"/>
      <c r="AL104" s="1069"/>
      <c r="AM104" s="535">
        <f t="shared" si="271"/>
        <v>22.58064516</v>
      </c>
      <c r="AN104" s="244">
        <v>10.0</v>
      </c>
      <c r="AO104" s="412">
        <f t="shared" si="265"/>
        <v>0.4428571429</v>
      </c>
      <c r="AP104" s="413" t="str">
        <f>IFERROR(__xludf.DUMMYFUNCTION("IFERROR(SPARKLINE(AO104,{""charttype"",""bar"";""color1"",IF(AO104&gt;='Май'!green_percent,'Май'!green,IF(AO104&gt;='Май'!yellow_percent,'Май'!yellow,IF(AO104&gt;='Май'!orange_percent,'Май'!orange,'Май'!red)));""max"",1}))"),"")</f>
        <v/>
      </c>
      <c r="AQ104" s="711"/>
      <c r="AR104" s="1078"/>
      <c r="AS104" s="711"/>
      <c r="AT104" s="1078"/>
      <c r="AU104" s="711"/>
      <c r="AV104" s="773"/>
      <c r="AW104" s="711"/>
      <c r="AX104" s="776"/>
      <c r="AY104" s="711"/>
      <c r="AZ104" s="776"/>
      <c r="BA104" s="711"/>
      <c r="BB104" s="776"/>
      <c r="BC104" s="711"/>
      <c r="BD104" s="773"/>
      <c r="BE104" s="535">
        <f t="shared" si="277"/>
        <v>22.58064516</v>
      </c>
      <c r="BF104" s="244">
        <v>2.0</v>
      </c>
      <c r="BG104" s="412">
        <f t="shared" si="266"/>
        <v>0.08857142857</v>
      </c>
      <c r="BH104" s="413" t="str">
        <f>IFERROR(__xludf.DUMMYFUNCTION("IFERROR(SPARKLINE(BG104,{""charttype"",""bar"";""color1"",IF(BG104&gt;='Май'!green_percent,'Май'!green,IF(BG104&gt;='Май'!yellow_percent,'Май'!yellow,IF(BG104&gt;='Май'!orange_percent,'Май'!orange,'Май'!red)));""max"",1}))"),"")</f>
        <v/>
      </c>
      <c r="BI104" s="1081"/>
      <c r="BJ104" s="776"/>
      <c r="BK104" s="711"/>
      <c r="BL104" s="776"/>
      <c r="BM104" s="711"/>
      <c r="BN104" s="776"/>
      <c r="BO104" s="711"/>
      <c r="BP104" s="776"/>
      <c r="BQ104" s="711"/>
      <c r="BR104" s="776"/>
      <c r="BS104" s="711"/>
      <c r="BT104" s="776"/>
      <c r="BU104" s="711"/>
      <c r="BV104" s="773"/>
      <c r="BW104" s="535">
        <f t="shared" si="273"/>
        <v>22.58064516</v>
      </c>
      <c r="BX104" s="244">
        <v>2.0</v>
      </c>
      <c r="BY104" s="412">
        <f t="shared" si="267"/>
        <v>0.08857142857</v>
      </c>
      <c r="BZ104" s="413" t="str">
        <f>IFERROR(__xludf.DUMMYFUNCTION("IFERROR(SPARKLINE(BY104,{""charttype"",""bar"";""color1"",IF(BY104&gt;='Май'!green_percent,'Май'!green,IF(BY104&gt;='Май'!yellow_percent,'Май'!yellow,IF(BY104&gt;='Май'!orange_percent,'Май'!orange,'Май'!red)));""max"",1}))"),"")</f>
        <v/>
      </c>
      <c r="CA104" s="1081"/>
      <c r="CB104" s="776"/>
      <c r="CC104" s="711"/>
      <c r="CD104" s="776"/>
      <c r="CE104" s="711"/>
      <c r="CF104" s="776"/>
      <c r="CG104" s="711"/>
      <c r="CH104" s="776"/>
      <c r="CI104" s="711"/>
      <c r="CJ104" s="776"/>
      <c r="CK104" s="711"/>
      <c r="CL104" s="776"/>
      <c r="CM104" s="711"/>
      <c r="CN104" s="776"/>
      <c r="CO104" s="535">
        <f t="shared" si="274"/>
        <v>22.58064516</v>
      </c>
      <c r="CP104" s="258"/>
      <c r="CQ104" s="412">
        <f t="shared" si="268"/>
        <v>0</v>
      </c>
      <c r="CR104" s="413" t="str">
        <f>IFERROR(__xludf.DUMMYFUNCTION("IFERROR(SPARKLINE(CQ104,{""charttype"",""bar"";""color1"",IF(CQ104&gt;='Май'!green_percent,'Май'!green,IF(CQ104&gt;='Май'!yellow_percent,'Май'!yellow,IF(CQ104&gt;='Май'!orange_percent,'Май'!orange,'Май'!red)));""max"",1}))"),"")</f>
        <v/>
      </c>
      <c r="CS104" s="842"/>
      <c r="CT104" s="875"/>
      <c r="CU104" s="842"/>
      <c r="CV104" s="875"/>
      <c r="CW104" s="875"/>
      <c r="CX104" s="875"/>
      <c r="CY104" s="875"/>
      <c r="CZ104" s="875"/>
      <c r="DA104" s="875"/>
      <c r="DB104" s="875"/>
      <c r="DC104" s="875"/>
      <c r="DD104" s="875"/>
      <c r="DE104" s="875"/>
      <c r="DF104" s="875"/>
      <c r="DG104" s="326"/>
      <c r="DH104" s="876"/>
      <c r="DI104" s="327"/>
      <c r="DJ104" s="329"/>
      <c r="DK104" s="875"/>
      <c r="DL104" s="926"/>
    </row>
    <row r="105">
      <c r="A105" s="673"/>
      <c r="B105" s="934" t="s">
        <v>54</v>
      </c>
      <c r="C105" s="217"/>
      <c r="D105" s="217"/>
      <c r="E105" s="218"/>
      <c r="F105" s="270">
        <f t="shared" ref="F105:G105" si="278">F100/F104</f>
        <v>600</v>
      </c>
      <c r="G105" s="270">
        <f t="shared" si="278"/>
        <v>2500</v>
      </c>
      <c r="H105" s="543">
        <f t="shared" si="269"/>
        <v>4.166666667</v>
      </c>
      <c r="I105" s="462" t="str">
        <f>IFERROR(__xludf.DUMMYFUNCTION("IFERROR(SPARKLINE(H105,{""charttype"",""bar"";""color1"",IF(H105&gt;='Май'!green_percent,'Май'!green,IF(H105&gt;='Май'!yellow_percent,'Май'!yellow,IF(H105&gt;='Май'!orange_percent,'Май'!orange,'Май'!red)));""max"",1}))"),"")</f>
        <v/>
      </c>
      <c r="J105" s="927"/>
      <c r="K105" s="282"/>
      <c r="L105" s="930"/>
      <c r="M105" s="929"/>
      <c r="N105" s="776"/>
      <c r="O105" s="929"/>
      <c r="P105" s="776"/>
      <c r="Q105" s="929"/>
      <c r="R105" s="773"/>
      <c r="S105" s="1064"/>
      <c r="T105" s="1083"/>
      <c r="U105" s="938">
        <v>1500.0</v>
      </c>
      <c r="V105" s="563">
        <f>V100/V104</f>
        <v>3000</v>
      </c>
      <c r="W105" s="220">
        <f t="shared" si="264"/>
        <v>2</v>
      </c>
      <c r="X105" s="449" t="str">
        <f>IFERROR(__xludf.DUMMYFUNCTION("IFERROR(SPARKLINE(W105,{""charttype"",""bar"";""color1"",IF(W105&gt;='Май'!green_percent,'Май'!green,IF(W105&gt;='Май'!yellow_percent,'Май'!yellow,IF(W105&gt;='Май'!orange_percent,'Май'!orange,'Май'!red)));""max"",1}))"),"")</f>
        <v/>
      </c>
      <c r="Y105" s="261"/>
      <c r="Z105" s="1067"/>
      <c r="AA105" s="261"/>
      <c r="AB105" s="1067"/>
      <c r="AC105" s="261"/>
      <c r="AD105" s="1067"/>
      <c r="AE105" s="261"/>
      <c r="AF105" s="1067"/>
      <c r="AG105" s="261"/>
      <c r="AH105" s="1067"/>
      <c r="AI105" s="261"/>
      <c r="AJ105" s="1068"/>
      <c r="AK105" s="261"/>
      <c r="AL105" s="1069"/>
      <c r="AM105" s="281">
        <v>1500.0</v>
      </c>
      <c r="AN105" s="563">
        <f>AN100/AN104</f>
        <v>3000</v>
      </c>
      <c r="AO105" s="220">
        <f t="shared" si="265"/>
        <v>2</v>
      </c>
      <c r="AP105" s="449" t="str">
        <f>IFERROR(__xludf.DUMMYFUNCTION("IFERROR(SPARKLINE(AO105,{""charttype"",""bar"";""color1"",IF(AO105&gt;='Май'!green_percent,'Май'!green,IF(AO105&gt;='Май'!yellow_percent,'Май'!yellow,IF(AO105&gt;='Май'!orange_percent,'Май'!orange,'Май'!red)));""max"",1}))"),"")</f>
        <v/>
      </c>
      <c r="AQ105" s="256"/>
      <c r="AR105" s="1083"/>
      <c r="AS105" s="256"/>
      <c r="AT105" s="1083"/>
      <c r="AU105" s="256"/>
      <c r="AV105" s="773"/>
      <c r="AW105" s="256"/>
      <c r="AX105" s="776"/>
      <c r="AY105" s="256"/>
      <c r="AZ105" s="776"/>
      <c r="BA105" s="256"/>
      <c r="BB105" s="776"/>
      <c r="BC105" s="256"/>
      <c r="BD105" s="773"/>
      <c r="BE105" s="281">
        <v>1500.0</v>
      </c>
      <c r="BF105" s="448">
        <v>0.0</v>
      </c>
      <c r="BG105" s="220">
        <f t="shared" si="266"/>
        <v>0</v>
      </c>
      <c r="BH105" s="449" t="str">
        <f>IFERROR(__xludf.DUMMYFUNCTION("IFERROR(SPARKLINE(BG105,{""charttype"",""bar"";""color1"",IF(BG105&gt;='Май'!green_percent,'Май'!green,IF(BG105&gt;='Май'!yellow_percent,'Май'!yellow,IF(BG105&gt;='Май'!orange_percent,'Май'!orange,'Май'!red)));""max"",1}))"),"")</f>
        <v/>
      </c>
      <c r="BI105" s="924"/>
      <c r="BJ105" s="776"/>
      <c r="BK105" s="256"/>
      <c r="BL105" s="776"/>
      <c r="BM105" s="256"/>
      <c r="BN105" s="776"/>
      <c r="BO105" s="256"/>
      <c r="BP105" s="776"/>
      <c r="BQ105" s="256"/>
      <c r="BR105" s="776"/>
      <c r="BS105" s="256"/>
      <c r="BT105" s="776"/>
      <c r="BU105" s="256"/>
      <c r="BV105" s="773"/>
      <c r="BW105" s="281">
        <v>1500.0</v>
      </c>
      <c r="BX105" s="448">
        <v>0.0</v>
      </c>
      <c r="BY105" s="220">
        <f t="shared" si="267"/>
        <v>0</v>
      </c>
      <c r="BZ105" s="449" t="str">
        <f>IFERROR(__xludf.DUMMYFUNCTION("IFERROR(SPARKLINE(BY105,{""charttype"",""bar"";""color1"",IF(BY105&gt;='Май'!green_percent,'Май'!green,IF(BY105&gt;='Май'!yellow_percent,'Май'!yellow,IF(BY105&gt;='Май'!orange_percent,'Май'!orange,'Май'!red)));""max"",1}))"),"")</f>
        <v/>
      </c>
      <c r="CA105" s="924"/>
      <c r="CB105" s="776"/>
      <c r="CC105" s="256"/>
      <c r="CD105" s="776"/>
      <c r="CE105" s="256"/>
      <c r="CF105" s="776"/>
      <c r="CG105" s="256"/>
      <c r="CH105" s="776"/>
      <c r="CI105" s="256"/>
      <c r="CJ105" s="776"/>
      <c r="CK105" s="256"/>
      <c r="CL105" s="776"/>
      <c r="CM105" s="256"/>
      <c r="CN105" s="776"/>
      <c r="CO105" s="281">
        <v>1500.0</v>
      </c>
      <c r="CP105" s="733"/>
      <c r="CQ105" s="220">
        <f t="shared" si="268"/>
        <v>0</v>
      </c>
      <c r="CR105" s="449" t="str">
        <f>IFERROR(__xludf.DUMMYFUNCTION("IFERROR(SPARKLINE(CQ105,{""charttype"",""bar"";""color1"",IF(CQ105&gt;='Май'!green_percent,'Май'!green,IF(CQ105&gt;='Май'!yellow_percent,'Май'!yellow,IF(CQ105&gt;='Май'!orange_percent,'Май'!orange,'Май'!red)));""max"",1}))"),"")</f>
        <v/>
      </c>
      <c r="CS105" s="842"/>
      <c r="CT105" s="843"/>
      <c r="CU105" s="842"/>
      <c r="CV105" s="843"/>
      <c r="CW105" s="843"/>
      <c r="CX105" s="843"/>
      <c r="CY105" s="843"/>
      <c r="CZ105" s="843"/>
      <c r="DA105" s="843"/>
      <c r="DB105" s="843"/>
      <c r="DC105" s="843"/>
      <c r="DD105" s="843"/>
      <c r="DE105" s="843"/>
      <c r="DF105" s="843"/>
      <c r="DG105" s="289"/>
      <c r="DH105" s="844"/>
      <c r="DI105" s="310"/>
      <c r="DJ105" s="339"/>
      <c r="DK105" s="843"/>
      <c r="DL105" s="933"/>
    </row>
    <row r="106">
      <c r="A106" s="703"/>
      <c r="B106" s="937" t="s">
        <v>55</v>
      </c>
      <c r="C106" s="242"/>
      <c r="D106" s="242"/>
      <c r="E106" s="243"/>
      <c r="F106" s="244">
        <v>2.0</v>
      </c>
      <c r="G106" s="244">
        <f>V106+AN106+BF106+BX106+CP106</f>
        <v>0</v>
      </c>
      <c r="H106" s="704">
        <f t="shared" si="269"/>
        <v>0</v>
      </c>
      <c r="I106" s="427" t="str">
        <f>IFERROR(__xludf.DUMMYFUNCTION("IFERROR(SPARKLINE(H106,{""charttype"",""bar"";""color1"",IF(H106&gt;='Май'!green_percent,'Май'!green,IF(H106&gt;='Май'!yellow_percent,'Май'!yellow,IF(H106&gt;='Май'!orange_percent,'Май'!orange,'Май'!red)));""max"",1}))"),"")</f>
        <v/>
      </c>
      <c r="J106" s="912"/>
      <c r="K106" s="1020"/>
      <c r="L106" s="773">
        <v>0.0</v>
      </c>
      <c r="M106" s="929"/>
      <c r="N106" s="776">
        <v>0.0</v>
      </c>
      <c r="O106" s="929"/>
      <c r="P106" s="776">
        <v>0.0</v>
      </c>
      <c r="Q106" s="929"/>
      <c r="R106" s="773">
        <v>0.0</v>
      </c>
      <c r="S106" s="1064"/>
      <c r="T106" s="1078">
        <v>0.0</v>
      </c>
      <c r="U106" s="706">
        <f>F106/31*3</f>
        <v>0.1935483871</v>
      </c>
      <c r="V106" s="244">
        <v>0.0</v>
      </c>
      <c r="W106" s="412">
        <f t="shared" si="264"/>
        <v>0</v>
      </c>
      <c r="X106" s="413" t="str">
        <f>IFERROR(__xludf.DUMMYFUNCTION("IFERROR(SPARKLINE(W106,{""charttype"",""bar"";""color1"",IF(W106&gt;='Май'!green_percent,'Май'!green,IF(W106&gt;='Май'!yellow_percent,'Май'!yellow,IF(W106&gt;='Май'!orange_percent,'Май'!orange,'Май'!red)));""max"",1}))"),"")</f>
        <v/>
      </c>
      <c r="Y106" s="1079"/>
      <c r="Z106" s="1067"/>
      <c r="AA106" s="1079"/>
      <c r="AB106" s="1067"/>
      <c r="AC106" s="1079"/>
      <c r="AD106" s="1067"/>
      <c r="AE106" s="1079"/>
      <c r="AF106" s="1067"/>
      <c r="AG106" s="1079"/>
      <c r="AH106" s="1067"/>
      <c r="AI106" s="1079"/>
      <c r="AJ106" s="1068"/>
      <c r="AK106" s="1079"/>
      <c r="AL106" s="1069"/>
      <c r="AM106" s="706">
        <f>F106/31*7</f>
        <v>0.4516129032</v>
      </c>
      <c r="AN106" s="244">
        <v>0.0</v>
      </c>
      <c r="AO106" s="412">
        <f t="shared" si="265"/>
        <v>0</v>
      </c>
      <c r="AP106" s="413" t="str">
        <f>IFERROR(__xludf.DUMMYFUNCTION("IFERROR(SPARKLINE(AO106,{""charttype"",""bar"";""color1"",IF(AO106&gt;='Май'!green_percent,'Май'!green,IF(AO106&gt;='Май'!yellow_percent,'Май'!yellow,IF(AO106&gt;='Май'!orange_percent,'Май'!orange,'Май'!red)));""max"",1}))"),"")</f>
        <v/>
      </c>
      <c r="AQ106" s="711"/>
      <c r="AR106" s="1078"/>
      <c r="AS106" s="711"/>
      <c r="AT106" s="1078"/>
      <c r="AU106" s="711"/>
      <c r="AV106" s="773"/>
      <c r="AW106" s="711"/>
      <c r="AX106" s="776"/>
      <c r="AY106" s="711"/>
      <c r="AZ106" s="776"/>
      <c r="BA106" s="711"/>
      <c r="BB106" s="776"/>
      <c r="BC106" s="711"/>
      <c r="BD106" s="773"/>
      <c r="BE106" s="706">
        <f>F106/31*7</f>
        <v>0.4516129032</v>
      </c>
      <c r="BF106" s="244">
        <v>0.0</v>
      </c>
      <c r="BG106" s="412">
        <f t="shared" si="266"/>
        <v>0</v>
      </c>
      <c r="BH106" s="413" t="str">
        <f>IFERROR(__xludf.DUMMYFUNCTION("IFERROR(SPARKLINE(BG106,{""charttype"",""bar"";""color1"",IF(BG106&gt;='Май'!green_percent,'Май'!green,IF(BG106&gt;='Май'!yellow_percent,'Май'!yellow,IF(BG106&gt;='Май'!orange_percent,'Май'!orange,'Май'!red)));""max"",1}))"),"")</f>
        <v/>
      </c>
      <c r="BI106" s="1081"/>
      <c r="BJ106" s="776"/>
      <c r="BK106" s="711"/>
      <c r="BL106" s="776"/>
      <c r="BM106" s="711"/>
      <c r="BN106" s="776"/>
      <c r="BO106" s="711"/>
      <c r="BP106" s="776"/>
      <c r="BQ106" s="711"/>
      <c r="BR106" s="776"/>
      <c r="BS106" s="711"/>
      <c r="BT106" s="776"/>
      <c r="BU106" s="711"/>
      <c r="BV106" s="773"/>
      <c r="BW106" s="706">
        <f>F106/31*7</f>
        <v>0.4516129032</v>
      </c>
      <c r="BX106" s="244">
        <v>0.0</v>
      </c>
      <c r="BY106" s="412">
        <f t="shared" si="267"/>
        <v>0</v>
      </c>
      <c r="BZ106" s="413" t="str">
        <f>IFERROR(__xludf.DUMMYFUNCTION("IFERROR(SPARKLINE(BY106,{""charttype"",""bar"";""color1"",IF(BY106&gt;='Май'!green_percent,'Май'!green,IF(BY106&gt;='Май'!yellow_percent,'Май'!yellow,IF(BY106&gt;='Май'!orange_percent,'Май'!orange,'Май'!red)));""max"",1}))"),"")</f>
        <v/>
      </c>
      <c r="CA106" s="1081"/>
      <c r="CB106" s="776"/>
      <c r="CC106" s="711"/>
      <c r="CD106" s="776"/>
      <c r="CE106" s="711"/>
      <c r="CF106" s="776"/>
      <c r="CG106" s="711"/>
      <c r="CH106" s="776"/>
      <c r="CI106" s="711"/>
      <c r="CJ106" s="776"/>
      <c r="CK106" s="711"/>
      <c r="CL106" s="776"/>
      <c r="CM106" s="711"/>
      <c r="CN106" s="776"/>
      <c r="CO106" s="706">
        <f>F106/31*7</f>
        <v>0.4516129032</v>
      </c>
      <c r="CP106" s="258"/>
      <c r="CQ106" s="412">
        <f t="shared" si="268"/>
        <v>0</v>
      </c>
      <c r="CR106" s="413" t="str">
        <f>IFERROR(__xludf.DUMMYFUNCTION("IFERROR(SPARKLINE(CQ106,{""charttype"",""bar"";""color1"",IF(CQ106&gt;='Май'!green_percent,'Май'!green,IF(CQ106&gt;='Май'!yellow_percent,'Май'!yellow,IF(CQ106&gt;='Май'!orange_percent,'Май'!orange,'Май'!red)));""max"",1}))"),"")</f>
        <v/>
      </c>
      <c r="CS106" s="842"/>
      <c r="CT106" s="875"/>
      <c r="CU106" s="842"/>
      <c r="CV106" s="875"/>
      <c r="CW106" s="875"/>
      <c r="CX106" s="875"/>
      <c r="CY106" s="875"/>
      <c r="CZ106" s="875"/>
      <c r="DA106" s="875"/>
      <c r="DB106" s="875"/>
      <c r="DC106" s="875"/>
      <c r="DD106" s="875"/>
      <c r="DE106" s="875"/>
      <c r="DF106" s="875"/>
      <c r="DG106" s="326"/>
      <c r="DH106" s="876"/>
      <c r="DI106" s="327"/>
      <c r="DJ106" s="329"/>
      <c r="DK106" s="875"/>
      <c r="DL106" s="926"/>
    </row>
    <row r="107">
      <c r="A107" s="673"/>
      <c r="B107" s="934" t="s">
        <v>22</v>
      </c>
      <c r="C107" s="217"/>
      <c r="D107" s="217"/>
      <c r="E107" s="218"/>
      <c r="F107" s="270">
        <f>F100/F106</f>
        <v>30000</v>
      </c>
      <c r="G107" s="270">
        <f t="shared" ref="G107:G108" si="279">V107</f>
        <v>0</v>
      </c>
      <c r="H107" s="543">
        <f t="shared" si="269"/>
        <v>0</v>
      </c>
      <c r="I107" s="462" t="str">
        <f>IFERROR(__xludf.DUMMYFUNCTION("IFERROR(SPARKLINE(H107,{""charttype"",""bar"";""color1"",IF(H107&gt;='Май'!green_percent,'Май'!green,IF(H107&gt;='Май'!yellow_percent,'Май'!yellow,IF(H107&gt;='Май'!orange_percent,'Май'!orange,'Май'!red)));""max"",1}))"),"")</f>
        <v/>
      </c>
      <c r="J107" s="927"/>
      <c r="K107" s="282"/>
      <c r="L107" s="930"/>
      <c r="M107" s="929"/>
      <c r="N107" s="776"/>
      <c r="O107" s="929"/>
      <c r="P107" s="776"/>
      <c r="Q107" s="929"/>
      <c r="R107" s="773"/>
      <c r="S107" s="1064"/>
      <c r="T107" s="1083"/>
      <c r="U107" s="560">
        <v>12000.0</v>
      </c>
      <c r="V107" s="555">
        <v>0.0</v>
      </c>
      <c r="W107" s="220">
        <f t="shared" si="264"/>
        <v>0</v>
      </c>
      <c r="X107" s="449" t="str">
        <f>IFERROR(__xludf.DUMMYFUNCTION("IFERROR(SPARKLINE(W107,{""charttype"",""bar"";""color1"",IF(W107&gt;='Май'!green_percent,'Май'!green,IF(W107&gt;='Май'!yellow_percent,'Май'!yellow,IF(W107&gt;='Май'!orange_percent,'Май'!orange,'Май'!red)));""max"",1}))"),"")</f>
        <v/>
      </c>
      <c r="Y107" s="261"/>
      <c r="Z107" s="1067"/>
      <c r="AA107" s="261"/>
      <c r="AB107" s="1067"/>
      <c r="AC107" s="261"/>
      <c r="AD107" s="1067"/>
      <c r="AE107" s="261"/>
      <c r="AF107" s="1067"/>
      <c r="AG107" s="261"/>
      <c r="AH107" s="1067"/>
      <c r="AI107" s="261"/>
      <c r="AJ107" s="1068"/>
      <c r="AK107" s="261"/>
      <c r="AL107" s="1069"/>
      <c r="AM107" s="560">
        <v>12000.0</v>
      </c>
      <c r="AN107" s="448">
        <v>0.0</v>
      </c>
      <c r="AO107" s="220">
        <f t="shared" si="265"/>
        <v>0</v>
      </c>
      <c r="AP107" s="449" t="str">
        <f>IFERROR(__xludf.DUMMYFUNCTION("IFERROR(SPARKLINE(AO107,{""charttype"",""bar"";""color1"",IF(AO107&gt;='Май'!green_percent,'Май'!green,IF(AO107&gt;='Май'!yellow_percent,'Май'!yellow,IF(AO107&gt;='Май'!orange_percent,'Май'!orange,'Май'!red)));""max"",1}))"),"")</f>
        <v/>
      </c>
      <c r="AQ107" s="256"/>
      <c r="AR107" s="1083"/>
      <c r="AS107" s="256"/>
      <c r="AT107" s="1083"/>
      <c r="AU107" s="256"/>
      <c r="AV107" s="773"/>
      <c r="AW107" s="256"/>
      <c r="AX107" s="776"/>
      <c r="AY107" s="256"/>
      <c r="AZ107" s="776"/>
      <c r="BA107" s="256"/>
      <c r="BB107" s="776"/>
      <c r="BC107" s="256"/>
      <c r="BD107" s="773"/>
      <c r="BE107" s="560">
        <v>12000.0</v>
      </c>
      <c r="BF107" s="448">
        <v>0.0</v>
      </c>
      <c r="BG107" s="220">
        <f t="shared" si="266"/>
        <v>0</v>
      </c>
      <c r="BH107" s="449" t="str">
        <f>IFERROR(__xludf.DUMMYFUNCTION("IFERROR(SPARKLINE(BG107,{""charttype"",""bar"";""color1"",IF(BG107&gt;='Май'!green_percent,'Май'!green,IF(BG107&gt;='Май'!yellow_percent,'Май'!yellow,IF(BG107&gt;='Май'!orange_percent,'Май'!orange,'Май'!red)));""max"",1}))"),"")</f>
        <v/>
      </c>
      <c r="BI107" s="924"/>
      <c r="BJ107" s="776"/>
      <c r="BK107" s="256"/>
      <c r="BL107" s="776"/>
      <c r="BM107" s="256"/>
      <c r="BN107" s="776"/>
      <c r="BO107" s="256"/>
      <c r="BP107" s="776"/>
      <c r="BQ107" s="256"/>
      <c r="BR107" s="776"/>
      <c r="BS107" s="256"/>
      <c r="BT107" s="776"/>
      <c r="BU107" s="256"/>
      <c r="BV107" s="773"/>
      <c r="BW107" s="560">
        <v>12000.0</v>
      </c>
      <c r="BX107" s="448">
        <v>0.0</v>
      </c>
      <c r="BY107" s="220">
        <f t="shared" si="267"/>
        <v>0</v>
      </c>
      <c r="BZ107" s="449" t="str">
        <f>IFERROR(__xludf.DUMMYFUNCTION("IFERROR(SPARKLINE(BY107,{""charttype"",""bar"";""color1"",IF(BY107&gt;='Май'!green_percent,'Май'!green,IF(BY107&gt;='Май'!yellow_percent,'Май'!yellow,IF(BY107&gt;='Май'!orange_percent,'Май'!orange,'Май'!red)));""max"",1}))"),"")</f>
        <v/>
      </c>
      <c r="CA107" s="924"/>
      <c r="CB107" s="776"/>
      <c r="CC107" s="256"/>
      <c r="CD107" s="776"/>
      <c r="CE107" s="256"/>
      <c r="CF107" s="776"/>
      <c r="CG107" s="256"/>
      <c r="CH107" s="776"/>
      <c r="CI107" s="256"/>
      <c r="CJ107" s="776"/>
      <c r="CK107" s="256"/>
      <c r="CL107" s="776"/>
      <c r="CM107" s="256"/>
      <c r="CN107" s="776"/>
      <c r="CO107" s="560">
        <v>12000.0</v>
      </c>
      <c r="CP107" s="733"/>
      <c r="CQ107" s="220">
        <f t="shared" si="268"/>
        <v>0</v>
      </c>
      <c r="CR107" s="449" t="str">
        <f>IFERROR(__xludf.DUMMYFUNCTION("IFERROR(SPARKLINE(CQ107,{""charttype"",""bar"";""color1"",IF(CQ107&gt;='Май'!green_percent,'Май'!green,IF(CQ107&gt;='Май'!yellow_percent,'Май'!yellow,IF(CQ107&gt;='Май'!orange_percent,'Май'!orange,'Май'!red)));""max"",1}))"),"")</f>
        <v/>
      </c>
      <c r="CS107" s="842"/>
      <c r="CT107" s="843"/>
      <c r="CU107" s="842"/>
      <c r="CV107" s="843"/>
      <c r="CW107" s="843"/>
      <c r="CX107" s="843"/>
      <c r="CY107" s="843"/>
      <c r="CZ107" s="843"/>
      <c r="DA107" s="843"/>
      <c r="DB107" s="843"/>
      <c r="DC107" s="843"/>
      <c r="DD107" s="843"/>
      <c r="DE107" s="843"/>
      <c r="DF107" s="843"/>
      <c r="DG107" s="289"/>
      <c r="DH107" s="844"/>
      <c r="DI107" s="310"/>
      <c r="DJ107" s="339"/>
      <c r="DK107" s="843"/>
      <c r="DL107" s="933"/>
    </row>
    <row r="108">
      <c r="A108" s="703"/>
      <c r="B108" s="937" t="s">
        <v>56</v>
      </c>
      <c r="C108" s="242"/>
      <c r="D108" s="242"/>
      <c r="E108" s="243"/>
      <c r="F108" s="412">
        <f>F106/F101</f>
        <v>0.01333333333</v>
      </c>
      <c r="G108" s="412">
        <f t="shared" si="279"/>
        <v>0</v>
      </c>
      <c r="H108" s="704">
        <f t="shared" si="269"/>
        <v>0</v>
      </c>
      <c r="I108" s="427" t="str">
        <f>IFERROR(__xludf.DUMMYFUNCTION("IFERROR(SPARKLINE(H108,{""charttype"",""bar"";""color1"",IF(H108&gt;='Май'!green_percent,'Май'!green,IF(H108&gt;='Май'!yellow_percent,'Май'!yellow,IF(H108&gt;='Май'!orange_percent,'Май'!orange,'Май'!red)));""max"",1}))"),"")</f>
        <v/>
      </c>
      <c r="J108" s="912"/>
      <c r="K108" s="1020"/>
      <c r="L108" s="930"/>
      <c r="M108" s="929"/>
      <c r="N108" s="776"/>
      <c r="O108" s="929"/>
      <c r="P108" s="776"/>
      <c r="Q108" s="929"/>
      <c r="R108" s="773"/>
      <c r="S108" s="1064"/>
      <c r="T108" s="1078"/>
      <c r="U108" s="313">
        <f>U106/U101</f>
        <v>0.01333333333</v>
      </c>
      <c r="V108" s="245">
        <f>V106/V103</f>
        <v>0</v>
      </c>
      <c r="W108" s="412">
        <f t="shared" si="264"/>
        <v>0</v>
      </c>
      <c r="X108" s="413" t="str">
        <f>IFERROR(__xludf.DUMMYFUNCTION("IFERROR(SPARKLINE(W108,{""charttype"",""bar"";""color1"",IF(W108&gt;='Май'!green_percent,'Май'!green,IF(W108&gt;='Май'!yellow_percent,'Май'!yellow,IF(W108&gt;='Май'!orange_percent,'Май'!orange,'Май'!red)));""max"",1}))"),"")</f>
        <v/>
      </c>
      <c r="Y108" s="1079"/>
      <c r="Z108" s="1067"/>
      <c r="AA108" s="1079"/>
      <c r="AB108" s="1067"/>
      <c r="AC108" s="1079"/>
      <c r="AD108" s="1067"/>
      <c r="AE108" s="1079"/>
      <c r="AF108" s="1067"/>
      <c r="AG108" s="1079"/>
      <c r="AH108" s="1067"/>
      <c r="AI108" s="1079"/>
      <c r="AJ108" s="1068"/>
      <c r="AK108" s="1079"/>
      <c r="AL108" s="1069"/>
      <c r="AM108" s="313">
        <f>AM106/AM101</f>
        <v>0.01333333333</v>
      </c>
      <c r="AN108" s="244">
        <v>0.0</v>
      </c>
      <c r="AO108" s="412">
        <f t="shared" si="265"/>
        <v>0</v>
      </c>
      <c r="AP108" s="413" t="str">
        <f>IFERROR(__xludf.DUMMYFUNCTION("IFERROR(SPARKLINE(AO108,{""charttype"",""bar"";""color1"",IF(AO108&gt;='Май'!green_percent,'Май'!green,IF(AO108&gt;='Май'!yellow_percent,'Май'!yellow,IF(AO108&gt;='Май'!orange_percent,'Май'!orange,'Май'!red)));""max"",1}))"),"")</f>
        <v/>
      </c>
      <c r="AQ108" s="711"/>
      <c r="AR108" s="1078"/>
      <c r="AS108" s="711"/>
      <c r="AT108" s="1078"/>
      <c r="AU108" s="711"/>
      <c r="AV108" s="773"/>
      <c r="AW108" s="711"/>
      <c r="AX108" s="776"/>
      <c r="AY108" s="711"/>
      <c r="AZ108" s="776"/>
      <c r="BA108" s="711"/>
      <c r="BB108" s="776"/>
      <c r="BC108" s="711"/>
      <c r="BD108" s="773"/>
      <c r="BE108" s="313">
        <f>BE106/BE101</f>
        <v>0.01333333333</v>
      </c>
      <c r="BF108" s="244">
        <v>0.0</v>
      </c>
      <c r="BG108" s="412">
        <f t="shared" si="266"/>
        <v>0</v>
      </c>
      <c r="BH108" s="413" t="str">
        <f>IFERROR(__xludf.DUMMYFUNCTION("IFERROR(SPARKLINE(BG108,{""charttype"",""bar"";""color1"",IF(BG108&gt;='Май'!green_percent,'Май'!green,IF(BG108&gt;='Май'!yellow_percent,'Май'!yellow,IF(BG108&gt;='Май'!orange_percent,'Май'!orange,'Май'!red)));""max"",1}))"),"")</f>
        <v/>
      </c>
      <c r="BI108" s="1081"/>
      <c r="BJ108" s="776"/>
      <c r="BK108" s="711"/>
      <c r="BL108" s="776"/>
      <c r="BM108" s="711"/>
      <c r="BN108" s="776"/>
      <c r="BO108" s="711"/>
      <c r="BP108" s="776"/>
      <c r="BQ108" s="711"/>
      <c r="BR108" s="776"/>
      <c r="BS108" s="711"/>
      <c r="BT108" s="776"/>
      <c r="BU108" s="711"/>
      <c r="BV108" s="773"/>
      <c r="BW108" s="313">
        <f>BW106/BW101</f>
        <v>0.01333333333</v>
      </c>
      <c r="BX108" s="244">
        <v>0.0</v>
      </c>
      <c r="BY108" s="412">
        <f t="shared" si="267"/>
        <v>0</v>
      </c>
      <c r="BZ108" s="413" t="str">
        <f>IFERROR(__xludf.DUMMYFUNCTION("IFERROR(SPARKLINE(BY108,{""charttype"",""bar"";""color1"",IF(BY108&gt;='Май'!green_percent,'Май'!green,IF(BY108&gt;='Май'!yellow_percent,'Май'!yellow,IF(BY108&gt;='Май'!orange_percent,'Май'!orange,'Май'!red)));""max"",1}))"),"")</f>
        <v/>
      </c>
      <c r="CA108" s="1081"/>
      <c r="CB108" s="776"/>
      <c r="CC108" s="711"/>
      <c r="CD108" s="776"/>
      <c r="CE108" s="711"/>
      <c r="CF108" s="776"/>
      <c r="CG108" s="711"/>
      <c r="CH108" s="776"/>
      <c r="CI108" s="711"/>
      <c r="CJ108" s="776"/>
      <c r="CK108" s="711"/>
      <c r="CL108" s="776"/>
      <c r="CM108" s="711"/>
      <c r="CN108" s="776"/>
      <c r="CO108" s="313">
        <f>CO106/CO101</f>
        <v>0.01333333333</v>
      </c>
      <c r="CP108" s="258"/>
      <c r="CQ108" s="412">
        <f t="shared" si="268"/>
        <v>0</v>
      </c>
      <c r="CR108" s="413" t="str">
        <f>IFERROR(__xludf.DUMMYFUNCTION("IFERROR(SPARKLINE(CQ108,{""charttype"",""bar"";""color1"",IF(CQ108&gt;='Май'!green_percent,'Май'!green,IF(CQ108&gt;='Май'!yellow_percent,'Май'!yellow,IF(CQ108&gt;='Май'!orange_percent,'Май'!orange,'Май'!red)));""max"",1}))"),"")</f>
        <v/>
      </c>
      <c r="CS108" s="842"/>
      <c r="CT108" s="875"/>
      <c r="CU108" s="842"/>
      <c r="CV108" s="875"/>
      <c r="CW108" s="875"/>
      <c r="CX108" s="875"/>
      <c r="CY108" s="875"/>
      <c r="CZ108" s="875"/>
      <c r="DA108" s="875"/>
      <c r="DB108" s="875"/>
      <c r="DC108" s="875"/>
      <c r="DD108" s="875"/>
      <c r="DE108" s="875"/>
      <c r="DF108" s="875"/>
      <c r="DG108" s="326"/>
      <c r="DH108" s="876"/>
      <c r="DI108" s="327"/>
      <c r="DJ108" s="329"/>
      <c r="DK108" s="875"/>
      <c r="DL108" s="926"/>
    </row>
    <row r="109">
      <c r="A109" s="673"/>
      <c r="B109" s="934" t="s">
        <v>35</v>
      </c>
      <c r="C109" s="217"/>
      <c r="D109" s="217"/>
      <c r="E109" s="218"/>
      <c r="F109" s="448">
        <v>2.0</v>
      </c>
      <c r="G109" s="448">
        <f>V109+AN109+BF109+BX109+CP109</f>
        <v>0</v>
      </c>
      <c r="H109" s="543">
        <f t="shared" si="269"/>
        <v>0</v>
      </c>
      <c r="I109" s="462" t="str">
        <f>IFERROR(__xludf.DUMMYFUNCTION("IFERROR(SPARKLINE(H109,{""charttype"",""bar"";""color1"",IF(H109&gt;='Май'!green_percent,'Май'!green,IF(H109&gt;='Май'!yellow_percent,'Май'!yellow,IF(H109&gt;='Май'!orange_percent,'Май'!orange,'Май'!red)));""max"",1}))"),"")</f>
        <v/>
      </c>
      <c r="J109" s="927"/>
      <c r="K109" s="282"/>
      <c r="L109" s="773">
        <v>0.0</v>
      </c>
      <c r="M109" s="929"/>
      <c r="N109" s="776">
        <v>0.0</v>
      </c>
      <c r="O109" s="929"/>
      <c r="P109" s="776">
        <v>0.0</v>
      </c>
      <c r="Q109" s="929"/>
      <c r="R109" s="773">
        <v>0.0</v>
      </c>
      <c r="S109" s="1064"/>
      <c r="T109" s="1083">
        <v>0.0</v>
      </c>
      <c r="U109" s="460">
        <f>F109/31*3</f>
        <v>0.1935483871</v>
      </c>
      <c r="V109" s="448">
        <v>0.0</v>
      </c>
      <c r="W109" s="220">
        <f t="shared" si="264"/>
        <v>0</v>
      </c>
      <c r="X109" s="449" t="str">
        <f>IFERROR(__xludf.DUMMYFUNCTION("IFERROR(SPARKLINE(W109,{""charttype"",""bar"";""color1"",IF(W109&gt;='Май'!green_percent,'Май'!green,IF(W109&gt;='Май'!yellow_percent,'Май'!yellow,IF(W109&gt;='Май'!orange_percent,'Май'!orange,'Май'!red)));""max"",1}))"),"")</f>
        <v/>
      </c>
      <c r="Y109" s="261"/>
      <c r="Z109" s="1067"/>
      <c r="AA109" s="261"/>
      <c r="AB109" s="1067"/>
      <c r="AC109" s="261"/>
      <c r="AD109" s="1067"/>
      <c r="AE109" s="261"/>
      <c r="AF109" s="1067"/>
      <c r="AG109" s="261"/>
      <c r="AH109" s="1067"/>
      <c r="AI109" s="261"/>
      <c r="AJ109" s="1068"/>
      <c r="AK109" s="261"/>
      <c r="AL109" s="1069"/>
      <c r="AM109" s="460">
        <f>F109/31*7</f>
        <v>0.4516129032</v>
      </c>
      <c r="AN109" s="448">
        <v>0.0</v>
      </c>
      <c r="AO109" s="220">
        <f t="shared" si="265"/>
        <v>0</v>
      </c>
      <c r="AP109" s="449" t="str">
        <f>IFERROR(__xludf.DUMMYFUNCTION("IFERROR(SPARKLINE(AO109,{""charttype"",""bar"";""color1"",IF(AO109&gt;='Май'!green_percent,'Май'!green,IF(AO109&gt;='Май'!yellow_percent,'Май'!yellow,IF(AO109&gt;='Май'!orange_percent,'Май'!orange,'Май'!red)));""max"",1}))"),"")</f>
        <v/>
      </c>
      <c r="AQ109" s="256"/>
      <c r="AR109" s="1083"/>
      <c r="AS109" s="256"/>
      <c r="AT109" s="1083"/>
      <c r="AU109" s="256"/>
      <c r="AV109" s="773"/>
      <c r="AW109" s="256"/>
      <c r="AX109" s="776"/>
      <c r="AY109" s="256"/>
      <c r="AZ109" s="776"/>
      <c r="BA109" s="256"/>
      <c r="BB109" s="776"/>
      <c r="BC109" s="256"/>
      <c r="BD109" s="773"/>
      <c r="BE109" s="460">
        <f>F109/31*7</f>
        <v>0.4516129032</v>
      </c>
      <c r="BF109" s="448">
        <v>0.0</v>
      </c>
      <c r="BG109" s="220">
        <f t="shared" si="266"/>
        <v>0</v>
      </c>
      <c r="BH109" s="449" t="str">
        <f>IFERROR(__xludf.DUMMYFUNCTION("IFERROR(SPARKLINE(BG109,{""charttype"",""bar"";""color1"",IF(BG109&gt;='Май'!green_percent,'Май'!green,IF(BG109&gt;='Май'!yellow_percent,'Май'!yellow,IF(BG109&gt;='Май'!orange_percent,'Май'!orange,'Май'!red)));""max"",1}))"),"")</f>
        <v/>
      </c>
      <c r="BI109" s="924"/>
      <c r="BJ109" s="776"/>
      <c r="BK109" s="256"/>
      <c r="BL109" s="776"/>
      <c r="BM109" s="256"/>
      <c r="BN109" s="776"/>
      <c r="BO109" s="256"/>
      <c r="BP109" s="776"/>
      <c r="BQ109" s="256"/>
      <c r="BR109" s="776"/>
      <c r="BS109" s="256"/>
      <c r="BT109" s="776"/>
      <c r="BU109" s="256"/>
      <c r="BV109" s="773"/>
      <c r="BW109" s="460">
        <f>F109/31*7</f>
        <v>0.4516129032</v>
      </c>
      <c r="BX109" s="448">
        <v>0.0</v>
      </c>
      <c r="BY109" s="220">
        <f t="shared" si="267"/>
        <v>0</v>
      </c>
      <c r="BZ109" s="449" t="str">
        <f>IFERROR(__xludf.DUMMYFUNCTION("IFERROR(SPARKLINE(BY109,{""charttype"",""bar"";""color1"",IF(BY109&gt;='Май'!green_percent,'Май'!green,IF(BY109&gt;='Май'!yellow_percent,'Май'!yellow,IF(BY109&gt;='Май'!orange_percent,'Май'!orange,'Май'!red)));""max"",1}))"),"")</f>
        <v/>
      </c>
      <c r="CA109" s="924"/>
      <c r="CB109" s="776"/>
      <c r="CC109" s="256"/>
      <c r="CD109" s="776"/>
      <c r="CE109" s="256"/>
      <c r="CF109" s="776"/>
      <c r="CG109" s="256"/>
      <c r="CH109" s="776"/>
      <c r="CI109" s="256"/>
      <c r="CJ109" s="776"/>
      <c r="CK109" s="256"/>
      <c r="CL109" s="776"/>
      <c r="CM109" s="256"/>
      <c r="CN109" s="776"/>
      <c r="CO109" s="460">
        <f>F109/31*7</f>
        <v>0.4516129032</v>
      </c>
      <c r="CP109" s="733"/>
      <c r="CQ109" s="220">
        <f t="shared" si="268"/>
        <v>0</v>
      </c>
      <c r="CR109" s="449" t="str">
        <f>IFERROR(__xludf.DUMMYFUNCTION("IFERROR(SPARKLINE(CQ109,{""charttype"",""bar"";""color1"",IF(CQ109&gt;='Май'!green_percent,'Май'!green,IF(CQ109&gt;='Май'!yellow_percent,'Май'!yellow,IF(CQ109&gt;='Май'!orange_percent,'Май'!orange,'Май'!red)));""max"",1}))"),"")</f>
        <v/>
      </c>
      <c r="CS109" s="842"/>
      <c r="CT109" s="843"/>
      <c r="CU109" s="842"/>
      <c r="CV109" s="843"/>
      <c r="CW109" s="843"/>
      <c r="CX109" s="843"/>
      <c r="CY109" s="843"/>
      <c r="CZ109" s="843"/>
      <c r="DA109" s="843"/>
      <c r="DB109" s="843"/>
      <c r="DC109" s="843"/>
      <c r="DD109" s="843"/>
      <c r="DE109" s="843"/>
      <c r="DF109" s="843"/>
      <c r="DG109" s="289"/>
      <c r="DH109" s="844"/>
      <c r="DI109" s="310"/>
      <c r="DJ109" s="339"/>
      <c r="DK109" s="843"/>
      <c r="DL109" s="933"/>
    </row>
    <row r="110">
      <c r="A110" s="703"/>
      <c r="B110" s="937" t="s">
        <v>25</v>
      </c>
      <c r="C110" s="242"/>
      <c r="D110" s="242"/>
      <c r="E110" s="243"/>
      <c r="F110" s="412">
        <f t="shared" ref="F110:G110" si="280">F109/F106</f>
        <v>1</v>
      </c>
      <c r="G110" s="245" t="str">
        <f t="shared" si="280"/>
        <v>#DIV/0!</v>
      </c>
      <c r="H110" s="704" t="str">
        <f t="shared" si="269"/>
        <v/>
      </c>
      <c r="I110" s="427" t="str">
        <f>IFERROR(__xludf.DUMMYFUNCTION("IFERROR(SPARKLINE(H110,{""charttype"",""bar"";""color1"",IF(H110&gt;='Май'!green_percent,'Май'!green,IF(H110&gt;='Май'!yellow_percent,'Май'!yellow,IF(H110&gt;='Май'!orange_percent,'Май'!orange,'Май'!red)));""max"",1}))"),"")</f>
        <v/>
      </c>
      <c r="J110" s="912"/>
      <c r="K110" s="1020"/>
      <c r="L110" s="930"/>
      <c r="M110" s="929"/>
      <c r="N110" s="776"/>
      <c r="O110" s="929"/>
      <c r="P110" s="776"/>
      <c r="Q110" s="929"/>
      <c r="R110" s="773"/>
      <c r="S110" s="1064"/>
      <c r="T110" s="1078"/>
      <c r="U110" s="313">
        <f t="shared" ref="U110:V110" si="281">U109/U106</f>
        <v>1</v>
      </c>
      <c r="V110" s="245" t="str">
        <f t="shared" si="281"/>
        <v>#DIV/0!</v>
      </c>
      <c r="W110" s="412" t="str">
        <f t="shared" si="264"/>
        <v/>
      </c>
      <c r="X110" s="413" t="str">
        <f>IFERROR(__xludf.DUMMYFUNCTION("IFERROR(SPARKLINE(W110,{""charttype"",""bar"";""color1"",IF(W110&gt;='Май'!green_percent,'Май'!green,IF(W110&gt;='Май'!yellow_percent,'Май'!yellow,IF(W110&gt;='Май'!orange_percent,'Май'!orange,'Май'!red)));""max"",1}))"),"")</f>
        <v/>
      </c>
      <c r="Y110" s="1079"/>
      <c r="Z110" s="1067"/>
      <c r="AA110" s="1079"/>
      <c r="AB110" s="1067"/>
      <c r="AC110" s="1079"/>
      <c r="AD110" s="1067"/>
      <c r="AE110" s="1079"/>
      <c r="AF110" s="1067"/>
      <c r="AG110" s="1079"/>
      <c r="AH110" s="1067"/>
      <c r="AI110" s="1079"/>
      <c r="AJ110" s="1068"/>
      <c r="AK110" s="1079"/>
      <c r="AL110" s="1069"/>
      <c r="AM110" s="313">
        <f>AM109/AM106</f>
        <v>1</v>
      </c>
      <c r="AN110" s="244">
        <v>0.0</v>
      </c>
      <c r="AO110" s="412">
        <f t="shared" si="265"/>
        <v>0</v>
      </c>
      <c r="AP110" s="413" t="str">
        <f>IFERROR(__xludf.DUMMYFUNCTION("IFERROR(SPARKLINE(AO110,{""charttype"",""bar"";""color1"",IF(AO110&gt;='Май'!green_percent,'Май'!green,IF(AO110&gt;='Май'!yellow_percent,'Май'!yellow,IF(AO110&gt;='Май'!orange_percent,'Май'!orange,'Май'!red)));""max"",1}))"),"")</f>
        <v/>
      </c>
      <c r="AQ110" s="711"/>
      <c r="AR110" s="1078"/>
      <c r="AS110" s="711"/>
      <c r="AT110" s="1078"/>
      <c r="AU110" s="711"/>
      <c r="AV110" s="773"/>
      <c r="AW110" s="711"/>
      <c r="AX110" s="776"/>
      <c r="AY110" s="711"/>
      <c r="AZ110" s="776"/>
      <c r="BA110" s="711"/>
      <c r="BB110" s="776"/>
      <c r="BC110" s="711"/>
      <c r="BD110" s="773"/>
      <c r="BE110" s="313">
        <f>BE109/BE106</f>
        <v>1</v>
      </c>
      <c r="BF110" s="244">
        <v>0.0</v>
      </c>
      <c r="BG110" s="412">
        <f t="shared" si="266"/>
        <v>0</v>
      </c>
      <c r="BH110" s="413" t="str">
        <f>IFERROR(__xludf.DUMMYFUNCTION("IFERROR(SPARKLINE(BG110,{""charttype"",""bar"";""color1"",IF(BG110&gt;='Май'!green_percent,'Май'!green,IF(BG110&gt;='Май'!yellow_percent,'Май'!yellow,IF(BG110&gt;='Май'!orange_percent,'Май'!orange,'Май'!red)));""max"",1}))"),"")</f>
        <v/>
      </c>
      <c r="BI110" s="1081"/>
      <c r="BJ110" s="776"/>
      <c r="BK110" s="711"/>
      <c r="BL110" s="776"/>
      <c r="BM110" s="711"/>
      <c r="BN110" s="776"/>
      <c r="BO110" s="711"/>
      <c r="BP110" s="776"/>
      <c r="BQ110" s="711"/>
      <c r="BR110" s="776"/>
      <c r="BS110" s="711"/>
      <c r="BT110" s="776"/>
      <c r="BU110" s="711"/>
      <c r="BV110" s="773"/>
      <c r="BW110" s="313">
        <f>BW109/BW106</f>
        <v>1</v>
      </c>
      <c r="BX110" s="244">
        <v>0.0</v>
      </c>
      <c r="BY110" s="412">
        <f t="shared" si="267"/>
        <v>0</v>
      </c>
      <c r="BZ110" s="413" t="str">
        <f>IFERROR(__xludf.DUMMYFUNCTION("IFERROR(SPARKLINE(BY110,{""charttype"",""bar"";""color1"",IF(BY110&gt;='Май'!green_percent,'Май'!green,IF(BY110&gt;='Май'!yellow_percent,'Май'!yellow,IF(BY110&gt;='Май'!orange_percent,'Май'!orange,'Май'!red)));""max"",1}))"),"")</f>
        <v/>
      </c>
      <c r="CA110" s="1081"/>
      <c r="CB110" s="776"/>
      <c r="CC110" s="711"/>
      <c r="CD110" s="776"/>
      <c r="CE110" s="711"/>
      <c r="CF110" s="776"/>
      <c r="CG110" s="711"/>
      <c r="CH110" s="776"/>
      <c r="CI110" s="711"/>
      <c r="CJ110" s="776"/>
      <c r="CK110" s="711"/>
      <c r="CL110" s="776"/>
      <c r="CM110" s="711"/>
      <c r="CN110" s="776"/>
      <c r="CO110" s="313">
        <f>CO109/CO106</f>
        <v>1</v>
      </c>
      <c r="CP110" s="258"/>
      <c r="CQ110" s="412">
        <f t="shared" si="268"/>
        <v>0</v>
      </c>
      <c r="CR110" s="413" t="str">
        <f>IFERROR(__xludf.DUMMYFUNCTION("IFERROR(SPARKLINE(CQ110,{""charttype"",""bar"";""color1"",IF(CQ110&gt;='Май'!green_percent,'Май'!green,IF(CQ110&gt;='Май'!yellow_percent,'Май'!yellow,IF(CQ110&gt;='Май'!orange_percent,'Май'!orange,'Май'!red)));""max"",1}))"),"")</f>
        <v/>
      </c>
      <c r="CS110" s="842"/>
      <c r="CT110" s="875"/>
      <c r="CU110" s="842"/>
      <c r="CV110" s="875"/>
      <c r="CW110" s="875"/>
      <c r="CX110" s="875"/>
      <c r="CY110" s="875"/>
      <c r="CZ110" s="875"/>
      <c r="DA110" s="875"/>
      <c r="DB110" s="875"/>
      <c r="DC110" s="875"/>
      <c r="DD110" s="875"/>
      <c r="DE110" s="875"/>
      <c r="DF110" s="875"/>
      <c r="DG110" s="326"/>
      <c r="DH110" s="876"/>
      <c r="DI110" s="327"/>
      <c r="DJ110" s="329"/>
      <c r="DK110" s="875"/>
      <c r="DL110" s="926"/>
    </row>
    <row r="111">
      <c r="A111" s="673"/>
      <c r="B111" s="934" t="s">
        <v>36</v>
      </c>
      <c r="C111" s="217"/>
      <c r="D111" s="217"/>
      <c r="E111" s="218"/>
      <c r="F111" s="270">
        <f>F100/F109</f>
        <v>30000</v>
      </c>
      <c r="G111" s="270">
        <f>V111</f>
        <v>0</v>
      </c>
      <c r="H111" s="543">
        <f t="shared" si="269"/>
        <v>0</v>
      </c>
      <c r="I111" s="462" t="str">
        <f>IFERROR(__xludf.DUMMYFUNCTION("IFERROR(SPARKLINE(H111,{""charttype"",""bar"";""color1"",IF(H111&gt;='Май'!green_percent,'Май'!green,IF(H111&gt;='Май'!yellow_percent,'Май'!yellow,IF(H111&gt;='Май'!orange_percent,'Май'!orange,'Май'!red)));""max"",1}))"),"")</f>
        <v/>
      </c>
      <c r="J111" s="927"/>
      <c r="K111" s="282"/>
      <c r="L111" s="930"/>
      <c r="M111" s="929"/>
      <c r="N111" s="776"/>
      <c r="O111" s="929"/>
      <c r="P111" s="776"/>
      <c r="Q111" s="929"/>
      <c r="R111" s="773"/>
      <c r="S111" s="1064"/>
      <c r="T111" s="1083"/>
      <c r="U111" s="560">
        <v>20000.0</v>
      </c>
      <c r="V111" s="555">
        <v>0.0</v>
      </c>
      <c r="W111" s="220">
        <f t="shared" si="264"/>
        <v>0</v>
      </c>
      <c r="X111" s="449" t="str">
        <f>IFERROR(__xludf.DUMMYFUNCTION("IFERROR(SPARKLINE(W111,{""charttype"",""bar"";""color1"",IF(W111&gt;='Май'!green_percent,'Май'!green,IF(W111&gt;='Май'!yellow_percent,'Май'!yellow,IF(W111&gt;='Май'!orange_percent,'Май'!orange,'Май'!red)));""max"",1}))"),"")</f>
        <v/>
      </c>
      <c r="Y111" s="261"/>
      <c r="Z111" s="1067"/>
      <c r="AA111" s="261"/>
      <c r="AB111" s="1067"/>
      <c r="AC111" s="261"/>
      <c r="AD111" s="1067"/>
      <c r="AE111" s="261"/>
      <c r="AF111" s="1067"/>
      <c r="AG111" s="261"/>
      <c r="AH111" s="1067"/>
      <c r="AI111" s="261"/>
      <c r="AJ111" s="1068"/>
      <c r="AK111" s="261"/>
      <c r="AL111" s="1069"/>
      <c r="AM111" s="560">
        <v>20000.0</v>
      </c>
      <c r="AN111" s="448">
        <v>0.0</v>
      </c>
      <c r="AO111" s="220">
        <f t="shared" si="265"/>
        <v>0</v>
      </c>
      <c r="AP111" s="449" t="str">
        <f>IFERROR(__xludf.DUMMYFUNCTION("IFERROR(SPARKLINE(AO111,{""charttype"",""bar"";""color1"",IF(AO111&gt;='Май'!green_percent,'Май'!green,IF(AO111&gt;='Май'!yellow_percent,'Май'!yellow,IF(AO111&gt;='Май'!orange_percent,'Май'!orange,'Май'!red)));""max"",1}))"),"")</f>
        <v/>
      </c>
      <c r="AQ111" s="256"/>
      <c r="AR111" s="1083"/>
      <c r="AS111" s="256"/>
      <c r="AT111" s="1083"/>
      <c r="AU111" s="256"/>
      <c r="AV111" s="773"/>
      <c r="AW111" s="256"/>
      <c r="AX111" s="776"/>
      <c r="AY111" s="256"/>
      <c r="AZ111" s="776"/>
      <c r="BA111" s="256"/>
      <c r="BB111" s="776"/>
      <c r="BC111" s="256"/>
      <c r="BD111" s="773"/>
      <c r="BE111" s="560">
        <v>20000.0</v>
      </c>
      <c r="BF111" s="448">
        <v>0.0</v>
      </c>
      <c r="BG111" s="220">
        <f t="shared" si="266"/>
        <v>0</v>
      </c>
      <c r="BH111" s="449" t="str">
        <f>IFERROR(__xludf.DUMMYFUNCTION("IFERROR(SPARKLINE(BG111,{""charttype"",""bar"";""color1"",IF(BG111&gt;='Май'!green_percent,'Май'!green,IF(BG111&gt;='Май'!yellow_percent,'Май'!yellow,IF(BG111&gt;='Май'!orange_percent,'Май'!orange,'Май'!red)));""max"",1}))"),"")</f>
        <v/>
      </c>
      <c r="BI111" s="924"/>
      <c r="BJ111" s="776"/>
      <c r="BK111" s="256"/>
      <c r="BL111" s="776"/>
      <c r="BM111" s="256"/>
      <c r="BN111" s="776"/>
      <c r="BO111" s="256"/>
      <c r="BP111" s="776"/>
      <c r="BQ111" s="256"/>
      <c r="BR111" s="776"/>
      <c r="BS111" s="256"/>
      <c r="BT111" s="776"/>
      <c r="BU111" s="256"/>
      <c r="BV111" s="773"/>
      <c r="BW111" s="560">
        <v>20000.0</v>
      </c>
      <c r="BX111" s="448">
        <v>0.0</v>
      </c>
      <c r="BY111" s="220">
        <f t="shared" si="267"/>
        <v>0</v>
      </c>
      <c r="BZ111" s="449" t="str">
        <f>IFERROR(__xludf.DUMMYFUNCTION("IFERROR(SPARKLINE(BY111,{""charttype"",""bar"";""color1"",IF(BY111&gt;='Май'!green_percent,'Май'!green,IF(BY111&gt;='Май'!yellow_percent,'Май'!yellow,IF(BY111&gt;='Май'!orange_percent,'Май'!orange,'Май'!red)));""max"",1}))"),"")</f>
        <v/>
      </c>
      <c r="CA111" s="924"/>
      <c r="CB111" s="776"/>
      <c r="CC111" s="256"/>
      <c r="CD111" s="776"/>
      <c r="CE111" s="256"/>
      <c r="CF111" s="776"/>
      <c r="CG111" s="256"/>
      <c r="CH111" s="776"/>
      <c r="CI111" s="256"/>
      <c r="CJ111" s="776"/>
      <c r="CK111" s="256"/>
      <c r="CL111" s="776"/>
      <c r="CM111" s="256"/>
      <c r="CN111" s="776"/>
      <c r="CO111" s="560">
        <v>20000.0</v>
      </c>
      <c r="CP111" s="733"/>
      <c r="CQ111" s="220">
        <f t="shared" si="268"/>
        <v>0</v>
      </c>
      <c r="CR111" s="449" t="str">
        <f>IFERROR(__xludf.DUMMYFUNCTION("IFERROR(SPARKLINE(CQ111,{""charttype"",""bar"";""color1"",IF(CQ111&gt;='Май'!green_percent,'Май'!green,IF(CQ111&gt;='Май'!yellow_percent,'Май'!yellow,IF(CQ111&gt;='Май'!orange_percent,'Май'!orange,'Май'!red)));""max"",1}))"),"")</f>
        <v/>
      </c>
      <c r="CS111" s="842"/>
      <c r="CT111" s="843"/>
      <c r="CU111" s="842"/>
      <c r="CV111" s="843"/>
      <c r="CW111" s="843"/>
      <c r="CX111" s="843"/>
      <c r="CY111" s="843"/>
      <c r="CZ111" s="843"/>
      <c r="DA111" s="843"/>
      <c r="DB111" s="843"/>
      <c r="DC111" s="843"/>
      <c r="DD111" s="843"/>
      <c r="DE111" s="843"/>
      <c r="DF111" s="843"/>
      <c r="DG111" s="289"/>
      <c r="DH111" s="844"/>
      <c r="DI111" s="310"/>
      <c r="DJ111" s="339"/>
      <c r="DK111" s="843"/>
      <c r="DL111" s="933"/>
    </row>
    <row r="112">
      <c r="A112" s="703"/>
      <c r="B112" s="937" t="s">
        <v>26</v>
      </c>
      <c r="C112" s="242"/>
      <c r="D112" s="242"/>
      <c r="E112" s="243"/>
      <c r="F112" s="244">
        <v>1.0</v>
      </c>
      <c r="G112" s="244">
        <f t="shared" ref="G112:G113" si="282">V112+AN112+BF112+BX112+CP112</f>
        <v>0</v>
      </c>
      <c r="H112" s="704">
        <f t="shared" si="269"/>
        <v>0</v>
      </c>
      <c r="I112" s="427" t="str">
        <f>IFERROR(__xludf.DUMMYFUNCTION("IFERROR(SPARKLINE(H112,{""charttype"",""bar"";""color1"",IF(H112&gt;='Май'!green_percent,'Май'!green,IF(H112&gt;='Май'!yellow_percent,'Май'!yellow,IF(H112&gt;='Май'!orange_percent,'Май'!orange,'Май'!red)));""max"",1}))"),"")</f>
        <v/>
      </c>
      <c r="J112" s="912"/>
      <c r="K112" s="1020"/>
      <c r="L112" s="930"/>
      <c r="M112" s="929"/>
      <c r="N112" s="776"/>
      <c r="O112" s="929"/>
      <c r="P112" s="776"/>
      <c r="Q112" s="929"/>
      <c r="R112" s="773"/>
      <c r="S112" s="1064"/>
      <c r="T112" s="1078">
        <v>0.0</v>
      </c>
      <c r="U112" s="535">
        <f t="shared" ref="U112:U113" si="283">F112/31*3</f>
        <v>0.09677419355</v>
      </c>
      <c r="V112" s="244">
        <v>0.0</v>
      </c>
      <c r="W112" s="412">
        <f t="shared" si="264"/>
        <v>0</v>
      </c>
      <c r="X112" s="413" t="str">
        <f>IFERROR(__xludf.DUMMYFUNCTION("IFERROR(SPARKLINE(W112,{""charttype"",""bar"";""color1"",IF(W112&gt;='Май'!green_percent,'Май'!green,IF(W112&gt;='Май'!yellow_percent,'Май'!yellow,IF(W112&gt;='Май'!orange_percent,'Май'!orange,'Май'!red)));""max"",1}))"),"")</f>
        <v/>
      </c>
      <c r="Y112" s="1079"/>
      <c r="Z112" s="1067"/>
      <c r="AA112" s="1079"/>
      <c r="AB112" s="1067"/>
      <c r="AC112" s="1079"/>
      <c r="AD112" s="1067"/>
      <c r="AE112" s="1079"/>
      <c r="AF112" s="1067"/>
      <c r="AG112" s="1079"/>
      <c r="AH112" s="1067"/>
      <c r="AI112" s="1079"/>
      <c r="AJ112" s="1068"/>
      <c r="AK112" s="1079"/>
      <c r="AL112" s="1069"/>
      <c r="AM112" s="535">
        <f t="shared" ref="AM112:AM113" si="284">F112/31*7</f>
        <v>0.2258064516</v>
      </c>
      <c r="AN112" s="244">
        <v>0.0</v>
      </c>
      <c r="AO112" s="412">
        <f t="shared" si="265"/>
        <v>0</v>
      </c>
      <c r="AP112" s="413" t="str">
        <f>IFERROR(__xludf.DUMMYFUNCTION("IFERROR(SPARKLINE(AO112,{""charttype"",""bar"";""color1"",IF(AO112&gt;='Май'!green_percent,'Май'!green,IF(AO112&gt;='Май'!yellow_percent,'Май'!yellow,IF(AO112&gt;='Май'!orange_percent,'Май'!orange,'Май'!red)));""max"",1}))"),"")</f>
        <v/>
      </c>
      <c r="AQ112" s="711"/>
      <c r="AR112" s="1078"/>
      <c r="AS112" s="711"/>
      <c r="AT112" s="1078"/>
      <c r="AU112" s="711"/>
      <c r="AV112" s="773"/>
      <c r="AW112" s="711"/>
      <c r="AX112" s="776"/>
      <c r="AY112" s="711"/>
      <c r="AZ112" s="776"/>
      <c r="BA112" s="711"/>
      <c r="BB112" s="776"/>
      <c r="BC112" s="711"/>
      <c r="BD112" s="773"/>
      <c r="BE112" s="535">
        <f t="shared" ref="BE112:BE113" si="285">F112/31*7</f>
        <v>0.2258064516</v>
      </c>
      <c r="BF112" s="244">
        <v>0.0</v>
      </c>
      <c r="BG112" s="412">
        <f t="shared" si="266"/>
        <v>0</v>
      </c>
      <c r="BH112" s="413" t="str">
        <f>IFERROR(__xludf.DUMMYFUNCTION("IFERROR(SPARKLINE(BG112,{""charttype"",""bar"";""color1"",IF(BG112&gt;='Май'!green_percent,'Май'!green,IF(BG112&gt;='Май'!yellow_percent,'Май'!yellow,IF(BG112&gt;='Май'!orange_percent,'Май'!orange,'Май'!red)));""max"",1}))"),"")</f>
        <v/>
      </c>
      <c r="BI112" s="1081"/>
      <c r="BJ112" s="776"/>
      <c r="BK112" s="711"/>
      <c r="BL112" s="776"/>
      <c r="BM112" s="711"/>
      <c r="BN112" s="776"/>
      <c r="BO112" s="711"/>
      <c r="BP112" s="776"/>
      <c r="BQ112" s="711"/>
      <c r="BR112" s="776"/>
      <c r="BS112" s="711"/>
      <c r="BT112" s="776"/>
      <c r="BU112" s="711"/>
      <c r="BV112" s="773"/>
      <c r="BW112" s="535">
        <f t="shared" ref="BW112:BW113" si="286">F112/31*7</f>
        <v>0.2258064516</v>
      </c>
      <c r="BX112" s="244">
        <v>0.0</v>
      </c>
      <c r="BY112" s="412">
        <f t="shared" si="267"/>
        <v>0</v>
      </c>
      <c r="BZ112" s="413" t="str">
        <f>IFERROR(__xludf.DUMMYFUNCTION("IFERROR(SPARKLINE(BY112,{""charttype"",""bar"";""color1"",IF(BY112&gt;='Май'!green_percent,'Май'!green,IF(BY112&gt;='Май'!yellow_percent,'Май'!yellow,IF(BY112&gt;='Май'!orange_percent,'Май'!orange,'Май'!red)));""max"",1}))"),"")</f>
        <v/>
      </c>
      <c r="CA112" s="1081"/>
      <c r="CB112" s="776"/>
      <c r="CC112" s="711"/>
      <c r="CD112" s="776"/>
      <c r="CE112" s="711"/>
      <c r="CF112" s="776"/>
      <c r="CG112" s="711"/>
      <c r="CH112" s="776"/>
      <c r="CI112" s="711"/>
      <c r="CJ112" s="776"/>
      <c r="CK112" s="711"/>
      <c r="CL112" s="776"/>
      <c r="CM112" s="711"/>
      <c r="CN112" s="776"/>
      <c r="CO112" s="535">
        <f t="shared" ref="CO112:CO113" si="287">F112/31*7</f>
        <v>0.2258064516</v>
      </c>
      <c r="CP112" s="258"/>
      <c r="CQ112" s="412">
        <f t="shared" si="268"/>
        <v>0</v>
      </c>
      <c r="CR112" s="413" t="str">
        <f>IFERROR(__xludf.DUMMYFUNCTION("IFERROR(SPARKLINE(CQ112,{""charttype"",""bar"";""color1"",IF(CQ112&gt;='Май'!green_percent,'Май'!green,IF(CQ112&gt;='Май'!yellow_percent,'Май'!yellow,IF(CQ112&gt;='Май'!orange_percent,'Май'!orange,'Май'!red)));""max"",1}))"),"")</f>
        <v/>
      </c>
      <c r="CS112" s="842"/>
      <c r="CT112" s="875"/>
      <c r="CU112" s="842"/>
      <c r="CV112" s="875"/>
      <c r="CW112" s="875"/>
      <c r="CX112" s="875"/>
      <c r="CY112" s="875"/>
      <c r="CZ112" s="875"/>
      <c r="DA112" s="875"/>
      <c r="DB112" s="875"/>
      <c r="DC112" s="875"/>
      <c r="DD112" s="875"/>
      <c r="DE112" s="875"/>
      <c r="DF112" s="875"/>
      <c r="DG112" s="326"/>
      <c r="DH112" s="876"/>
      <c r="DI112" s="327"/>
      <c r="DJ112" s="329"/>
      <c r="DK112" s="875"/>
      <c r="DL112" s="926"/>
    </row>
    <row r="113">
      <c r="A113" s="673"/>
      <c r="B113" s="934" t="s">
        <v>39</v>
      </c>
      <c r="C113" s="217"/>
      <c r="D113" s="217"/>
      <c r="E113" s="218"/>
      <c r="F113" s="270">
        <v>200000.0</v>
      </c>
      <c r="G113" s="448">
        <f t="shared" si="282"/>
        <v>0</v>
      </c>
      <c r="H113" s="543">
        <f t="shared" si="269"/>
        <v>0</v>
      </c>
      <c r="I113" s="462" t="str">
        <f>IFERROR(__xludf.DUMMYFUNCTION("IFERROR(SPARKLINE(H113,{""charttype"",""bar"";""color1"",IF(H113&gt;='Май'!green_percent,'Май'!green,IF(H113&gt;='Май'!yellow_percent,'Май'!yellow,IF(H113&gt;='Май'!orange_percent,'Май'!orange,'Май'!red)));""max"",1}))"),"")</f>
        <v/>
      </c>
      <c r="J113" s="927"/>
      <c r="K113" s="282"/>
      <c r="L113" s="930"/>
      <c r="M113" s="929"/>
      <c r="N113" s="776"/>
      <c r="O113" s="929"/>
      <c r="P113" s="776"/>
      <c r="Q113" s="929"/>
      <c r="R113" s="773"/>
      <c r="S113" s="1064"/>
      <c r="T113" s="1083"/>
      <c r="U113" s="565">
        <f t="shared" si="283"/>
        <v>19354.83871</v>
      </c>
      <c r="V113" s="555">
        <v>0.0</v>
      </c>
      <c r="W113" s="220">
        <f t="shared" si="264"/>
        <v>0</v>
      </c>
      <c r="X113" s="449" t="str">
        <f>IFERROR(__xludf.DUMMYFUNCTION("IFERROR(SPARKLINE(W113,{""charttype"",""bar"";""color1"",IF(W113&gt;='Май'!green_percent,'Май'!green,IF(W113&gt;='Май'!yellow_percent,'Май'!yellow,IF(W113&gt;='Май'!orange_percent,'Май'!orange,'Май'!red)));""max"",1}))"),"")</f>
        <v/>
      </c>
      <c r="Y113" s="261"/>
      <c r="Z113" s="1067"/>
      <c r="AA113" s="261"/>
      <c r="AB113" s="1067"/>
      <c r="AC113" s="261"/>
      <c r="AD113" s="1067"/>
      <c r="AE113" s="261"/>
      <c r="AF113" s="1067"/>
      <c r="AG113" s="261"/>
      <c r="AH113" s="1067"/>
      <c r="AI113" s="261"/>
      <c r="AJ113" s="1068"/>
      <c r="AK113" s="261"/>
      <c r="AL113" s="1069"/>
      <c r="AM113" s="277">
        <f t="shared" si="284"/>
        <v>45161.29032</v>
      </c>
      <c r="AN113" s="448">
        <v>0.0</v>
      </c>
      <c r="AO113" s="220">
        <f t="shared" si="265"/>
        <v>0</v>
      </c>
      <c r="AP113" s="449" t="str">
        <f>IFERROR(__xludf.DUMMYFUNCTION("IFERROR(SPARKLINE(AO113,{""charttype"",""bar"";""color1"",IF(AO113&gt;='Май'!green_percent,'Май'!green,IF(AO113&gt;='Май'!yellow_percent,'Май'!yellow,IF(AO113&gt;='Май'!orange_percent,'Май'!orange,'Май'!red)));""max"",1}))"),"")</f>
        <v/>
      </c>
      <c r="AQ113" s="256"/>
      <c r="AR113" s="1083"/>
      <c r="AS113" s="256"/>
      <c r="AT113" s="1083"/>
      <c r="AU113" s="256"/>
      <c r="AV113" s="773"/>
      <c r="AW113" s="256"/>
      <c r="AX113" s="776"/>
      <c r="AY113" s="256"/>
      <c r="AZ113" s="776"/>
      <c r="BA113" s="256"/>
      <c r="BB113" s="776"/>
      <c r="BC113" s="256"/>
      <c r="BD113" s="773"/>
      <c r="BE113" s="277">
        <f t="shared" si="285"/>
        <v>45161.29032</v>
      </c>
      <c r="BF113" s="448">
        <v>0.0</v>
      </c>
      <c r="BG113" s="220">
        <f t="shared" si="266"/>
        <v>0</v>
      </c>
      <c r="BH113" s="449" t="str">
        <f>IFERROR(__xludf.DUMMYFUNCTION("IFERROR(SPARKLINE(BG113,{""charttype"",""bar"";""color1"",IF(BG113&gt;='Май'!green_percent,'Май'!green,IF(BG113&gt;='Май'!yellow_percent,'Май'!yellow,IF(BG113&gt;='Май'!orange_percent,'Май'!orange,'Май'!red)));""max"",1}))"),"")</f>
        <v/>
      </c>
      <c r="BI113" s="924"/>
      <c r="BJ113" s="776"/>
      <c r="BK113" s="256"/>
      <c r="BL113" s="776"/>
      <c r="BM113" s="256"/>
      <c r="BN113" s="776"/>
      <c r="BO113" s="256"/>
      <c r="BP113" s="776"/>
      <c r="BQ113" s="256"/>
      <c r="BR113" s="776"/>
      <c r="BS113" s="256"/>
      <c r="BT113" s="776"/>
      <c r="BU113" s="256"/>
      <c r="BV113" s="773"/>
      <c r="BW113" s="277">
        <f t="shared" si="286"/>
        <v>45161.29032</v>
      </c>
      <c r="BX113" s="448">
        <v>0.0</v>
      </c>
      <c r="BY113" s="220">
        <f t="shared" si="267"/>
        <v>0</v>
      </c>
      <c r="BZ113" s="449" t="str">
        <f>IFERROR(__xludf.DUMMYFUNCTION("IFERROR(SPARKLINE(BY113,{""charttype"",""bar"";""color1"",IF(BY113&gt;='Май'!green_percent,'Май'!green,IF(BY113&gt;='Май'!yellow_percent,'Май'!yellow,IF(BY113&gt;='Май'!orange_percent,'Май'!orange,'Май'!red)));""max"",1}))"),"")</f>
        <v/>
      </c>
      <c r="CA113" s="924"/>
      <c r="CB113" s="776"/>
      <c r="CC113" s="256"/>
      <c r="CD113" s="776"/>
      <c r="CE113" s="256"/>
      <c r="CF113" s="776"/>
      <c r="CG113" s="256"/>
      <c r="CH113" s="776"/>
      <c r="CI113" s="256"/>
      <c r="CJ113" s="776"/>
      <c r="CK113" s="256"/>
      <c r="CL113" s="776"/>
      <c r="CM113" s="256"/>
      <c r="CN113" s="776"/>
      <c r="CO113" s="277">
        <f t="shared" si="287"/>
        <v>45161.29032</v>
      </c>
      <c r="CP113" s="733"/>
      <c r="CQ113" s="220">
        <f t="shared" si="268"/>
        <v>0</v>
      </c>
      <c r="CR113" s="449" t="str">
        <f>IFERROR(__xludf.DUMMYFUNCTION("IFERROR(SPARKLINE(CQ113,{""charttype"",""bar"";""color1"",IF(CQ113&gt;='Май'!green_percent,'Май'!green,IF(CQ113&gt;='Май'!yellow_percent,'Май'!yellow,IF(CQ113&gt;='Май'!orange_percent,'Май'!orange,'Май'!red)));""max"",1}))"),"")</f>
        <v/>
      </c>
      <c r="CS113" s="842"/>
      <c r="CT113" s="843"/>
      <c r="CU113" s="842"/>
      <c r="CV113" s="843"/>
      <c r="CW113" s="843"/>
      <c r="CX113" s="843"/>
      <c r="CY113" s="843"/>
      <c r="CZ113" s="843"/>
      <c r="DA113" s="843"/>
      <c r="DB113" s="843"/>
      <c r="DC113" s="843"/>
      <c r="DD113" s="843"/>
      <c r="DE113" s="843"/>
      <c r="DF113" s="843"/>
      <c r="DG113" s="289"/>
      <c r="DH113" s="844"/>
      <c r="DI113" s="310"/>
      <c r="DJ113" s="339"/>
      <c r="DK113" s="843"/>
      <c r="DL113" s="933"/>
    </row>
    <row r="114">
      <c r="A114" s="703"/>
      <c r="B114" s="951" t="s">
        <v>57</v>
      </c>
      <c r="C114" s="242"/>
      <c r="D114" s="242"/>
      <c r="E114" s="243"/>
      <c r="F114" s="412">
        <f>F112/F109</f>
        <v>0.5</v>
      </c>
      <c r="G114" s="244" t="str">
        <f t="shared" ref="G114:G115" si="288">V114</f>
        <v/>
      </c>
      <c r="H114" s="704">
        <f t="shared" si="269"/>
        <v>0</v>
      </c>
      <c r="I114" s="427" t="str">
        <f>IFERROR(__xludf.DUMMYFUNCTION("IFERROR(SPARKLINE(H114,{""charttype"",""bar"";""color1"",IF(H114&gt;='Май'!green_percent,'Май'!green,IF(H114&gt;='Май'!yellow_percent,'Май'!yellow,IF(H114&gt;='Май'!orange_percent,'Май'!orange,'Май'!red)));""max"",1}))"),"")</f>
        <v/>
      </c>
      <c r="J114" s="912"/>
      <c r="K114" s="1020"/>
      <c r="L114" s="930"/>
      <c r="M114" s="929"/>
      <c r="N114" s="776"/>
      <c r="O114" s="929"/>
      <c r="P114" s="776"/>
      <c r="Q114" s="929"/>
      <c r="R114" s="773"/>
      <c r="S114" s="1064"/>
      <c r="T114" s="1078"/>
      <c r="U114" s="313">
        <f>U112/U109</f>
        <v>0.5</v>
      </c>
      <c r="V114" s="245"/>
      <c r="W114" s="412">
        <f t="shared" si="264"/>
        <v>0</v>
      </c>
      <c r="X114" s="413" t="str">
        <f>IFERROR(__xludf.DUMMYFUNCTION("IFERROR(SPARKLINE(W114,{""charttype"",""bar"";""color1"",IF(W114&gt;='Май'!green_percent,'Май'!green,IF(W114&gt;='Май'!yellow_percent,'Май'!yellow,IF(W114&gt;='Май'!orange_percent,'Май'!orange,'Май'!red)));""max"",1}))"),"")</f>
        <v/>
      </c>
      <c r="Y114" s="1079"/>
      <c r="Z114" s="1067"/>
      <c r="AA114" s="1079"/>
      <c r="AB114" s="1067"/>
      <c r="AC114" s="1079"/>
      <c r="AD114" s="1067"/>
      <c r="AE114" s="1079"/>
      <c r="AF114" s="1067"/>
      <c r="AG114" s="1079"/>
      <c r="AH114" s="1067"/>
      <c r="AI114" s="1079"/>
      <c r="AJ114" s="1068"/>
      <c r="AK114" s="1079"/>
      <c r="AL114" s="1069"/>
      <c r="AM114" s="313">
        <f>AM112/AM109</f>
        <v>0.5</v>
      </c>
      <c r="AN114" s="244">
        <v>0.0</v>
      </c>
      <c r="AO114" s="412">
        <f t="shared" si="265"/>
        <v>0</v>
      </c>
      <c r="AP114" s="413" t="str">
        <f>IFERROR(__xludf.DUMMYFUNCTION("IFERROR(SPARKLINE(AO114,{""charttype"",""bar"";""color1"",IF(AO114&gt;='Май'!green_percent,'Май'!green,IF(AO114&gt;='Май'!yellow_percent,'Май'!yellow,IF(AO114&gt;='Май'!orange_percent,'Май'!orange,'Май'!red)));""max"",1}))"),"")</f>
        <v/>
      </c>
      <c r="AQ114" s="711"/>
      <c r="AR114" s="1078"/>
      <c r="AS114" s="711"/>
      <c r="AT114" s="1078"/>
      <c r="AU114" s="711"/>
      <c r="AV114" s="773"/>
      <c r="AW114" s="711"/>
      <c r="AX114" s="776"/>
      <c r="AY114" s="711"/>
      <c r="AZ114" s="776"/>
      <c r="BA114" s="711"/>
      <c r="BB114" s="776"/>
      <c r="BC114" s="711"/>
      <c r="BD114" s="773"/>
      <c r="BE114" s="313">
        <f>BE112/BE109</f>
        <v>0.5</v>
      </c>
      <c r="BF114" s="244">
        <v>0.0</v>
      </c>
      <c r="BG114" s="412">
        <f t="shared" si="266"/>
        <v>0</v>
      </c>
      <c r="BH114" s="413" t="str">
        <f>IFERROR(__xludf.DUMMYFUNCTION("IFERROR(SPARKLINE(BG114,{""charttype"",""bar"";""color1"",IF(BG114&gt;='Май'!green_percent,'Май'!green,IF(BG114&gt;='Май'!yellow_percent,'Май'!yellow,IF(BG114&gt;='Май'!orange_percent,'Май'!orange,'Май'!red)));""max"",1}))"),"")</f>
        <v/>
      </c>
      <c r="BI114" s="1081"/>
      <c r="BJ114" s="776"/>
      <c r="BK114" s="711"/>
      <c r="BL114" s="776"/>
      <c r="BM114" s="711"/>
      <c r="BN114" s="776"/>
      <c r="BO114" s="711"/>
      <c r="BP114" s="776"/>
      <c r="BQ114" s="711"/>
      <c r="BR114" s="776"/>
      <c r="BS114" s="711"/>
      <c r="BT114" s="776"/>
      <c r="BU114" s="711"/>
      <c r="BV114" s="773"/>
      <c r="BW114" s="313">
        <f>BW112/BW109</f>
        <v>0.5</v>
      </c>
      <c r="BX114" s="244">
        <v>0.0</v>
      </c>
      <c r="BY114" s="412">
        <f t="shared" si="267"/>
        <v>0</v>
      </c>
      <c r="BZ114" s="413" t="str">
        <f>IFERROR(__xludf.DUMMYFUNCTION("IFERROR(SPARKLINE(BY114,{""charttype"",""bar"";""color1"",IF(BY114&gt;='Май'!green_percent,'Май'!green,IF(BY114&gt;='Май'!yellow_percent,'Май'!yellow,IF(BY114&gt;='Май'!orange_percent,'Май'!orange,'Май'!red)));""max"",1}))"),"")</f>
        <v/>
      </c>
      <c r="CA114" s="1081"/>
      <c r="CB114" s="776"/>
      <c r="CC114" s="711"/>
      <c r="CD114" s="776"/>
      <c r="CE114" s="711"/>
      <c r="CF114" s="776"/>
      <c r="CG114" s="711"/>
      <c r="CH114" s="776"/>
      <c r="CI114" s="711"/>
      <c r="CJ114" s="776"/>
      <c r="CK114" s="711"/>
      <c r="CL114" s="776"/>
      <c r="CM114" s="711"/>
      <c r="CN114" s="776"/>
      <c r="CO114" s="313">
        <f>CO112/CO109</f>
        <v>0.5</v>
      </c>
      <c r="CP114" s="258"/>
      <c r="CQ114" s="412">
        <f t="shared" si="268"/>
        <v>0</v>
      </c>
      <c r="CR114" s="413" t="str">
        <f>IFERROR(__xludf.DUMMYFUNCTION("IFERROR(SPARKLINE(CQ114,{""charttype"",""bar"";""color1"",IF(CQ114&gt;='Май'!green_percent,'Май'!green,IF(CQ114&gt;='Май'!yellow_percent,'Май'!yellow,IF(CQ114&gt;='Май'!orange_percent,'Май'!orange,'Май'!red)));""max"",1}))"),"")</f>
        <v/>
      </c>
      <c r="CS114" s="842"/>
      <c r="CT114" s="875"/>
      <c r="CU114" s="842"/>
      <c r="CV114" s="875"/>
      <c r="CW114" s="875"/>
      <c r="CX114" s="875"/>
      <c r="CY114" s="875"/>
      <c r="CZ114" s="875"/>
      <c r="DA114" s="875"/>
      <c r="DB114" s="875"/>
      <c r="DC114" s="875"/>
      <c r="DD114" s="875"/>
      <c r="DE114" s="875"/>
      <c r="DF114" s="875"/>
      <c r="DG114" s="326"/>
      <c r="DH114" s="876"/>
      <c r="DI114" s="327"/>
      <c r="DJ114" s="329"/>
      <c r="DK114" s="875"/>
      <c r="DL114" s="926"/>
    </row>
    <row r="115">
      <c r="A115" s="1090"/>
      <c r="B115" s="1091" t="s">
        <v>27</v>
      </c>
      <c r="C115" s="608"/>
      <c r="D115" s="608"/>
      <c r="E115" s="609"/>
      <c r="F115" s="611">
        <f>F100/F112</f>
        <v>60000</v>
      </c>
      <c r="G115" s="611" t="str">
        <f t="shared" si="288"/>
        <v/>
      </c>
      <c r="H115" s="1092">
        <f t="shared" si="269"/>
        <v>0</v>
      </c>
      <c r="I115" s="1093" t="str">
        <f>IFERROR(__xludf.DUMMYFUNCTION("IFERROR(SPARKLINE(H115,{""charttype"",""bar"";""color1"",IF(H115&gt;='Май'!green_percent,'Май'!green,IF(H115&gt;='Май'!yellow_percent,'Май'!yellow,IF(H115&gt;='Май'!orange_percent,'Май'!orange,'Май'!red)));""max"",1}))"),"")</f>
        <v/>
      </c>
      <c r="J115" s="965"/>
      <c r="K115" s="1094"/>
      <c r="L115" s="1095"/>
      <c r="M115" s="1096"/>
      <c r="N115" s="865"/>
      <c r="O115" s="1096"/>
      <c r="P115" s="865"/>
      <c r="Q115" s="1096"/>
      <c r="R115" s="1097"/>
      <c r="S115" s="1098"/>
      <c r="T115" s="1099"/>
      <c r="U115" s="558">
        <v>60000.0</v>
      </c>
      <c r="V115" s="624"/>
      <c r="W115" s="612">
        <f t="shared" si="264"/>
        <v>0</v>
      </c>
      <c r="X115" s="613" t="str">
        <f>IFERROR(__xludf.DUMMYFUNCTION("IFERROR(SPARKLINE(W115,{""charttype"",""bar"";""color1"",IF(W115&gt;='Май'!green_percent,'Май'!green,IF(W115&gt;='Май'!yellow_percent,'Май'!yellow,IF(W115&gt;='Май'!orange_percent,'Май'!orange,'Май'!red)));""max"",1}))"),"")</f>
        <v/>
      </c>
      <c r="Y115" s="1100"/>
      <c r="Z115" s="1101"/>
      <c r="AA115" s="1100"/>
      <c r="AB115" s="1101"/>
      <c r="AC115" s="1100"/>
      <c r="AD115" s="1101"/>
      <c r="AE115" s="1100"/>
      <c r="AF115" s="1101"/>
      <c r="AG115" s="1100"/>
      <c r="AH115" s="1101"/>
      <c r="AI115" s="1100"/>
      <c r="AJ115" s="1102"/>
      <c r="AK115" s="1100"/>
      <c r="AL115" s="1103"/>
      <c r="AM115" s="558">
        <v>60000.0</v>
      </c>
      <c r="AN115" s="1208">
        <v>0.0</v>
      </c>
      <c r="AO115" s="612">
        <f t="shared" si="265"/>
        <v>0</v>
      </c>
      <c r="AP115" s="613" t="str">
        <f>IFERROR(__xludf.DUMMYFUNCTION("IFERROR(SPARKLINE(AO115,{""charttype"",""bar"";""color1"",IF(AO115&gt;='Май'!green_percent,'Май'!green,IF(AO115&gt;='Май'!yellow_percent,'Май'!yellow,IF(AO115&gt;='Май'!orange_percent,'Май'!orange,'Май'!red)));""max"",1}))"),"")</f>
        <v/>
      </c>
      <c r="AQ115" s="367"/>
      <c r="AR115" s="1107"/>
      <c r="AS115" s="367"/>
      <c r="AT115" s="1107"/>
      <c r="AU115" s="367"/>
      <c r="AV115" s="1097"/>
      <c r="AW115" s="367"/>
      <c r="AX115" s="865"/>
      <c r="AY115" s="367"/>
      <c r="AZ115" s="865"/>
      <c r="BA115" s="367"/>
      <c r="BB115" s="865"/>
      <c r="BC115" s="367"/>
      <c r="BD115" s="1097"/>
      <c r="BE115" s="558">
        <v>60000.0</v>
      </c>
      <c r="BF115" s="1208">
        <v>0.0</v>
      </c>
      <c r="BG115" s="612">
        <f t="shared" si="266"/>
        <v>0</v>
      </c>
      <c r="BH115" s="613" t="str">
        <f>IFERROR(__xludf.DUMMYFUNCTION("IFERROR(SPARKLINE(BG115,{""charttype"",""bar"";""color1"",IF(BG115&gt;='Май'!green_percent,'Май'!green,IF(BG115&gt;='Май'!yellow_percent,'Май'!yellow,IF(BG115&gt;='Май'!orange_percent,'Май'!orange,'Май'!red)));""max"",1}))"),"")</f>
        <v/>
      </c>
      <c r="BI115" s="984"/>
      <c r="BJ115" s="849"/>
      <c r="BK115" s="983"/>
      <c r="BL115" s="849"/>
      <c r="BM115" s="983"/>
      <c r="BN115" s="849"/>
      <c r="BO115" s="983"/>
      <c r="BP115" s="849"/>
      <c r="BQ115" s="983"/>
      <c r="BR115" s="849"/>
      <c r="BS115" s="983"/>
      <c r="BT115" s="849"/>
      <c r="BU115" s="983"/>
      <c r="BV115" s="820"/>
      <c r="BW115" s="558">
        <v>60000.0</v>
      </c>
      <c r="BX115" s="1208">
        <v>0.0</v>
      </c>
      <c r="BY115" s="612">
        <f t="shared" si="267"/>
        <v>0</v>
      </c>
      <c r="BZ115" s="613" t="str">
        <f>IFERROR(__xludf.DUMMYFUNCTION("IFERROR(SPARKLINE(BY115,{""charttype"",""bar"";""color1"",IF(BY115&gt;='Май'!green_percent,'Май'!green,IF(BY115&gt;='Май'!yellow_percent,'Май'!yellow,IF(BY115&gt;='Май'!orange_percent,'Май'!orange,'Май'!red)));""max"",1}))"),"")</f>
        <v/>
      </c>
      <c r="CA115" s="984"/>
      <c r="CB115" s="849"/>
      <c r="CC115" s="983"/>
      <c r="CD115" s="849"/>
      <c r="CE115" s="983"/>
      <c r="CF115" s="849"/>
      <c r="CG115" s="983"/>
      <c r="CH115" s="849"/>
      <c r="CI115" s="983"/>
      <c r="CJ115" s="849"/>
      <c r="CK115" s="983"/>
      <c r="CL115" s="849"/>
      <c r="CM115" s="983"/>
      <c r="CN115" s="849"/>
      <c r="CO115" s="558">
        <v>60000.0</v>
      </c>
      <c r="CP115" s="1113"/>
      <c r="CQ115" s="612">
        <f t="shared" si="268"/>
        <v>0</v>
      </c>
      <c r="CR115" s="613" t="str">
        <f>IFERROR(__xludf.DUMMYFUNCTION("IFERROR(SPARKLINE(CQ115,{""charttype"",""bar"";""color1"",IF(CQ115&gt;='Май'!green_percent,'Май'!green,IF(CQ115&gt;='Май'!yellow_percent,'Май'!yellow,IF(CQ115&gt;='Май'!orange_percent,'Май'!orange,'Май'!red)));""max"",1}))"),"")</f>
        <v/>
      </c>
      <c r="CS115" s="956"/>
      <c r="CT115" s="957"/>
      <c r="CU115" s="956"/>
      <c r="CV115" s="957"/>
      <c r="CW115" s="957"/>
      <c r="CX115" s="957"/>
      <c r="CY115" s="957"/>
      <c r="CZ115" s="957"/>
      <c r="DA115" s="957"/>
      <c r="DB115" s="957"/>
      <c r="DC115" s="957"/>
      <c r="DD115" s="957"/>
      <c r="DE115" s="957"/>
      <c r="DF115" s="957"/>
      <c r="DG115" s="958"/>
      <c r="DH115" s="959"/>
      <c r="DI115" s="960"/>
      <c r="DJ115" s="961"/>
      <c r="DK115" s="957"/>
      <c r="DL115" s="962"/>
    </row>
    <row r="116" hidden="1">
      <c r="A116" s="1056" t="s">
        <v>65</v>
      </c>
      <c r="B116" s="645" t="s">
        <v>20</v>
      </c>
      <c r="C116" s="646"/>
      <c r="D116" s="646"/>
      <c r="E116" s="670"/>
      <c r="F116" s="1116">
        <f>F117/F126</f>
        <v>2</v>
      </c>
      <c r="G116" s="648" t="str">
        <f>G114/G109</f>
        <v>#DIV/0!</v>
      </c>
      <c r="H116" s="1117" t="str">
        <f t="shared" si="269"/>
        <v/>
      </c>
      <c r="I116" s="1118" t="str">
        <f>IFERROR(__xludf.DUMMYFUNCTION("IFERROR(SPARKLINE(H116,{""charttype"",""bar"";""color1"",IF(H116&gt;='Май'!green_percent,'Май'!green,IF(H116&gt;='Май'!yellow_percent,'Май'!yellow,IF(H116&gt;='Май'!orange_percent,'Май'!orange,'Май'!red)));""max"",1}))"),"")</f>
        <v/>
      </c>
      <c r="J116" s="1119"/>
      <c r="K116" s="992"/>
      <c r="L116" s="889"/>
      <c r="M116" s="887"/>
      <c r="N116" s="890"/>
      <c r="O116" s="887"/>
      <c r="P116" s="890"/>
      <c r="Q116" s="887"/>
      <c r="R116" s="888"/>
      <c r="S116" s="1120"/>
      <c r="T116" s="1121"/>
      <c r="U116" s="491"/>
      <c r="V116" s="1122"/>
      <c r="W116" s="429"/>
      <c r="X116" s="430"/>
      <c r="Y116" s="1079"/>
      <c r="Z116" s="1067"/>
      <c r="AA116" s="1079"/>
      <c r="AB116" s="1067"/>
      <c r="AC116" s="1079"/>
      <c r="AD116" s="1067"/>
      <c r="AE116" s="1079"/>
      <c r="AF116" s="1067"/>
      <c r="AG116" s="1079"/>
      <c r="AH116" s="1067"/>
      <c r="AI116" s="1079"/>
      <c r="AJ116" s="1068"/>
      <c r="AK116" s="1079"/>
      <c r="AL116" s="1069"/>
      <c r="AM116" s="1123"/>
      <c r="AN116" s="1003"/>
      <c r="AO116" s="1004"/>
      <c r="AP116" s="1005"/>
      <c r="AQ116" s="1007"/>
      <c r="AR116" s="995"/>
      <c r="AS116" s="1007"/>
      <c r="AT116" s="995"/>
      <c r="AU116" s="1007"/>
      <c r="AV116" s="890"/>
      <c r="AW116" s="1007"/>
      <c r="AX116" s="890"/>
      <c r="AY116" s="1007"/>
      <c r="AZ116" s="890"/>
      <c r="BA116" s="1007"/>
      <c r="BB116" s="890"/>
      <c r="BC116" s="1007"/>
      <c r="BD116" s="1124"/>
      <c r="BE116" s="1123"/>
      <c r="BF116" s="1003"/>
      <c r="BG116" s="1004"/>
      <c r="BH116" s="1005"/>
      <c r="BI116" s="1007"/>
      <c r="BJ116" s="1008"/>
      <c r="BK116" s="1007"/>
      <c r="BL116" s="1009"/>
      <c r="BM116" s="1007"/>
      <c r="BN116" s="1010"/>
      <c r="BO116" s="1007"/>
      <c r="BP116" s="1010"/>
      <c r="BQ116" s="1007"/>
      <c r="BR116" s="1010"/>
      <c r="BS116" s="1007"/>
      <c r="BT116" s="1010"/>
      <c r="BU116" s="1007"/>
      <c r="BV116" s="1010"/>
      <c r="BW116" s="1123"/>
      <c r="BX116" s="1003"/>
      <c r="BY116" s="1125"/>
      <c r="BZ116" s="991"/>
      <c r="CA116" s="1007"/>
      <c r="CB116" s="1008"/>
      <c r="CC116" s="1007"/>
      <c r="CD116" s="1008"/>
      <c r="CE116" s="1007"/>
      <c r="CF116" s="1008"/>
      <c r="CG116" s="1007"/>
      <c r="CH116" s="1008"/>
      <c r="CI116" s="1007"/>
      <c r="CJ116" s="1008"/>
      <c r="CK116" s="1007"/>
      <c r="CL116" s="1008"/>
      <c r="CM116" s="1007"/>
      <c r="CN116" s="1008"/>
      <c r="CO116" s="1126"/>
      <c r="CP116" s="1126"/>
      <c r="CQ116" s="1127"/>
      <c r="CR116" s="1127"/>
      <c r="CS116" s="842"/>
      <c r="CT116" s="875"/>
      <c r="CU116" s="842"/>
      <c r="CV116" s="875"/>
      <c r="CW116" s="875"/>
      <c r="CX116" s="875"/>
      <c r="CY116" s="875"/>
      <c r="CZ116" s="875"/>
      <c r="DA116" s="875"/>
      <c r="DB116" s="875"/>
      <c r="DC116" s="875"/>
      <c r="DD116" s="875"/>
      <c r="DE116" s="875"/>
      <c r="DF116" s="875"/>
      <c r="DG116" s="326"/>
      <c r="DH116" s="876"/>
      <c r="DI116" s="327"/>
      <c r="DJ116" s="329"/>
      <c r="DK116" s="875"/>
      <c r="DL116" s="875"/>
    </row>
    <row r="117" hidden="1">
      <c r="A117" s="673"/>
      <c r="B117" s="1082" t="s">
        <v>66</v>
      </c>
      <c r="C117" s="374"/>
      <c r="D117" s="374"/>
      <c r="E117" s="1128"/>
      <c r="F117" s="270">
        <v>100000.0</v>
      </c>
      <c r="G117" s="270" t="str">
        <f>V117</f>
        <v/>
      </c>
      <c r="H117" s="543">
        <f t="shared" si="269"/>
        <v>0</v>
      </c>
      <c r="I117" s="675" t="str">
        <f>IFERROR(__xludf.DUMMYFUNCTION("IFERROR(SPARKLINE(H117,{""charttype"",""bar"";""color1"",IF(H117&gt;='Май'!green_percent,'Май'!green,IF(H117&gt;='Май'!yellow_percent,'Май'!yellow,IF(H117&gt;='Май'!orange_percent,'Май'!orange,'Май'!red)));""max"",1}))"),"")</f>
        <v/>
      </c>
      <c r="J117" s="1119"/>
      <c r="K117" s="282"/>
      <c r="L117" s="931"/>
      <c r="M117" s="929"/>
      <c r="N117" s="776"/>
      <c r="O117" s="929"/>
      <c r="P117" s="776"/>
      <c r="Q117" s="929"/>
      <c r="R117" s="773"/>
      <c r="S117" s="1129"/>
      <c r="T117" s="1083"/>
      <c r="U117" s="349"/>
      <c r="V117" s="464"/>
      <c r="W117" s="376"/>
      <c r="X117" s="377"/>
      <c r="Y117" s="261"/>
      <c r="Z117" s="1067"/>
      <c r="AA117" s="261"/>
      <c r="AB117" s="1067"/>
      <c r="AC117" s="261"/>
      <c r="AD117" s="1067"/>
      <c r="AE117" s="261"/>
      <c r="AF117" s="1067"/>
      <c r="AG117" s="261"/>
      <c r="AH117" s="1067"/>
      <c r="AI117" s="261"/>
      <c r="AJ117" s="1068"/>
      <c r="AK117" s="261"/>
      <c r="AL117" s="1069"/>
      <c r="AM117" s="349"/>
      <c r="AN117" s="464"/>
      <c r="AO117" s="279"/>
      <c r="AP117" s="462"/>
      <c r="AQ117" s="256"/>
      <c r="AR117" s="463"/>
      <c r="AS117" s="256"/>
      <c r="AT117" s="463"/>
      <c r="AU117" s="256"/>
      <c r="AV117" s="776"/>
      <c r="AW117" s="256"/>
      <c r="AX117" s="776"/>
      <c r="AY117" s="256"/>
      <c r="AZ117" s="776"/>
      <c r="BA117" s="256"/>
      <c r="BB117" s="776"/>
      <c r="BC117" s="256"/>
      <c r="BD117" s="1083"/>
      <c r="BE117" s="349"/>
      <c r="BF117" s="464"/>
      <c r="BG117" s="279"/>
      <c r="BH117" s="462"/>
      <c r="BI117" s="256"/>
      <c r="BJ117" s="466"/>
      <c r="BK117" s="256"/>
      <c r="BL117" s="465"/>
      <c r="BM117" s="256"/>
      <c r="BN117" s="465"/>
      <c r="BO117" s="256"/>
      <c r="BP117" s="465"/>
      <c r="BQ117" s="256"/>
      <c r="BR117" s="465"/>
      <c r="BS117" s="256"/>
      <c r="BT117" s="465"/>
      <c r="BU117" s="256"/>
      <c r="BV117" s="465"/>
      <c r="BW117" s="349"/>
      <c r="BX117" s="464"/>
      <c r="BY117" s="838"/>
      <c r="BZ117" s="334"/>
      <c r="CA117" s="256"/>
      <c r="CB117" s="466"/>
      <c r="CC117" s="256"/>
      <c r="CD117" s="466"/>
      <c r="CE117" s="256"/>
      <c r="CF117" s="466"/>
      <c r="CG117" s="256"/>
      <c r="CH117" s="466"/>
      <c r="CI117" s="256"/>
      <c r="CJ117" s="466"/>
      <c r="CK117" s="256"/>
      <c r="CL117" s="466"/>
      <c r="CM117" s="256"/>
      <c r="CN117" s="466"/>
      <c r="CO117" s="733"/>
      <c r="CP117" s="733"/>
      <c r="CQ117" s="840"/>
      <c r="CR117" s="840"/>
      <c r="CS117" s="842"/>
      <c r="CT117" s="843"/>
      <c r="CU117" s="842"/>
      <c r="CV117" s="843"/>
      <c r="CW117" s="843"/>
      <c r="CX117" s="843"/>
      <c r="CY117" s="843"/>
      <c r="CZ117" s="843"/>
      <c r="DA117" s="843"/>
      <c r="DB117" s="843"/>
      <c r="DC117" s="843"/>
      <c r="DD117" s="843"/>
      <c r="DE117" s="843"/>
      <c r="DF117" s="843"/>
      <c r="DG117" s="289"/>
      <c r="DH117" s="844"/>
      <c r="DI117" s="310"/>
      <c r="DJ117" s="339"/>
      <c r="DK117" s="843"/>
      <c r="DL117" s="843"/>
    </row>
    <row r="118" hidden="1">
      <c r="A118" s="703"/>
      <c r="B118" s="579" t="s">
        <v>67</v>
      </c>
      <c r="C118" s="242"/>
      <c r="D118" s="242"/>
      <c r="E118" s="1130"/>
      <c r="F118" s="1131">
        <v>40.0</v>
      </c>
      <c r="G118" s="438">
        <f>SUMIFS(O118:DJ118,$O$11:$DJ$11,"Факт",$O$3:$DJ$3,"&gt;"&amp;EOMONTH('Май'!date,-1),$O$3:$DJ$3,"&lt;="&amp;EOMONTH('Май'!date,0))</f>
        <v>0</v>
      </c>
      <c r="H118" s="1132"/>
      <c r="I118" s="1133"/>
      <c r="J118" s="1119"/>
      <c r="K118" s="1020"/>
      <c r="L118" s="931"/>
      <c r="M118" s="929"/>
      <c r="N118" s="776"/>
      <c r="O118" s="929"/>
      <c r="P118" s="776"/>
      <c r="Q118" s="929"/>
      <c r="R118" s="773"/>
      <c r="S118" s="1129"/>
      <c r="T118" s="1078"/>
      <c r="U118" s="255"/>
      <c r="V118" s="486"/>
      <c r="W118" s="429"/>
      <c r="X118" s="430"/>
      <c r="Y118" s="1079"/>
      <c r="Z118" s="1067"/>
      <c r="AA118" s="1079"/>
      <c r="AB118" s="1067"/>
      <c r="AC118" s="1079"/>
      <c r="AD118" s="1067"/>
      <c r="AE118" s="1079"/>
      <c r="AF118" s="1067"/>
      <c r="AG118" s="1079"/>
      <c r="AH118" s="1067"/>
      <c r="AI118" s="1079"/>
      <c r="AJ118" s="1068"/>
      <c r="AK118" s="1079"/>
      <c r="AL118" s="1069"/>
      <c r="AM118" s="255"/>
      <c r="AN118" s="486"/>
      <c r="AO118" s="253"/>
      <c r="AP118" s="427"/>
      <c r="AQ118" s="711"/>
      <c r="AR118" s="822"/>
      <c r="AS118" s="711"/>
      <c r="AT118" s="822"/>
      <c r="AU118" s="711"/>
      <c r="AV118" s="776"/>
      <c r="AW118" s="711"/>
      <c r="AX118" s="776"/>
      <c r="AY118" s="711"/>
      <c r="AZ118" s="776"/>
      <c r="BA118" s="711"/>
      <c r="BB118" s="776"/>
      <c r="BC118" s="711"/>
      <c r="BD118" s="1078"/>
      <c r="BE118" s="255"/>
      <c r="BF118" s="486"/>
      <c r="BG118" s="253"/>
      <c r="BH118" s="427"/>
      <c r="BI118" s="711"/>
      <c r="BJ118" s="710"/>
      <c r="BK118" s="711"/>
      <c r="BL118" s="465"/>
      <c r="BM118" s="711"/>
      <c r="BN118" s="716"/>
      <c r="BO118" s="711"/>
      <c r="BP118" s="716"/>
      <c r="BQ118" s="711"/>
      <c r="BR118" s="716"/>
      <c r="BS118" s="711"/>
      <c r="BT118" s="716"/>
      <c r="BU118" s="711"/>
      <c r="BV118" s="716"/>
      <c r="BW118" s="255"/>
      <c r="BX118" s="486"/>
      <c r="BY118" s="1089"/>
      <c r="BZ118" s="318"/>
      <c r="CA118" s="711"/>
      <c r="CB118" s="710"/>
      <c r="CC118" s="711"/>
      <c r="CD118" s="710"/>
      <c r="CE118" s="711"/>
      <c r="CF118" s="710"/>
      <c r="CG118" s="711"/>
      <c r="CH118" s="710"/>
      <c r="CI118" s="711"/>
      <c r="CJ118" s="710"/>
      <c r="CK118" s="711"/>
      <c r="CL118" s="710"/>
      <c r="CM118" s="711"/>
      <c r="CN118" s="710"/>
      <c r="CO118" s="258"/>
      <c r="CP118" s="258"/>
      <c r="CQ118" s="1087"/>
      <c r="CR118" s="1087"/>
      <c r="CS118" s="842"/>
      <c r="CT118" s="875"/>
      <c r="CU118" s="842"/>
      <c r="CV118" s="875"/>
      <c r="CW118" s="875"/>
      <c r="CX118" s="875"/>
      <c r="CY118" s="875"/>
      <c r="CZ118" s="875"/>
      <c r="DA118" s="875"/>
      <c r="DB118" s="875"/>
      <c r="DC118" s="875"/>
      <c r="DD118" s="875"/>
      <c r="DE118" s="875"/>
      <c r="DF118" s="875"/>
      <c r="DG118" s="326"/>
      <c r="DH118" s="876"/>
      <c r="DI118" s="327"/>
      <c r="DJ118" s="329"/>
      <c r="DK118" s="875"/>
      <c r="DL118" s="875"/>
    </row>
    <row r="119" hidden="1">
      <c r="A119" s="673"/>
      <c r="B119" s="724" t="s">
        <v>68</v>
      </c>
      <c r="C119" s="217"/>
      <c r="D119" s="217"/>
      <c r="E119" s="1134"/>
      <c r="F119" s="939">
        <v>5.0</v>
      </c>
      <c r="G119" s="400">
        <f>SUMIFS(O119:DJ119,$O$11:$DJ$11,"Факт",$O$3:$DJ$3,"&gt;"&amp;EOMONTH('Май'!date,-1),$O$3:$DJ$3,"&lt;="&amp;EOMONTH('Май'!date,0))</f>
        <v>0</v>
      </c>
      <c r="H119" s="384"/>
      <c r="I119" s="1135"/>
      <c r="J119" s="1119"/>
      <c r="K119" s="282"/>
      <c r="L119" s="931"/>
      <c r="M119" s="929"/>
      <c r="N119" s="776"/>
      <c r="O119" s="929"/>
      <c r="P119" s="776"/>
      <c r="Q119" s="929"/>
      <c r="R119" s="773">
        <v>0.0</v>
      </c>
      <c r="S119" s="1129"/>
      <c r="T119" s="1083">
        <v>0.0</v>
      </c>
      <c r="U119" s="349"/>
      <c r="V119" s="464"/>
      <c r="W119" s="376"/>
      <c r="X119" s="377"/>
      <c r="Y119" s="261"/>
      <c r="Z119" s="1067"/>
      <c r="AA119" s="261"/>
      <c r="AB119" s="1067"/>
      <c r="AC119" s="261"/>
      <c r="AD119" s="1067"/>
      <c r="AE119" s="261"/>
      <c r="AF119" s="1067"/>
      <c r="AG119" s="261"/>
      <c r="AH119" s="1067"/>
      <c r="AI119" s="261"/>
      <c r="AJ119" s="1068"/>
      <c r="AK119" s="261"/>
      <c r="AL119" s="1069"/>
      <c r="AM119" s="349"/>
      <c r="AN119" s="464"/>
      <c r="AO119" s="279"/>
      <c r="AP119" s="462"/>
      <c r="AQ119" s="256"/>
      <c r="AR119" s="463"/>
      <c r="AS119" s="256"/>
      <c r="AT119" s="463"/>
      <c r="AU119" s="256"/>
      <c r="AV119" s="776"/>
      <c r="AW119" s="256"/>
      <c r="AX119" s="776"/>
      <c r="AY119" s="256"/>
      <c r="AZ119" s="776"/>
      <c r="BA119" s="256"/>
      <c r="BB119" s="776"/>
      <c r="BC119" s="256"/>
      <c r="BD119" s="1083"/>
      <c r="BE119" s="349"/>
      <c r="BF119" s="464"/>
      <c r="BG119" s="279"/>
      <c r="BH119" s="462"/>
      <c r="BI119" s="256"/>
      <c r="BJ119" s="466"/>
      <c r="BK119" s="256"/>
      <c r="BL119" s="465"/>
      <c r="BM119" s="256"/>
      <c r="BN119" s="465"/>
      <c r="BO119" s="256"/>
      <c r="BP119" s="465"/>
      <c r="BQ119" s="256"/>
      <c r="BR119" s="465"/>
      <c r="BS119" s="256"/>
      <c r="BT119" s="465"/>
      <c r="BU119" s="256"/>
      <c r="BV119" s="465"/>
      <c r="BW119" s="349"/>
      <c r="BX119" s="464"/>
      <c r="BY119" s="838"/>
      <c r="BZ119" s="334"/>
      <c r="CA119" s="256"/>
      <c r="CB119" s="466"/>
      <c r="CC119" s="256"/>
      <c r="CD119" s="466"/>
      <c r="CE119" s="256"/>
      <c r="CF119" s="466"/>
      <c r="CG119" s="256"/>
      <c r="CH119" s="466"/>
      <c r="CI119" s="256"/>
      <c r="CJ119" s="466"/>
      <c r="CK119" s="256"/>
      <c r="CL119" s="466"/>
      <c r="CM119" s="256"/>
      <c r="CN119" s="466"/>
      <c r="CO119" s="733"/>
      <c r="CP119" s="733"/>
      <c r="CQ119" s="840"/>
      <c r="CR119" s="840"/>
      <c r="CS119" s="842"/>
      <c r="CT119" s="843"/>
      <c r="CU119" s="842"/>
      <c r="CV119" s="843"/>
      <c r="CW119" s="843"/>
      <c r="CX119" s="843"/>
      <c r="CY119" s="843"/>
      <c r="CZ119" s="843"/>
      <c r="DA119" s="843"/>
      <c r="DB119" s="843"/>
      <c r="DC119" s="843"/>
      <c r="DD119" s="843"/>
      <c r="DE119" s="843"/>
      <c r="DF119" s="843"/>
      <c r="DG119" s="289"/>
      <c r="DH119" s="844"/>
      <c r="DI119" s="310"/>
      <c r="DJ119" s="339"/>
      <c r="DK119" s="843"/>
      <c r="DL119" s="843"/>
    </row>
    <row r="120" hidden="1">
      <c r="A120" s="703"/>
      <c r="B120" s="579" t="s">
        <v>22</v>
      </c>
      <c r="C120" s="242"/>
      <c r="D120" s="242"/>
      <c r="E120" s="1130"/>
      <c r="F120" s="1131">
        <f>F117/F118</f>
        <v>2500</v>
      </c>
      <c r="G120" s="438">
        <f>SUMIFS(O120:DJ120,$O$11:$DJ$11,"Факт",$O$3:$DJ$3,"&gt;"&amp;EOMONTH('Май'!date,-1),$O$3:$DJ$3,"&lt;="&amp;EOMONTH('Май'!date,0))</f>
        <v>0</v>
      </c>
      <c r="H120" s="1132"/>
      <c r="I120" s="1133"/>
      <c r="J120" s="1119"/>
      <c r="K120" s="1020"/>
      <c r="L120" s="931"/>
      <c r="M120" s="929"/>
      <c r="N120" s="776"/>
      <c r="O120" s="929"/>
      <c r="P120" s="776"/>
      <c r="Q120" s="929"/>
      <c r="R120" s="773"/>
      <c r="S120" s="1129"/>
      <c r="T120" s="1078"/>
      <c r="U120" s="255"/>
      <c r="V120" s="486"/>
      <c r="W120" s="429"/>
      <c r="X120" s="430"/>
      <c r="Y120" s="1079"/>
      <c r="Z120" s="1067"/>
      <c r="AA120" s="1079"/>
      <c r="AB120" s="1067"/>
      <c r="AC120" s="1079"/>
      <c r="AD120" s="1067"/>
      <c r="AE120" s="1079"/>
      <c r="AF120" s="1067"/>
      <c r="AG120" s="1079"/>
      <c r="AH120" s="1067"/>
      <c r="AI120" s="1079"/>
      <c r="AJ120" s="1068"/>
      <c r="AK120" s="1079"/>
      <c r="AL120" s="1069"/>
      <c r="AM120" s="255"/>
      <c r="AN120" s="486"/>
      <c r="AO120" s="253"/>
      <c r="AP120" s="427"/>
      <c r="AQ120" s="711"/>
      <c r="AR120" s="822"/>
      <c r="AS120" s="711"/>
      <c r="AT120" s="822"/>
      <c r="AU120" s="711"/>
      <c r="AV120" s="776"/>
      <c r="AW120" s="711"/>
      <c r="AX120" s="776"/>
      <c r="AY120" s="711"/>
      <c r="AZ120" s="776"/>
      <c r="BA120" s="711"/>
      <c r="BB120" s="776"/>
      <c r="BC120" s="711"/>
      <c r="BD120" s="1078"/>
      <c r="BE120" s="255"/>
      <c r="BF120" s="486"/>
      <c r="BG120" s="253"/>
      <c r="BH120" s="427"/>
      <c r="BI120" s="711"/>
      <c r="BJ120" s="710"/>
      <c r="BK120" s="711"/>
      <c r="BL120" s="465"/>
      <c r="BM120" s="711"/>
      <c r="BN120" s="716"/>
      <c r="BO120" s="711"/>
      <c r="BP120" s="716"/>
      <c r="BQ120" s="711"/>
      <c r="BR120" s="716"/>
      <c r="BS120" s="711"/>
      <c r="BT120" s="716"/>
      <c r="BU120" s="711"/>
      <c r="BV120" s="716"/>
      <c r="BW120" s="255"/>
      <c r="BX120" s="486"/>
      <c r="BY120" s="1089"/>
      <c r="BZ120" s="318"/>
      <c r="CA120" s="711"/>
      <c r="CB120" s="710"/>
      <c r="CC120" s="711"/>
      <c r="CD120" s="710"/>
      <c r="CE120" s="711"/>
      <c r="CF120" s="710"/>
      <c r="CG120" s="711"/>
      <c r="CH120" s="710"/>
      <c r="CI120" s="711"/>
      <c r="CJ120" s="710"/>
      <c r="CK120" s="711"/>
      <c r="CL120" s="710"/>
      <c r="CM120" s="711"/>
      <c r="CN120" s="710"/>
      <c r="CO120" s="258"/>
      <c r="CP120" s="258"/>
      <c r="CQ120" s="1087"/>
      <c r="CR120" s="1087"/>
      <c r="CS120" s="842"/>
      <c r="CT120" s="875"/>
      <c r="CU120" s="842"/>
      <c r="CV120" s="875"/>
      <c r="CW120" s="875"/>
      <c r="CX120" s="875"/>
      <c r="CY120" s="875"/>
      <c r="CZ120" s="875"/>
      <c r="DA120" s="875"/>
      <c r="DB120" s="875"/>
      <c r="DC120" s="875"/>
      <c r="DD120" s="875"/>
      <c r="DE120" s="875"/>
      <c r="DF120" s="875"/>
      <c r="DG120" s="326"/>
      <c r="DH120" s="876"/>
      <c r="DI120" s="327"/>
      <c r="DJ120" s="329"/>
      <c r="DK120" s="875"/>
      <c r="DL120" s="875"/>
    </row>
    <row r="121" hidden="1">
      <c r="A121" s="673"/>
      <c r="B121" s="724" t="s">
        <v>69</v>
      </c>
      <c r="C121" s="217"/>
      <c r="D121" s="217"/>
      <c r="E121" s="1134"/>
      <c r="F121" s="1136">
        <f>F119/F118</f>
        <v>0.125</v>
      </c>
      <c r="G121" s="270">
        <f>SUMIFS(O121:DJ121,$O$11:$DJ$11,"Факт",$O$3:$DJ$3,"&gt;"&amp;EOMONTH('Май'!date,-1),$O$3:$DJ$3,"&lt;="&amp;EOMONTH('Май'!date,0))</f>
        <v>0</v>
      </c>
      <c r="H121" s="384"/>
      <c r="I121" s="1135"/>
      <c r="J121" s="1119"/>
      <c r="K121" s="282"/>
      <c r="L121" s="931"/>
      <c r="M121" s="929"/>
      <c r="N121" s="776"/>
      <c r="O121" s="929"/>
      <c r="P121" s="776"/>
      <c r="Q121" s="929"/>
      <c r="R121" s="773"/>
      <c r="S121" s="1129"/>
      <c r="T121" s="1083"/>
      <c r="U121" s="349"/>
      <c r="V121" s="464"/>
      <c r="W121" s="376"/>
      <c r="X121" s="377"/>
      <c r="Y121" s="261"/>
      <c r="Z121" s="1067"/>
      <c r="AA121" s="261"/>
      <c r="AB121" s="1067"/>
      <c r="AC121" s="261"/>
      <c r="AD121" s="1067"/>
      <c r="AE121" s="261"/>
      <c r="AF121" s="1067"/>
      <c r="AG121" s="261"/>
      <c r="AH121" s="1067"/>
      <c r="AI121" s="261"/>
      <c r="AJ121" s="1068"/>
      <c r="AK121" s="261"/>
      <c r="AL121" s="1069"/>
      <c r="AM121" s="349"/>
      <c r="AN121" s="464"/>
      <c r="AO121" s="279"/>
      <c r="AP121" s="462"/>
      <c r="AQ121" s="256"/>
      <c r="AR121" s="463"/>
      <c r="AS121" s="256"/>
      <c r="AT121" s="463"/>
      <c r="AU121" s="256"/>
      <c r="AV121" s="776"/>
      <c r="AW121" s="256"/>
      <c r="AX121" s="776"/>
      <c r="AY121" s="256"/>
      <c r="AZ121" s="776"/>
      <c r="BA121" s="256"/>
      <c r="BB121" s="776"/>
      <c r="BC121" s="256"/>
      <c r="BD121" s="1083"/>
      <c r="BE121" s="349"/>
      <c r="BF121" s="464"/>
      <c r="BG121" s="279"/>
      <c r="BH121" s="462"/>
      <c r="BI121" s="256"/>
      <c r="BJ121" s="466"/>
      <c r="BK121" s="256"/>
      <c r="BL121" s="465"/>
      <c r="BM121" s="256"/>
      <c r="BN121" s="465"/>
      <c r="BO121" s="256"/>
      <c r="BP121" s="465"/>
      <c r="BQ121" s="256"/>
      <c r="BR121" s="465"/>
      <c r="BS121" s="256"/>
      <c r="BT121" s="465"/>
      <c r="BU121" s="256"/>
      <c r="BV121" s="465"/>
      <c r="BW121" s="349"/>
      <c r="BX121" s="464"/>
      <c r="BY121" s="838"/>
      <c r="BZ121" s="334"/>
      <c r="CA121" s="256"/>
      <c r="CB121" s="466"/>
      <c r="CC121" s="256"/>
      <c r="CD121" s="466"/>
      <c r="CE121" s="256"/>
      <c r="CF121" s="466"/>
      <c r="CG121" s="256"/>
      <c r="CH121" s="466"/>
      <c r="CI121" s="256"/>
      <c r="CJ121" s="466"/>
      <c r="CK121" s="256"/>
      <c r="CL121" s="466"/>
      <c r="CM121" s="256"/>
      <c r="CN121" s="466"/>
      <c r="CO121" s="733"/>
      <c r="CP121" s="733"/>
      <c r="CQ121" s="840"/>
      <c r="CR121" s="840"/>
      <c r="CS121" s="842"/>
      <c r="CT121" s="843"/>
      <c r="CU121" s="842"/>
      <c r="CV121" s="843"/>
      <c r="CW121" s="843"/>
      <c r="CX121" s="843"/>
      <c r="CY121" s="843"/>
      <c r="CZ121" s="843"/>
      <c r="DA121" s="843"/>
      <c r="DB121" s="843"/>
      <c r="DC121" s="843"/>
      <c r="DD121" s="843"/>
      <c r="DE121" s="843"/>
      <c r="DF121" s="843"/>
      <c r="DG121" s="289"/>
      <c r="DH121" s="844"/>
      <c r="DI121" s="310"/>
      <c r="DJ121" s="339"/>
      <c r="DK121" s="843"/>
      <c r="DL121" s="843"/>
    </row>
    <row r="122" hidden="1">
      <c r="A122" s="703"/>
      <c r="B122" s="579" t="s">
        <v>35</v>
      </c>
      <c r="C122" s="242"/>
      <c r="D122" s="242"/>
      <c r="E122" s="1130"/>
      <c r="F122" s="1131">
        <v>2.0</v>
      </c>
      <c r="G122" s="438">
        <f>SUMIFS(O122:DJ122,$O$11:$DJ$11,"Факт",$O$3:$DJ$3,"&gt;"&amp;EOMONTH('Май'!date,-1),$O$3:$DJ$3,"&lt;="&amp;EOMONTH('Май'!date,0))</f>
        <v>0</v>
      </c>
      <c r="H122" s="1132"/>
      <c r="I122" s="1133"/>
      <c r="J122" s="1119"/>
      <c r="K122" s="1020"/>
      <c r="L122" s="931"/>
      <c r="M122" s="929"/>
      <c r="N122" s="776"/>
      <c r="O122" s="929"/>
      <c r="P122" s="776"/>
      <c r="Q122" s="929"/>
      <c r="R122" s="773">
        <v>0.0</v>
      </c>
      <c r="S122" s="1129"/>
      <c r="T122" s="1078">
        <v>0.0</v>
      </c>
      <c r="U122" s="255"/>
      <c r="V122" s="486"/>
      <c r="W122" s="429"/>
      <c r="X122" s="430"/>
      <c r="Y122" s="1079"/>
      <c r="Z122" s="1067"/>
      <c r="AA122" s="1079"/>
      <c r="AB122" s="1067"/>
      <c r="AC122" s="1079"/>
      <c r="AD122" s="1067"/>
      <c r="AE122" s="1079"/>
      <c r="AF122" s="1067"/>
      <c r="AG122" s="1079"/>
      <c r="AH122" s="1067"/>
      <c r="AI122" s="1079"/>
      <c r="AJ122" s="1068"/>
      <c r="AK122" s="1079"/>
      <c r="AL122" s="1069"/>
      <c r="AM122" s="255"/>
      <c r="AN122" s="486"/>
      <c r="AO122" s="253"/>
      <c r="AP122" s="427"/>
      <c r="AQ122" s="711"/>
      <c r="AR122" s="822"/>
      <c r="AS122" s="711"/>
      <c r="AT122" s="822"/>
      <c r="AU122" s="711"/>
      <c r="AV122" s="776"/>
      <c r="AW122" s="711"/>
      <c r="AX122" s="776"/>
      <c r="AY122" s="711"/>
      <c r="AZ122" s="776"/>
      <c r="BA122" s="711"/>
      <c r="BB122" s="776"/>
      <c r="BC122" s="711"/>
      <c r="BD122" s="1078"/>
      <c r="BE122" s="255"/>
      <c r="BF122" s="486"/>
      <c r="BG122" s="253"/>
      <c r="BH122" s="427"/>
      <c r="BI122" s="711"/>
      <c r="BJ122" s="710"/>
      <c r="BK122" s="711"/>
      <c r="BL122" s="465"/>
      <c r="BM122" s="711"/>
      <c r="BN122" s="716"/>
      <c r="BO122" s="711"/>
      <c r="BP122" s="716"/>
      <c r="BQ122" s="711"/>
      <c r="BR122" s="716"/>
      <c r="BS122" s="711"/>
      <c r="BT122" s="716"/>
      <c r="BU122" s="711"/>
      <c r="BV122" s="716"/>
      <c r="BW122" s="255"/>
      <c r="BX122" s="486"/>
      <c r="BY122" s="1089"/>
      <c r="BZ122" s="318"/>
      <c r="CA122" s="711"/>
      <c r="CB122" s="710"/>
      <c r="CC122" s="711"/>
      <c r="CD122" s="710"/>
      <c r="CE122" s="711"/>
      <c r="CF122" s="710"/>
      <c r="CG122" s="711"/>
      <c r="CH122" s="710"/>
      <c r="CI122" s="711"/>
      <c r="CJ122" s="710"/>
      <c r="CK122" s="711"/>
      <c r="CL122" s="710"/>
      <c r="CM122" s="711"/>
      <c r="CN122" s="710"/>
      <c r="CO122" s="258"/>
      <c r="CP122" s="258"/>
      <c r="CQ122" s="1087"/>
      <c r="CR122" s="1087"/>
      <c r="CS122" s="842"/>
      <c r="CT122" s="875"/>
      <c r="CU122" s="842"/>
      <c r="CV122" s="875"/>
      <c r="CW122" s="875"/>
      <c r="CX122" s="875"/>
      <c r="CY122" s="875"/>
      <c r="CZ122" s="875"/>
      <c r="DA122" s="875"/>
      <c r="DB122" s="875"/>
      <c r="DC122" s="875"/>
      <c r="DD122" s="875"/>
      <c r="DE122" s="875"/>
      <c r="DF122" s="875"/>
      <c r="DG122" s="326"/>
      <c r="DH122" s="876"/>
      <c r="DI122" s="327"/>
      <c r="DJ122" s="329"/>
      <c r="DK122" s="875"/>
      <c r="DL122" s="875"/>
    </row>
    <row r="123" hidden="1">
      <c r="A123" s="673"/>
      <c r="B123" s="724" t="s">
        <v>25</v>
      </c>
      <c r="C123" s="217"/>
      <c r="D123" s="217"/>
      <c r="E123" s="1134"/>
      <c r="F123" s="1136">
        <f>F122/F119</f>
        <v>0.4</v>
      </c>
      <c r="G123" s="400">
        <f>SUMIFS(O123:DJ123,$O$11:$DJ$11,"Факт",$O$3:$DJ$3,"&gt;"&amp;EOMONTH('Май'!date,-1),$O$3:$DJ$3,"&lt;="&amp;EOMONTH('Май'!date,0))</f>
        <v>0</v>
      </c>
      <c r="H123" s="384"/>
      <c r="I123" s="1135"/>
      <c r="J123" s="1119"/>
      <c r="K123" s="282"/>
      <c r="L123" s="931"/>
      <c r="M123" s="929"/>
      <c r="N123" s="776"/>
      <c r="O123" s="929"/>
      <c r="P123" s="776"/>
      <c r="Q123" s="929"/>
      <c r="R123" s="773"/>
      <c r="S123" s="1129"/>
      <c r="T123" s="1083"/>
      <c r="U123" s="349"/>
      <c r="V123" s="464"/>
      <c r="W123" s="376"/>
      <c r="X123" s="377"/>
      <c r="Y123" s="261"/>
      <c r="Z123" s="1067"/>
      <c r="AA123" s="261"/>
      <c r="AB123" s="1067"/>
      <c r="AC123" s="261"/>
      <c r="AD123" s="1067"/>
      <c r="AE123" s="261"/>
      <c r="AF123" s="1067"/>
      <c r="AG123" s="261"/>
      <c r="AH123" s="1067"/>
      <c r="AI123" s="261"/>
      <c r="AJ123" s="1068"/>
      <c r="AK123" s="261"/>
      <c r="AL123" s="1069"/>
      <c r="AM123" s="349"/>
      <c r="AN123" s="464"/>
      <c r="AO123" s="279"/>
      <c r="AP123" s="462"/>
      <c r="AQ123" s="256"/>
      <c r="AR123" s="463"/>
      <c r="AS123" s="256"/>
      <c r="AT123" s="463"/>
      <c r="AU123" s="256"/>
      <c r="AV123" s="776"/>
      <c r="AW123" s="256"/>
      <c r="AX123" s="776"/>
      <c r="AY123" s="256"/>
      <c r="AZ123" s="776"/>
      <c r="BA123" s="256"/>
      <c r="BB123" s="776"/>
      <c r="BC123" s="256"/>
      <c r="BD123" s="1083"/>
      <c r="BE123" s="349"/>
      <c r="BF123" s="464"/>
      <c r="BG123" s="279"/>
      <c r="BH123" s="462"/>
      <c r="BI123" s="256"/>
      <c r="BJ123" s="466"/>
      <c r="BK123" s="256"/>
      <c r="BL123" s="465"/>
      <c r="BM123" s="256"/>
      <c r="BN123" s="465"/>
      <c r="BO123" s="256"/>
      <c r="BP123" s="465"/>
      <c r="BQ123" s="256"/>
      <c r="BR123" s="465"/>
      <c r="BS123" s="256"/>
      <c r="BT123" s="465"/>
      <c r="BU123" s="256"/>
      <c r="BV123" s="465"/>
      <c r="BW123" s="349"/>
      <c r="BX123" s="464"/>
      <c r="BY123" s="838"/>
      <c r="BZ123" s="334"/>
      <c r="CA123" s="256"/>
      <c r="CB123" s="466"/>
      <c r="CC123" s="256"/>
      <c r="CD123" s="466"/>
      <c r="CE123" s="256"/>
      <c r="CF123" s="466"/>
      <c r="CG123" s="256"/>
      <c r="CH123" s="466"/>
      <c r="CI123" s="256"/>
      <c r="CJ123" s="466"/>
      <c r="CK123" s="256"/>
      <c r="CL123" s="466"/>
      <c r="CM123" s="256"/>
      <c r="CN123" s="466"/>
      <c r="CO123" s="733"/>
      <c r="CP123" s="733"/>
      <c r="CQ123" s="840"/>
      <c r="CR123" s="840"/>
      <c r="CS123" s="842"/>
      <c r="CT123" s="843"/>
      <c r="CU123" s="842"/>
      <c r="CV123" s="843"/>
      <c r="CW123" s="843"/>
      <c r="CX123" s="843"/>
      <c r="CY123" s="843"/>
      <c r="CZ123" s="843"/>
      <c r="DA123" s="843"/>
      <c r="DB123" s="843"/>
      <c r="DC123" s="843"/>
      <c r="DD123" s="843"/>
      <c r="DE123" s="843"/>
      <c r="DF123" s="843"/>
      <c r="DG123" s="289"/>
      <c r="DH123" s="844"/>
      <c r="DI123" s="310"/>
      <c r="DJ123" s="339"/>
      <c r="DK123" s="843"/>
      <c r="DL123" s="843"/>
    </row>
    <row r="124" hidden="1">
      <c r="A124" s="703"/>
      <c r="B124" s="579" t="s">
        <v>36</v>
      </c>
      <c r="C124" s="242"/>
      <c r="D124" s="242"/>
      <c r="E124" s="1130"/>
      <c r="F124" s="1022">
        <f>F117/F122</f>
        <v>50000</v>
      </c>
      <c r="G124" s="581">
        <f>SUMIFS(O124:DJ124,$O$11:$DJ$11,"Факт",$O$3:$DJ$3,"&gt;"&amp;EOMONTH('Май'!date,-1),$O$3:$DJ$3,"&lt;="&amp;EOMONTH('Май'!date,0))</f>
        <v>0</v>
      </c>
      <c r="H124" s="1132"/>
      <c r="I124" s="1133"/>
      <c r="J124" s="1119"/>
      <c r="K124" s="1020"/>
      <c r="L124" s="931"/>
      <c r="M124" s="929"/>
      <c r="N124" s="776"/>
      <c r="O124" s="929"/>
      <c r="P124" s="776"/>
      <c r="Q124" s="929"/>
      <c r="R124" s="773"/>
      <c r="S124" s="1129"/>
      <c r="T124" s="1078"/>
      <c r="U124" s="255"/>
      <c r="V124" s="486"/>
      <c r="W124" s="429"/>
      <c r="X124" s="430"/>
      <c r="Y124" s="1079"/>
      <c r="Z124" s="1067"/>
      <c r="AA124" s="1079"/>
      <c r="AB124" s="1067"/>
      <c r="AC124" s="1079"/>
      <c r="AD124" s="1067"/>
      <c r="AE124" s="1079"/>
      <c r="AF124" s="1067"/>
      <c r="AG124" s="1079"/>
      <c r="AH124" s="1067"/>
      <c r="AI124" s="1079"/>
      <c r="AJ124" s="1068"/>
      <c r="AK124" s="1079"/>
      <c r="AL124" s="1069"/>
      <c r="AM124" s="255"/>
      <c r="AN124" s="486"/>
      <c r="AO124" s="253"/>
      <c r="AP124" s="427"/>
      <c r="AQ124" s="711"/>
      <c r="AR124" s="822"/>
      <c r="AS124" s="711"/>
      <c r="AT124" s="822"/>
      <c r="AU124" s="711"/>
      <c r="AV124" s="776"/>
      <c r="AW124" s="711"/>
      <c r="AX124" s="776"/>
      <c r="AY124" s="711"/>
      <c r="AZ124" s="776"/>
      <c r="BA124" s="711"/>
      <c r="BB124" s="776"/>
      <c r="BC124" s="711"/>
      <c r="BD124" s="1078"/>
      <c r="BE124" s="255"/>
      <c r="BF124" s="486"/>
      <c r="BG124" s="253"/>
      <c r="BH124" s="427"/>
      <c r="BI124" s="711"/>
      <c r="BJ124" s="710"/>
      <c r="BK124" s="711"/>
      <c r="BL124" s="465"/>
      <c r="BM124" s="711"/>
      <c r="BN124" s="716"/>
      <c r="BO124" s="711"/>
      <c r="BP124" s="716"/>
      <c r="BQ124" s="711"/>
      <c r="BR124" s="716"/>
      <c r="BS124" s="711"/>
      <c r="BT124" s="716"/>
      <c r="BU124" s="711"/>
      <c r="BV124" s="716"/>
      <c r="BW124" s="255"/>
      <c r="BX124" s="486"/>
      <c r="BY124" s="1089"/>
      <c r="BZ124" s="318"/>
      <c r="CA124" s="711"/>
      <c r="CB124" s="710"/>
      <c r="CC124" s="711"/>
      <c r="CD124" s="710"/>
      <c r="CE124" s="711"/>
      <c r="CF124" s="710"/>
      <c r="CG124" s="711"/>
      <c r="CH124" s="710"/>
      <c r="CI124" s="711"/>
      <c r="CJ124" s="710"/>
      <c r="CK124" s="711"/>
      <c r="CL124" s="710"/>
      <c r="CM124" s="711"/>
      <c r="CN124" s="710"/>
      <c r="CO124" s="258"/>
      <c r="CP124" s="258"/>
      <c r="CQ124" s="1087"/>
      <c r="CR124" s="1087"/>
      <c r="CS124" s="842"/>
      <c r="CT124" s="875"/>
      <c r="CU124" s="842"/>
      <c r="CV124" s="875"/>
      <c r="CW124" s="875"/>
      <c r="CX124" s="875"/>
      <c r="CY124" s="875"/>
      <c r="CZ124" s="875"/>
      <c r="DA124" s="875"/>
      <c r="DB124" s="875"/>
      <c r="DC124" s="875"/>
      <c r="DD124" s="875"/>
      <c r="DE124" s="875"/>
      <c r="DF124" s="875"/>
      <c r="DG124" s="326"/>
      <c r="DH124" s="876"/>
      <c r="DI124" s="327"/>
      <c r="DJ124" s="329"/>
      <c r="DK124" s="875"/>
      <c r="DL124" s="875"/>
    </row>
    <row r="125" hidden="1">
      <c r="A125" s="673"/>
      <c r="B125" s="724" t="s">
        <v>26</v>
      </c>
      <c r="C125" s="217"/>
      <c r="D125" s="217"/>
      <c r="E125" s="1134"/>
      <c r="F125" s="939">
        <v>1.0</v>
      </c>
      <c r="G125" s="400">
        <f>SUMIFS(O125:DJ125,$O$11:$DJ$11,"Факт",$O$3:$DJ$3,"&gt;"&amp;EOMONTH('Май'!date,-1),$O$3:$DJ$3,"&lt;="&amp;EOMONTH('Май'!date,0))</f>
        <v>0</v>
      </c>
      <c r="H125" s="384"/>
      <c r="I125" s="1135"/>
      <c r="J125" s="1119"/>
      <c r="K125" s="282"/>
      <c r="L125" s="931"/>
      <c r="M125" s="929"/>
      <c r="N125" s="776"/>
      <c r="O125" s="929"/>
      <c r="P125" s="776"/>
      <c r="Q125" s="929"/>
      <c r="R125" s="773"/>
      <c r="S125" s="1129"/>
      <c r="T125" s="1083">
        <v>0.0</v>
      </c>
      <c r="U125" s="349"/>
      <c r="V125" s="464"/>
      <c r="W125" s="376"/>
      <c r="X125" s="377"/>
      <c r="Y125" s="261"/>
      <c r="Z125" s="1067"/>
      <c r="AA125" s="261"/>
      <c r="AB125" s="1067"/>
      <c r="AC125" s="261"/>
      <c r="AD125" s="1067"/>
      <c r="AE125" s="261"/>
      <c r="AF125" s="1067"/>
      <c r="AG125" s="261"/>
      <c r="AH125" s="1067"/>
      <c r="AI125" s="261"/>
      <c r="AJ125" s="1068"/>
      <c r="AK125" s="261"/>
      <c r="AL125" s="1069"/>
      <c r="AM125" s="349"/>
      <c r="AN125" s="464"/>
      <c r="AO125" s="279"/>
      <c r="AP125" s="462"/>
      <c r="AQ125" s="256"/>
      <c r="AR125" s="463"/>
      <c r="AS125" s="256"/>
      <c r="AT125" s="463"/>
      <c r="AU125" s="256"/>
      <c r="AV125" s="776"/>
      <c r="AW125" s="256"/>
      <c r="AX125" s="776"/>
      <c r="AY125" s="256"/>
      <c r="AZ125" s="776"/>
      <c r="BA125" s="256"/>
      <c r="BB125" s="776"/>
      <c r="BC125" s="256"/>
      <c r="BD125" s="1083"/>
      <c r="BE125" s="349"/>
      <c r="BF125" s="464"/>
      <c r="BG125" s="279"/>
      <c r="BH125" s="462"/>
      <c r="BI125" s="256"/>
      <c r="BJ125" s="466"/>
      <c r="BK125" s="256"/>
      <c r="BL125" s="465"/>
      <c r="BM125" s="256"/>
      <c r="BN125" s="465"/>
      <c r="BO125" s="256"/>
      <c r="BP125" s="465"/>
      <c r="BQ125" s="256"/>
      <c r="BR125" s="465"/>
      <c r="BS125" s="256"/>
      <c r="BT125" s="465"/>
      <c r="BU125" s="256"/>
      <c r="BV125" s="465"/>
      <c r="BW125" s="349"/>
      <c r="BX125" s="464"/>
      <c r="BY125" s="838"/>
      <c r="BZ125" s="334"/>
      <c r="CA125" s="256"/>
      <c r="CB125" s="466"/>
      <c r="CC125" s="256"/>
      <c r="CD125" s="466"/>
      <c r="CE125" s="256"/>
      <c r="CF125" s="466"/>
      <c r="CG125" s="256"/>
      <c r="CH125" s="466"/>
      <c r="CI125" s="256"/>
      <c r="CJ125" s="466"/>
      <c r="CK125" s="256"/>
      <c r="CL125" s="466"/>
      <c r="CM125" s="256"/>
      <c r="CN125" s="466"/>
      <c r="CO125" s="733"/>
      <c r="CP125" s="733"/>
      <c r="CQ125" s="840"/>
      <c r="CR125" s="840"/>
      <c r="CS125" s="842"/>
      <c r="CT125" s="843"/>
      <c r="CU125" s="842"/>
      <c r="CV125" s="843"/>
      <c r="CW125" s="843"/>
      <c r="CX125" s="843"/>
      <c r="CY125" s="843"/>
      <c r="CZ125" s="843"/>
      <c r="DA125" s="843"/>
      <c r="DB125" s="843"/>
      <c r="DC125" s="843"/>
      <c r="DD125" s="843"/>
      <c r="DE125" s="843"/>
      <c r="DF125" s="843"/>
      <c r="DG125" s="289"/>
      <c r="DH125" s="844"/>
      <c r="DI125" s="310"/>
      <c r="DJ125" s="339"/>
      <c r="DK125" s="843"/>
      <c r="DL125" s="843"/>
    </row>
    <row r="126" hidden="1">
      <c r="A126" s="703"/>
      <c r="B126" s="579" t="s">
        <v>39</v>
      </c>
      <c r="C126" s="242"/>
      <c r="D126" s="242"/>
      <c r="E126" s="1130"/>
      <c r="F126" s="1131">
        <v>50000.0</v>
      </c>
      <c r="G126" s="438">
        <f>SUMIFS(O126:DJ126,$O$11:$DJ$11,"Факт",$O$3:$DJ$3,"&gt;"&amp;EOMONTH('Май'!date,-1),$O$3:$DJ$3,"&lt;="&amp;EOMONTH('Май'!date,0))</f>
        <v>0</v>
      </c>
      <c r="H126" s="1132"/>
      <c r="I126" s="1133"/>
      <c r="J126" s="1119"/>
      <c r="K126" s="1020"/>
      <c r="L126" s="931"/>
      <c r="M126" s="929"/>
      <c r="N126" s="776"/>
      <c r="O126" s="929"/>
      <c r="P126" s="776"/>
      <c r="Q126" s="929"/>
      <c r="R126" s="773"/>
      <c r="S126" s="1129"/>
      <c r="T126" s="1078"/>
      <c r="U126" s="255"/>
      <c r="V126" s="486"/>
      <c r="W126" s="429"/>
      <c r="X126" s="430"/>
      <c r="Y126" s="1079"/>
      <c r="Z126" s="1067"/>
      <c r="AA126" s="1079"/>
      <c r="AB126" s="1067"/>
      <c r="AC126" s="1079"/>
      <c r="AD126" s="1067"/>
      <c r="AE126" s="1079"/>
      <c r="AF126" s="1067"/>
      <c r="AG126" s="1079"/>
      <c r="AH126" s="1067"/>
      <c r="AI126" s="1079"/>
      <c r="AJ126" s="1068"/>
      <c r="AK126" s="1079"/>
      <c r="AL126" s="1069"/>
      <c r="AM126" s="255"/>
      <c r="AN126" s="486"/>
      <c r="AO126" s="253"/>
      <c r="AP126" s="427"/>
      <c r="AQ126" s="711"/>
      <c r="AR126" s="822"/>
      <c r="AS126" s="711"/>
      <c r="AT126" s="822"/>
      <c r="AU126" s="711"/>
      <c r="AV126" s="776"/>
      <c r="AW126" s="711"/>
      <c r="AX126" s="776"/>
      <c r="AY126" s="711"/>
      <c r="AZ126" s="776"/>
      <c r="BA126" s="711"/>
      <c r="BB126" s="776"/>
      <c r="BC126" s="711"/>
      <c r="BD126" s="1078"/>
      <c r="BE126" s="255"/>
      <c r="BF126" s="486"/>
      <c r="BG126" s="253"/>
      <c r="BH126" s="427"/>
      <c r="BI126" s="711"/>
      <c r="BJ126" s="710"/>
      <c r="BK126" s="711"/>
      <c r="BL126" s="465"/>
      <c r="BM126" s="711"/>
      <c r="BN126" s="716"/>
      <c r="BO126" s="711"/>
      <c r="BP126" s="716"/>
      <c r="BQ126" s="711"/>
      <c r="BR126" s="716"/>
      <c r="BS126" s="711"/>
      <c r="BT126" s="716"/>
      <c r="BU126" s="711"/>
      <c r="BV126" s="716"/>
      <c r="BW126" s="255"/>
      <c r="BX126" s="486"/>
      <c r="BY126" s="1089"/>
      <c r="BZ126" s="318"/>
      <c r="CA126" s="711"/>
      <c r="CB126" s="710"/>
      <c r="CC126" s="711"/>
      <c r="CD126" s="710"/>
      <c r="CE126" s="711"/>
      <c r="CF126" s="710"/>
      <c r="CG126" s="711"/>
      <c r="CH126" s="710"/>
      <c r="CI126" s="711"/>
      <c r="CJ126" s="710"/>
      <c r="CK126" s="711"/>
      <c r="CL126" s="710"/>
      <c r="CM126" s="711"/>
      <c r="CN126" s="710"/>
      <c r="CO126" s="258"/>
      <c r="CP126" s="258"/>
      <c r="CQ126" s="1087"/>
      <c r="CR126" s="1087"/>
      <c r="CS126" s="842"/>
      <c r="CT126" s="875"/>
      <c r="CU126" s="842"/>
      <c r="CV126" s="875"/>
      <c r="CW126" s="875"/>
      <c r="CX126" s="875"/>
      <c r="CY126" s="875"/>
      <c r="CZ126" s="875"/>
      <c r="DA126" s="875"/>
      <c r="DB126" s="875"/>
      <c r="DC126" s="875"/>
      <c r="DD126" s="875"/>
      <c r="DE126" s="875"/>
      <c r="DF126" s="875"/>
      <c r="DG126" s="326"/>
      <c r="DH126" s="876"/>
      <c r="DI126" s="327"/>
      <c r="DJ126" s="329"/>
      <c r="DK126" s="875"/>
      <c r="DL126" s="875"/>
    </row>
    <row r="127" hidden="1">
      <c r="A127" s="673"/>
      <c r="B127" s="804" t="s">
        <v>47</v>
      </c>
      <c r="C127" s="217"/>
      <c r="D127" s="217"/>
      <c r="E127" s="1134"/>
      <c r="F127" s="1136">
        <f>F125/F122</f>
        <v>0.5</v>
      </c>
      <c r="G127" s="400">
        <f>SUMIFS(O127:DJ127,$O$11:$DJ$11,"Факт",$O$3:$DJ$3,"&gt;"&amp;EOMONTH('Май'!date,-1),$O$3:$DJ$3,"&lt;="&amp;EOMONTH('Май'!date,0))</f>
        <v>0</v>
      </c>
      <c r="H127" s="384"/>
      <c r="I127" s="1135"/>
      <c r="J127" s="1119"/>
      <c r="K127" s="282"/>
      <c r="L127" s="931"/>
      <c r="M127" s="929"/>
      <c r="N127" s="776"/>
      <c r="O127" s="929"/>
      <c r="P127" s="776"/>
      <c r="Q127" s="929"/>
      <c r="R127" s="773"/>
      <c r="S127" s="1129"/>
      <c r="T127" s="1083"/>
      <c r="U127" s="349"/>
      <c r="V127" s="464"/>
      <c r="W127" s="376"/>
      <c r="X127" s="377"/>
      <c r="Y127" s="261"/>
      <c r="Z127" s="1067"/>
      <c r="AA127" s="261"/>
      <c r="AB127" s="1067"/>
      <c r="AC127" s="261"/>
      <c r="AD127" s="1067"/>
      <c r="AE127" s="261"/>
      <c r="AF127" s="1067"/>
      <c r="AG127" s="261"/>
      <c r="AH127" s="1067"/>
      <c r="AI127" s="261"/>
      <c r="AJ127" s="1068"/>
      <c r="AK127" s="261"/>
      <c r="AL127" s="1069"/>
      <c r="AM127" s="349"/>
      <c r="AN127" s="464"/>
      <c r="AO127" s="279"/>
      <c r="AP127" s="462"/>
      <c r="AQ127" s="256"/>
      <c r="AR127" s="463"/>
      <c r="AS127" s="256"/>
      <c r="AT127" s="463"/>
      <c r="AU127" s="256"/>
      <c r="AV127" s="776"/>
      <c r="AW127" s="256"/>
      <c r="AX127" s="776"/>
      <c r="AY127" s="256"/>
      <c r="AZ127" s="776"/>
      <c r="BA127" s="256"/>
      <c r="BB127" s="776"/>
      <c r="BC127" s="256"/>
      <c r="BD127" s="1083"/>
      <c r="BE127" s="349"/>
      <c r="BF127" s="464"/>
      <c r="BG127" s="279"/>
      <c r="BH127" s="462"/>
      <c r="BI127" s="256"/>
      <c r="BJ127" s="466"/>
      <c r="BK127" s="256"/>
      <c r="BL127" s="465"/>
      <c r="BM127" s="256"/>
      <c r="BN127" s="465"/>
      <c r="BO127" s="256"/>
      <c r="BP127" s="465"/>
      <c r="BQ127" s="256"/>
      <c r="BR127" s="465"/>
      <c r="BS127" s="256"/>
      <c r="BT127" s="465"/>
      <c r="BU127" s="256"/>
      <c r="BV127" s="465"/>
      <c r="BW127" s="349"/>
      <c r="BX127" s="464"/>
      <c r="BY127" s="838"/>
      <c r="BZ127" s="334"/>
      <c r="CA127" s="256"/>
      <c r="CB127" s="466"/>
      <c r="CC127" s="256"/>
      <c r="CD127" s="466"/>
      <c r="CE127" s="256"/>
      <c r="CF127" s="466"/>
      <c r="CG127" s="256"/>
      <c r="CH127" s="466"/>
      <c r="CI127" s="256"/>
      <c r="CJ127" s="466"/>
      <c r="CK127" s="256"/>
      <c r="CL127" s="466"/>
      <c r="CM127" s="256"/>
      <c r="CN127" s="466"/>
      <c r="CO127" s="733"/>
      <c r="CP127" s="733"/>
      <c r="CQ127" s="840"/>
      <c r="CR127" s="840"/>
      <c r="CS127" s="842"/>
      <c r="CT127" s="843"/>
      <c r="CU127" s="842"/>
      <c r="CV127" s="843"/>
      <c r="CW127" s="843"/>
      <c r="CX127" s="843"/>
      <c r="CY127" s="843"/>
      <c r="CZ127" s="843"/>
      <c r="DA127" s="843"/>
      <c r="DB127" s="843"/>
      <c r="DC127" s="843"/>
      <c r="DD127" s="843"/>
      <c r="DE127" s="843"/>
      <c r="DF127" s="843"/>
      <c r="DG127" s="289"/>
      <c r="DH127" s="844"/>
      <c r="DI127" s="310"/>
      <c r="DJ127" s="339"/>
      <c r="DK127" s="843"/>
      <c r="DL127" s="843"/>
    </row>
    <row r="128" hidden="1">
      <c r="A128" s="1137"/>
      <c r="B128" s="813" t="s">
        <v>27</v>
      </c>
      <c r="C128" s="814"/>
      <c r="D128" s="814"/>
      <c r="E128" s="1138"/>
      <c r="F128" s="1139">
        <f>F117/F125</f>
        <v>100000</v>
      </c>
      <c r="G128" s="817">
        <f>SUMIFS(O128:DJ128,$O$11:$DJ$11,"Факт",$O$3:$DJ$3,"&gt;"&amp;EOMONTH('Май'!date,-1),$O$3:$DJ$3,"&lt;="&amp;EOMONTH('Май'!date,0))</f>
        <v>0</v>
      </c>
      <c r="H128" s="1140"/>
      <c r="I128" s="1141"/>
      <c r="J128" s="1119"/>
      <c r="K128" s="1142"/>
      <c r="L128" s="972"/>
      <c r="M128" s="1096"/>
      <c r="N128" s="865"/>
      <c r="O128" s="1144"/>
      <c r="P128" s="849"/>
      <c r="Q128" s="1144"/>
      <c r="R128" s="820"/>
      <c r="S128" s="1145"/>
      <c r="T128" s="1146"/>
      <c r="U128" s="1049"/>
      <c r="V128" s="855"/>
      <c r="W128" s="1147"/>
      <c r="X128" s="1148"/>
      <c r="Y128" s="1149"/>
      <c r="Z128" s="1150"/>
      <c r="AA128" s="1149"/>
      <c r="AB128" s="1150"/>
      <c r="AC128" s="1149"/>
      <c r="AD128" s="1150"/>
      <c r="AE128" s="1149"/>
      <c r="AF128" s="1150"/>
      <c r="AG128" s="1149"/>
      <c r="AH128" s="1150"/>
      <c r="AI128" s="1149"/>
      <c r="AJ128" s="1151"/>
      <c r="AK128" s="1149"/>
      <c r="AL128" s="1152"/>
      <c r="AM128" s="1049"/>
      <c r="AN128" s="855"/>
      <c r="AO128" s="1051"/>
      <c r="AP128" s="1052"/>
      <c r="AQ128" s="1153"/>
      <c r="AR128" s="864"/>
      <c r="AS128" s="1153"/>
      <c r="AT128" s="864"/>
      <c r="AU128" s="1153"/>
      <c r="AV128" s="865"/>
      <c r="AW128" s="1153"/>
      <c r="AX128" s="865"/>
      <c r="AY128" s="1153"/>
      <c r="AZ128" s="865"/>
      <c r="BA128" s="1153"/>
      <c r="BB128" s="865"/>
      <c r="BC128" s="1153"/>
      <c r="BD128" s="1154"/>
      <c r="BE128" s="1049"/>
      <c r="BF128" s="855"/>
      <c r="BG128" s="1051"/>
      <c r="BH128" s="1052"/>
      <c r="BI128" s="1153"/>
      <c r="BJ128" s="866"/>
      <c r="BK128" s="1153"/>
      <c r="BL128" s="867"/>
      <c r="BM128" s="1153"/>
      <c r="BN128" s="868"/>
      <c r="BO128" s="1153"/>
      <c r="BP128" s="868"/>
      <c r="BQ128" s="1153"/>
      <c r="BR128" s="868"/>
      <c r="BS128" s="1153"/>
      <c r="BT128" s="868"/>
      <c r="BU128" s="1153"/>
      <c r="BV128" s="868"/>
      <c r="BW128" s="861"/>
      <c r="BX128" s="862"/>
      <c r="BY128" s="869"/>
      <c r="BZ128" s="366"/>
      <c r="CA128" s="1153"/>
      <c r="CB128" s="866"/>
      <c r="CC128" s="1153"/>
      <c r="CD128" s="866"/>
      <c r="CE128" s="1153"/>
      <c r="CF128" s="866"/>
      <c r="CG128" s="1153"/>
      <c r="CH128" s="866"/>
      <c r="CI128" s="1153"/>
      <c r="CJ128" s="866"/>
      <c r="CK128" s="1153"/>
      <c r="CL128" s="866"/>
      <c r="CM128" s="1153"/>
      <c r="CN128" s="866"/>
      <c r="CO128" s="1155"/>
      <c r="CP128" s="1155"/>
      <c r="CQ128" s="1156"/>
      <c r="CR128" s="1156"/>
      <c r="CS128" s="842"/>
      <c r="CT128" s="875"/>
      <c r="CU128" s="842"/>
      <c r="CV128" s="875"/>
      <c r="CW128" s="875"/>
      <c r="CX128" s="875"/>
      <c r="CY128" s="875"/>
      <c r="CZ128" s="875"/>
      <c r="DA128" s="875"/>
      <c r="DB128" s="875"/>
      <c r="DC128" s="875"/>
      <c r="DD128" s="875"/>
      <c r="DE128" s="875"/>
      <c r="DF128" s="875"/>
      <c r="DG128" s="326"/>
      <c r="DH128" s="876"/>
      <c r="DI128" s="327"/>
      <c r="DJ128" s="329"/>
      <c r="DK128" s="875"/>
      <c r="DL128" s="875"/>
    </row>
    <row r="129">
      <c r="A129" s="1157" t="s">
        <v>70</v>
      </c>
      <c r="B129" s="1158" t="s">
        <v>20</v>
      </c>
      <c r="C129" s="879"/>
      <c r="D129" s="879"/>
      <c r="E129" s="880"/>
      <c r="F129" s="894">
        <f t="shared" ref="F129:G129" si="289">F130/F139</f>
        <v>0.74025</v>
      </c>
      <c r="G129" s="894" t="str">
        <f t="shared" si="289"/>
        <v>#DIV/0!</v>
      </c>
      <c r="H129" s="882" t="str">
        <f t="shared" ref="H129:H133" si="291">IFERROR(G129/F129,"")</f>
        <v/>
      </c>
      <c r="I129" s="895" t="str">
        <f>IFERROR(__xludf.DUMMYFUNCTION("IFERROR(SPARKLINE(H129,{""charttype"",""bar"";""color1"",IF(H129&gt;='Май'!green_percent,'Май'!green,IF(H129&gt;='Май'!yellow_percent,'Май'!yellow,IF(H129&gt;='Май'!orange_percent,'Май'!orange,'Май'!red)));""max"",1}))"),"")</f>
        <v/>
      </c>
      <c r="J129" s="1159"/>
      <c r="K129" s="1160"/>
      <c r="L129" s="1160"/>
      <c r="M129" s="1160"/>
      <c r="N129" s="888"/>
      <c r="O129" s="1160">
        <f t="shared" ref="O129:V129" si="290">O130/O139</f>
        <v>0.7163709677</v>
      </c>
      <c r="P129" s="1161" t="str">
        <f t="shared" si="290"/>
        <v>#DIV/0!</v>
      </c>
      <c r="Q129" s="1160">
        <f t="shared" si="290"/>
        <v>0.7163709677</v>
      </c>
      <c r="R129" s="1161" t="str">
        <f t="shared" si="290"/>
        <v>#DIV/0!</v>
      </c>
      <c r="S129" s="1160">
        <f t="shared" si="290"/>
        <v>0.7163709677</v>
      </c>
      <c r="T129" s="1161" t="str">
        <f t="shared" si="290"/>
        <v>#DIV/0!</v>
      </c>
      <c r="U129" s="893">
        <f t="shared" si="290"/>
        <v>0.7163709677</v>
      </c>
      <c r="V129" s="881" t="str">
        <f t="shared" si="290"/>
        <v>#DIV/0!</v>
      </c>
      <c r="W129" s="894" t="str">
        <f t="shared" ref="W129:W141" si="293">IFERROR(V129/U129,"")</f>
        <v/>
      </c>
      <c r="X129" s="895" t="str">
        <f>IFERROR(__xludf.DUMMYFUNCTION("IFERROR(SPARKLINE(W129,{""charttype"",""bar"";""color1"",IF(W129&gt;='Май'!green_percent,'Май'!green,IF(W129&gt;='Май'!yellow_percent,'Май'!yellow,IF(W129&gt;='Май'!orange_percent,'Май'!orange,'Май'!red)));""max"",1}))"),"")</f>
        <v/>
      </c>
      <c r="Y129" s="1160">
        <f>Y130/Y139</f>
        <v>0.7163709677</v>
      </c>
      <c r="Z129" s="1000"/>
      <c r="AA129" s="1160">
        <f>AA130/AA139</f>
        <v>0.7163709677</v>
      </c>
      <c r="AB129" s="1000"/>
      <c r="AC129" s="1160">
        <f>AC130/AC139</f>
        <v>0.7163709677</v>
      </c>
      <c r="AD129" s="1000"/>
      <c r="AE129" s="1160">
        <f>AE130/AE139</f>
        <v>0.7163709677</v>
      </c>
      <c r="AF129" s="1000"/>
      <c r="AG129" s="1160">
        <f>AG130/AG139</f>
        <v>0.7163709677</v>
      </c>
      <c r="AH129" s="1000"/>
      <c r="AI129" s="1160">
        <f>AI130/AI139</f>
        <v>0.7163709677</v>
      </c>
      <c r="AJ129" s="1001"/>
      <c r="AK129" s="1160">
        <f>AK130/AK139</f>
        <v>0.7163709677</v>
      </c>
      <c r="AL129" s="1163"/>
      <c r="AM129" s="1164">
        <f>AM130/AM139</f>
        <v>0.74025</v>
      </c>
      <c r="AN129" s="1071"/>
      <c r="AO129" s="894">
        <f t="shared" ref="AO129:AO141" si="294">IFERROR(AN129/AM129,"")</f>
        <v>0</v>
      </c>
      <c r="AP129" s="895" t="str">
        <f>IFERROR(__xludf.DUMMYFUNCTION("IFERROR(SPARKLINE(AO129,{""charttype"",""bar"";""color1"",IF(AO129&gt;='Май'!green_percent,'Май'!green,IF(AO129&gt;='Май'!yellow_percent,'Май'!yellow,IF(AO129&gt;='Май'!orange_percent,'Май'!orange,'Май'!red)));""max"",1}))"),"")</f>
        <v/>
      </c>
      <c r="AQ129" s="1160">
        <f>AQ130/AQ139</f>
        <v>0.7163709677</v>
      </c>
      <c r="AR129" s="900"/>
      <c r="AS129" s="1160">
        <f>AS130/AS139</f>
        <v>0.7163709677</v>
      </c>
      <c r="AT129" s="900"/>
      <c r="AU129" s="1160">
        <f>AU130/AU139</f>
        <v>0.7163709677</v>
      </c>
      <c r="AV129" s="901"/>
      <c r="AW129" s="1160">
        <f>AW130/AW139</f>
        <v>0.7163709677</v>
      </c>
      <c r="AX129" s="890"/>
      <c r="AY129" s="1160">
        <f>AY130/AY139</f>
        <v>0.7163709677</v>
      </c>
      <c r="AZ129" s="890"/>
      <c r="BA129" s="1160">
        <f>BA130/BA139</f>
        <v>0.7163709677</v>
      </c>
      <c r="BB129" s="890"/>
      <c r="BC129" s="1160">
        <f>BC130/BC139</f>
        <v>0.7163709677</v>
      </c>
      <c r="BD129" s="1074"/>
      <c r="BE129" s="1160">
        <f>BE130/BE139</f>
        <v>0.7163709677</v>
      </c>
      <c r="BF129" s="1071"/>
      <c r="BG129" s="894">
        <f t="shared" ref="BG129:BG141" si="296">IFERROR(BF129/BE129,"")</f>
        <v>0</v>
      </c>
      <c r="BH129" s="895" t="str">
        <f>IFERROR(__xludf.DUMMYFUNCTION("IFERROR(SPARKLINE(BG129,{""charttype"",""bar"";""color1"",IF(BG129&gt;='Май'!green_percent,'Май'!green,IF(BG129&gt;='Май'!yellow_percent,'Май'!yellow,IF(BG129&gt;='Май'!orange_percent,'Май'!orange,'Май'!red)));""max"",1}))"),"")</f>
        <v/>
      </c>
      <c r="BI129" s="1643">
        <f>BI130/BI139</f>
        <v>0.7163709677</v>
      </c>
      <c r="BJ129" s="1166"/>
      <c r="BK129" s="1160">
        <f>BK130/BK139</f>
        <v>0.7163709677</v>
      </c>
      <c r="BL129" s="1009"/>
      <c r="BM129" s="1160">
        <f>BM130/BM139</f>
        <v>0.7163709677</v>
      </c>
      <c r="BN129" s="1009"/>
      <c r="BO129" s="1160">
        <f>BO130/BO139</f>
        <v>0.7163709677</v>
      </c>
      <c r="BP129" s="1009"/>
      <c r="BQ129" s="1160">
        <f>BQ130/BQ139</f>
        <v>0.7163709677</v>
      </c>
      <c r="BR129" s="1009"/>
      <c r="BS129" s="1160">
        <f>BS130/BS139</f>
        <v>0.7163709677</v>
      </c>
      <c r="BT129" s="1009"/>
      <c r="BU129" s="1160">
        <f>BU130/BU139</f>
        <v>0.7163709677</v>
      </c>
      <c r="BV129" s="1009"/>
      <c r="BW129" s="1160">
        <f>BW130/BW139</f>
        <v>0.7163709677</v>
      </c>
      <c r="BX129" s="1071"/>
      <c r="BY129" s="1167">
        <f t="shared" ref="BY129:BY141" si="298">IFERROR(BX129/BW129,"")</f>
        <v>0</v>
      </c>
      <c r="BZ129" s="883" t="str">
        <f>IFERROR(__xludf.DUMMYFUNCTION("IFERROR(SPARKLINE(BY129,{""charttype"",""bar"";""color1"",IF(BY129&gt;='Май'!green_percent,'Май'!green,IF(BY129&gt;='Май'!yellow_percent,'Май'!yellow,IF(BY129&gt;='Май'!orange_percent,'Май'!orange,'Май'!red)));""max"",1}))"),"")</f>
        <v/>
      </c>
      <c r="CA129" s="1160">
        <f>CA130/CA139</f>
        <v>0.7163709677</v>
      </c>
      <c r="CB129" s="1166"/>
      <c r="CC129" s="1160">
        <f>CC130/CC139</f>
        <v>0.7163709677</v>
      </c>
      <c r="CD129" s="1166"/>
      <c r="CE129" s="1160">
        <f>CE130/CE139</f>
        <v>0.7163709677</v>
      </c>
      <c r="CF129" s="1166"/>
      <c r="CG129" s="1160">
        <f>CG130/CG139</f>
        <v>0.7163709677</v>
      </c>
      <c r="CH129" s="1166"/>
      <c r="CI129" s="1160">
        <f>CI130/CI139</f>
        <v>0.7163709677</v>
      </c>
      <c r="CJ129" s="1166"/>
      <c r="CK129" s="1160">
        <f>CK130/CK139</f>
        <v>0.7163709677</v>
      </c>
      <c r="CL129" s="1166"/>
      <c r="CM129" s="1160">
        <f>CM130/CM139</f>
        <v>0.7163709677</v>
      </c>
      <c r="CN129" s="1166"/>
      <c r="CO129" s="1160">
        <f>CO130/CO139</f>
        <v>1.635016</v>
      </c>
      <c r="CP129" s="1169"/>
      <c r="CQ129" s="1170">
        <f t="shared" ref="CQ129:CQ141" si="299">IFERROR(CP129/CO129,"")</f>
        <v>0</v>
      </c>
      <c r="CR129" s="1171" t="str">
        <f>IFERROR(__xludf.DUMMYFUNCTION("IFERROR(SPARKLINE(CQ129,{""charttype"",""bar"";""color1"",IF(CQ129&gt;='Май'!green_percent,'Май'!green,IF(CQ129&gt;='Май'!yellow_percent,'Май'!yellow,IF(CQ129&gt;='Май'!orange_percent,'Май'!orange,'Май'!red)));""max"",1}))"),"")</f>
        <v/>
      </c>
      <c r="CS129" s="842"/>
      <c r="CT129" s="843"/>
      <c r="CU129" s="842"/>
      <c r="CV129" s="843"/>
      <c r="CW129" s="843"/>
      <c r="CX129" s="843"/>
      <c r="CY129" s="843"/>
      <c r="CZ129" s="843"/>
      <c r="DA129" s="843"/>
      <c r="DB129" s="843"/>
      <c r="DC129" s="843"/>
      <c r="DD129" s="843"/>
      <c r="DE129" s="843"/>
      <c r="DF129" s="843"/>
      <c r="DG129" s="289"/>
      <c r="DH129" s="844"/>
      <c r="DI129" s="310"/>
      <c r="DJ129" s="339"/>
      <c r="DK129" s="843"/>
      <c r="DL129" s="843"/>
    </row>
    <row r="130">
      <c r="A130" s="912"/>
      <c r="B130" s="937" t="s">
        <v>71</v>
      </c>
      <c r="C130" s="242"/>
      <c r="D130" s="242"/>
      <c r="E130" s="243"/>
      <c r="F130" s="581">
        <v>740250.0</v>
      </c>
      <c r="G130" s="581">
        <f>SUMIFS(O130:DJ130,$O$11:$DJ$11,"Факт",$O$3:$DJ$3,"&gt;"&amp;EOMONTH('Май'!date,-1),$O$3:$DJ$3,"&lt;="&amp;EOMONTH('Май'!date,0))</f>
        <v>659556</v>
      </c>
      <c r="H130" s="704">
        <f t="shared" si="291"/>
        <v>0.8909908815</v>
      </c>
      <c r="I130" s="413" t="str">
        <f>IFERROR(__xludf.DUMMYFUNCTION("IFERROR(SPARKLINE(H130,{""charttype"",""bar"";""color1"",IF(H130&gt;='Май'!green_percent,'Май'!green,IF(H130&gt;='Май'!yellow_percent,'Май'!yellow,IF(H130&gt;='Май'!orange_percent,'Май'!orange,'Май'!red)));""max"",1}))"),"")</f>
        <v/>
      </c>
      <c r="J130" s="1172"/>
      <c r="K130" s="497"/>
      <c r="L130" s="786"/>
      <c r="M130" s="497"/>
      <c r="N130" s="753"/>
      <c r="O130" s="497">
        <f>F130/31</f>
        <v>23879.03226</v>
      </c>
      <c r="P130" s="786">
        <v>21276.0</v>
      </c>
      <c r="Q130" s="497">
        <f>F130/31</f>
        <v>23879.03226</v>
      </c>
      <c r="R130" s="786">
        <v>21276.0</v>
      </c>
      <c r="S130" s="497">
        <f>F130/31</f>
        <v>23879.03226</v>
      </c>
      <c r="T130" s="786">
        <v>21276.0</v>
      </c>
      <c r="U130" s="591">
        <f t="shared" ref="U130:V130" si="292">O130+Q130+S130</f>
        <v>71637.09677</v>
      </c>
      <c r="V130" s="592">
        <f t="shared" si="292"/>
        <v>63828</v>
      </c>
      <c r="W130" s="245">
        <f t="shared" si="293"/>
        <v>0.8909908815</v>
      </c>
      <c r="X130" s="920" t="str">
        <f>IFERROR(__xludf.DUMMYFUNCTION("IFERROR(SPARKLINE(W130,{""charttype"",""bar"";""color1"",IF(W130&gt;='Май'!green_percent,'Май'!green,IF(W130&gt;='Май'!yellow_percent,'Май'!yellow,IF(W130&gt;='Май'!orange_percent,'Май'!orange,'Май'!red)));""max"",1}))"),"")</f>
        <v/>
      </c>
      <c r="Y130" s="425">
        <v>23879.032258064515</v>
      </c>
      <c r="Z130" s="786">
        <v>21276.0</v>
      </c>
      <c r="AA130" s="425">
        <v>23879.032258064515</v>
      </c>
      <c r="AB130" s="786">
        <v>21276.0</v>
      </c>
      <c r="AC130" s="425">
        <v>23879.032258064515</v>
      </c>
      <c r="AD130" s="786">
        <v>21276.0</v>
      </c>
      <c r="AE130" s="425">
        <v>23879.032258064515</v>
      </c>
      <c r="AF130" s="786">
        <v>21276.0</v>
      </c>
      <c r="AG130" s="425">
        <v>23879.032258064515</v>
      </c>
      <c r="AH130" s="786">
        <v>21276.0</v>
      </c>
      <c r="AI130" s="425">
        <v>23879.032258064515</v>
      </c>
      <c r="AJ130" s="786">
        <v>21276.0</v>
      </c>
      <c r="AK130" s="425">
        <v>23879.032258064515</v>
      </c>
      <c r="AL130" s="786">
        <v>21276.0</v>
      </c>
      <c r="AM130" s="423">
        <f t="shared" ref="AM130:AM131" si="301">F130/30*7</f>
        <v>172725</v>
      </c>
      <c r="AN130" s="428">
        <f t="shared" ref="AN130:AN131" si="302">Z130+AB130+AD130+AF130+AH130+AJ130+AL130</f>
        <v>148932</v>
      </c>
      <c r="AO130" s="245">
        <f t="shared" si="294"/>
        <v>0.8622492401</v>
      </c>
      <c r="AP130" s="920" t="str">
        <f>IFERROR(__xludf.DUMMYFUNCTION("IFERROR(SPARKLINE(AO130,{""charttype"",""bar"";""color1"",IF(AO130&gt;='Май'!green_percent,'Май'!green,IF(AO130&gt;='Май'!yellow_percent,'Май'!yellow,IF(AO130&gt;='Май'!orange_percent,'Май'!orange,'Май'!red)));""max"",1}))"),"")</f>
        <v/>
      </c>
      <c r="AQ130" s="1174">
        <v>23879.032258064515</v>
      </c>
      <c r="AR130" s="786">
        <v>21276.0</v>
      </c>
      <c r="AS130" s="425">
        <v>23879.032258064515</v>
      </c>
      <c r="AT130" s="1630">
        <v>21276.0</v>
      </c>
      <c r="AU130" s="425">
        <v>23879.032258064515</v>
      </c>
      <c r="AV130" s="1630">
        <v>21276.0</v>
      </c>
      <c r="AW130" s="425">
        <v>23879.032258064515</v>
      </c>
      <c r="AX130" s="786">
        <v>21276.0</v>
      </c>
      <c r="AY130" s="425">
        <v>23879.032258064515</v>
      </c>
      <c r="AZ130" s="786">
        <v>21276.0</v>
      </c>
      <c r="BA130" s="425">
        <v>23879.032258064515</v>
      </c>
      <c r="BB130" s="786">
        <v>21276.0</v>
      </c>
      <c r="BC130" s="425">
        <v>23879.032258064515</v>
      </c>
      <c r="BD130" s="422">
        <v>21276.0</v>
      </c>
      <c r="BE130" s="423">
        <f t="shared" ref="BE130:BF130" si="295">AQ130+AS130+AU130+AW130+AY130+BA130+BC130</f>
        <v>167153.2258</v>
      </c>
      <c r="BF130" s="428">
        <f t="shared" si="295"/>
        <v>148932</v>
      </c>
      <c r="BG130" s="245">
        <f t="shared" si="296"/>
        <v>0.8909908815</v>
      </c>
      <c r="BH130" s="920" t="str">
        <f>IFERROR(__xludf.DUMMYFUNCTION("IFERROR(SPARKLINE(BG130,{""charttype"",""bar"";""color1"",IF(BG130&gt;='Май'!green_percent,'Май'!green,IF(BG130&gt;='Май'!yellow_percent,'Май'!yellow,IF(BG130&gt;='Май'!orange_percent,'Май'!orange,'Май'!red)));""max"",1}))"),"")</f>
        <v/>
      </c>
      <c r="BI130" s="1174">
        <v>23879.032258064515</v>
      </c>
      <c r="BJ130" s="739">
        <v>21276.0</v>
      </c>
      <c r="BK130" s="425">
        <v>23879.032258064515</v>
      </c>
      <c r="BL130" s="739">
        <v>21276.0</v>
      </c>
      <c r="BM130" s="425">
        <v>23879.032258064515</v>
      </c>
      <c r="BN130" s="739">
        <v>21276.0</v>
      </c>
      <c r="BO130" s="425">
        <v>23879.032258064515</v>
      </c>
      <c r="BP130" s="739">
        <v>21276.0</v>
      </c>
      <c r="BQ130" s="425">
        <v>23879.032258064515</v>
      </c>
      <c r="BR130" s="739">
        <v>21276.0</v>
      </c>
      <c r="BS130" s="425">
        <v>23879.032258064515</v>
      </c>
      <c r="BT130" s="739">
        <v>21276.0</v>
      </c>
      <c r="BU130" s="425">
        <v>23879.032258064515</v>
      </c>
      <c r="BV130" s="739">
        <v>21276.0</v>
      </c>
      <c r="BW130" s="423">
        <f t="shared" ref="BW130:BX130" si="297">BI130+BK130+BM130+BO130+BQ130+BS130+BU130</f>
        <v>167153.2258</v>
      </c>
      <c r="BX130" s="428">
        <f t="shared" si="297"/>
        <v>148932</v>
      </c>
      <c r="BY130" s="1177">
        <f t="shared" si="298"/>
        <v>0.8909908815</v>
      </c>
      <c r="BZ130" s="318" t="str">
        <f>IFERROR(__xludf.DUMMYFUNCTION("IFERROR(SPARKLINE(BY130,{""charttype"",""bar"";""color1"",IF(BY130&gt;='Май'!green_percent,'Май'!green,IF(BY130&gt;='Май'!yellow_percent,'Май'!yellow,IF(BY130&gt;='Май'!orange_percent,'Май'!orange,'Май'!red)));""max"",1}))"),"")</f>
        <v/>
      </c>
      <c r="CA130" s="425">
        <v>23879.032258064515</v>
      </c>
      <c r="CB130" s="1630">
        <v>21276.0</v>
      </c>
      <c r="CC130" s="425">
        <v>23879.032258064515</v>
      </c>
      <c r="CD130" s="1630">
        <v>21276.0</v>
      </c>
      <c r="CE130" s="425">
        <v>23879.032258064515</v>
      </c>
      <c r="CF130" s="1630">
        <v>21276.0</v>
      </c>
      <c r="CG130" s="425">
        <v>23879.032258064515</v>
      </c>
      <c r="CH130" s="1630">
        <v>21276.0</v>
      </c>
      <c r="CI130" s="425">
        <v>23879.032258064515</v>
      </c>
      <c r="CJ130" s="1630">
        <v>21276.0</v>
      </c>
      <c r="CK130" s="425">
        <v>23879.032258064515</v>
      </c>
      <c r="CL130" s="1630">
        <v>21276.0</v>
      </c>
      <c r="CM130" s="425">
        <v>23879.032258064515</v>
      </c>
      <c r="CN130" s="1630">
        <v>21276.0</v>
      </c>
      <c r="CO130" s="436">
        <v>381503.73333333334</v>
      </c>
      <c r="CP130" s="437">
        <f t="shared" ref="CP130:CP131" si="303">CB130+CD130+CF130+CH130+CJ130+CL130+CN130</f>
        <v>148932</v>
      </c>
      <c r="CQ130" s="1087">
        <f t="shared" si="299"/>
        <v>0.3903815009</v>
      </c>
      <c r="CR130" s="1088" t="str">
        <f>IFERROR(__xludf.DUMMYFUNCTION("IFERROR(SPARKLINE(CQ130,{""charttype"",""bar"";""color1"",IF(CQ130&gt;='Май'!green_percent,'Май'!green,IF(CQ130&gt;='Май'!yellow_percent,'Май'!yellow,IF(CQ130&gt;='Май'!orange_percent,'Май'!orange,'Май'!red)));""max"",1}))"),"")</f>
        <v/>
      </c>
      <c r="CS130" s="842"/>
      <c r="CT130" s="875"/>
      <c r="CU130" s="842"/>
      <c r="CV130" s="875"/>
      <c r="CW130" s="875"/>
      <c r="CX130" s="875"/>
      <c r="CY130" s="875"/>
      <c r="CZ130" s="875"/>
      <c r="DA130" s="875"/>
      <c r="DB130" s="875"/>
      <c r="DC130" s="875"/>
      <c r="DD130" s="875"/>
      <c r="DE130" s="875"/>
      <c r="DF130" s="875"/>
      <c r="DG130" s="326"/>
      <c r="DH130" s="876"/>
      <c r="DI130" s="327"/>
      <c r="DJ130" s="329"/>
      <c r="DK130" s="875"/>
      <c r="DL130" s="875"/>
    </row>
    <row r="131">
      <c r="A131" s="927"/>
      <c r="B131" s="934" t="s">
        <v>72</v>
      </c>
      <c r="C131" s="217"/>
      <c r="D131" s="217"/>
      <c r="E131" s="218"/>
      <c r="F131" s="448">
        <v>25.0</v>
      </c>
      <c r="G131" s="400">
        <f>SUMIFS(O131:DJ131,$O$11:$DJ$11,"Факт",$O$3:$DJ$3,"&gt;"&amp;EOMONTH('Май'!date,-1),$O$3:$DJ$3,"&lt;="&amp;EOMONTH('Май'!date,0))</f>
        <v>3</v>
      </c>
      <c r="H131" s="543">
        <f t="shared" si="291"/>
        <v>0.12</v>
      </c>
      <c r="I131" s="449" t="str">
        <f>IFERROR(__xludf.DUMMYFUNCTION("IFERROR(SPARKLINE(H131,{""charttype"",""bar"";""color1"",IF(H131&gt;='Май'!green_percent,'Май'!green,IF(H131&gt;='Май'!yellow_percent,'Май'!yellow,IF(H131&gt;='Май'!orange_percent,'Май'!orange,'Май'!red)));""max"",1}))"),"")</f>
        <v/>
      </c>
      <c r="J131" s="1172"/>
      <c r="K131" s="417"/>
      <c r="L131" s="1024"/>
      <c r="M131" s="417"/>
      <c r="N131" s="799"/>
      <c r="O131" s="417">
        <f>F131/30</f>
        <v>0.8333333333</v>
      </c>
      <c r="P131" s="776">
        <v>0.0</v>
      </c>
      <c r="Q131" s="417">
        <f>F131/30</f>
        <v>0.8333333333</v>
      </c>
      <c r="R131" s="1024">
        <v>0.0</v>
      </c>
      <c r="S131" s="417">
        <f>F131/30</f>
        <v>0.8333333333</v>
      </c>
      <c r="T131" s="1178">
        <v>0.0</v>
      </c>
      <c r="U131" s="460">
        <f t="shared" ref="U131:V131" si="300">O131+Q131+S131</f>
        <v>2.5</v>
      </c>
      <c r="V131" s="464">
        <f t="shared" si="300"/>
        <v>0</v>
      </c>
      <c r="W131" s="220">
        <f t="shared" si="293"/>
        <v>0</v>
      </c>
      <c r="X131" s="449" t="str">
        <f>IFERROR(__xludf.DUMMYFUNCTION("IFERROR(SPARKLINE(W131,{""charttype"",""bar"";""color1"",IF(W131&gt;='Май'!green_percent,'Май'!green,IF(W131&gt;='Май'!yellow_percent,'Май'!yellow,IF(W131&gt;='Май'!orange_percent,'Май'!orange,'Май'!red)));""max"",1}))"),"")</f>
        <v/>
      </c>
      <c r="Y131" s="729">
        <v>0.8333333333333334</v>
      </c>
      <c r="Z131" s="459">
        <v>0.0</v>
      </c>
      <c r="AA131" s="729">
        <v>0.8333333333333334</v>
      </c>
      <c r="AB131" s="459">
        <v>2.0</v>
      </c>
      <c r="AC131" s="729">
        <v>0.8333333333333334</v>
      </c>
      <c r="AD131" s="459">
        <v>0.0</v>
      </c>
      <c r="AE131" s="729">
        <v>0.8333333333333334</v>
      </c>
      <c r="AF131" s="459">
        <v>1.0</v>
      </c>
      <c r="AG131" s="729">
        <v>0.8333333333333334</v>
      </c>
      <c r="AH131" s="459">
        <v>0.0</v>
      </c>
      <c r="AI131" s="729">
        <v>0.8333333333333334</v>
      </c>
      <c r="AJ131" s="1179">
        <v>0.0</v>
      </c>
      <c r="AK131" s="729">
        <v>0.8333333333333334</v>
      </c>
      <c r="AL131" s="455">
        <v>0.0</v>
      </c>
      <c r="AM131" s="460">
        <f t="shared" si="301"/>
        <v>5.833333333</v>
      </c>
      <c r="AN131" s="464">
        <f t="shared" si="302"/>
        <v>3</v>
      </c>
      <c r="AO131" s="220">
        <f t="shared" si="294"/>
        <v>0.5142857143</v>
      </c>
      <c r="AP131" s="449" t="str">
        <f>IFERROR(__xludf.DUMMYFUNCTION("IFERROR(SPARKLINE(AO131,{""charttype"",""bar"";""color1"",IF(AO131&gt;='Май'!green_percent,'Май'!green,IF(AO131&gt;='Май'!yellow_percent,'Май'!yellow,IF(AO131&gt;='Май'!orange_percent,'Май'!orange,'Май'!red)));""max"",1}))"),"")</f>
        <v/>
      </c>
      <c r="AQ131" s="1180">
        <v>0.8333333333333334</v>
      </c>
      <c r="AR131" s="463">
        <v>0.0</v>
      </c>
      <c r="AS131" s="729">
        <v>0.8333333333333334</v>
      </c>
      <c r="AT131" s="463">
        <v>0.0</v>
      </c>
      <c r="AU131" s="729">
        <v>0.8333333333333334</v>
      </c>
      <c r="AV131" s="776">
        <v>0.0</v>
      </c>
      <c r="AW131" s="729">
        <v>0.8333333333333334</v>
      </c>
      <c r="AX131" s="776">
        <v>0.0</v>
      </c>
      <c r="AY131" s="729">
        <v>0.8333333333333334</v>
      </c>
      <c r="AZ131" s="776">
        <v>0.0</v>
      </c>
      <c r="BA131" s="729">
        <v>0.8333333333333334</v>
      </c>
      <c r="BB131" s="776">
        <v>0.0</v>
      </c>
      <c r="BC131" s="729">
        <v>0.8333333333333334</v>
      </c>
      <c r="BD131" s="1083">
        <v>0.0</v>
      </c>
      <c r="BE131" s="460">
        <v>5.833333333333334</v>
      </c>
      <c r="BF131" s="464">
        <f>AR131+AT131+AV131+AX131+AZ131+BB131+BD131</f>
        <v>0</v>
      </c>
      <c r="BG131" s="220">
        <f t="shared" si="296"/>
        <v>0</v>
      </c>
      <c r="BH131" s="449" t="str">
        <f>IFERROR(__xludf.DUMMYFUNCTION("IFERROR(SPARKLINE(BG131,{""charttype"",""bar"";""color1"",IF(BG131&gt;='Май'!green_percent,'Май'!green,IF(BG131&gt;='Май'!yellow_percent,'Май'!yellow,IF(BG131&gt;='Май'!orange_percent,'Май'!orange,'Май'!red)));""max"",1}))"),"")</f>
        <v/>
      </c>
      <c r="BI131" s="1180">
        <v>0.8333333333333334</v>
      </c>
      <c r="BJ131" s="466">
        <v>0.0</v>
      </c>
      <c r="BK131" s="729">
        <v>0.8333333333333334</v>
      </c>
      <c r="BL131" s="465">
        <v>0.0</v>
      </c>
      <c r="BM131" s="729">
        <v>0.8333333333333334</v>
      </c>
      <c r="BN131" s="465">
        <v>0.0</v>
      </c>
      <c r="BO131" s="729">
        <v>0.8333333333333334</v>
      </c>
      <c r="BP131" s="465"/>
      <c r="BQ131" s="729">
        <v>0.8333333333333334</v>
      </c>
      <c r="BR131" s="465"/>
      <c r="BS131" s="729">
        <v>0.8333333333333334</v>
      </c>
      <c r="BT131" s="465">
        <v>0.0</v>
      </c>
      <c r="BU131" s="729">
        <v>0.8333333333333334</v>
      </c>
      <c r="BV131" s="465">
        <v>0.0</v>
      </c>
      <c r="BW131" s="460">
        <v>5.833333333333334</v>
      </c>
      <c r="BX131" s="464">
        <f>BJ131+BL131+BN131+BP131+BR131+BT131+BV131</f>
        <v>0</v>
      </c>
      <c r="BY131" s="1181">
        <f t="shared" si="298"/>
        <v>0</v>
      </c>
      <c r="BZ131" s="334" t="str">
        <f>IFERROR(__xludf.DUMMYFUNCTION("IFERROR(SPARKLINE(BY131,{""charttype"",""bar"";""color1"",IF(BY131&gt;='Май'!green_percent,'Май'!green,IF(BY131&gt;='Май'!yellow_percent,'Май'!yellow,IF(BY131&gt;='Май'!orange_percent,'Май'!orange,'Май'!red)));""max"",1}))"),"")</f>
        <v/>
      </c>
      <c r="CA131" s="729">
        <v>0.8333333333333334</v>
      </c>
      <c r="CB131" s="466">
        <v>0.0</v>
      </c>
      <c r="CC131" s="729">
        <v>0.8333333333333334</v>
      </c>
      <c r="CD131" s="466"/>
      <c r="CE131" s="729">
        <v>0.8333333333333334</v>
      </c>
      <c r="CF131" s="466"/>
      <c r="CG131" s="729">
        <v>0.8333333333333334</v>
      </c>
      <c r="CH131" s="466"/>
      <c r="CI131" s="729">
        <v>0.8333333333333334</v>
      </c>
      <c r="CJ131" s="466"/>
      <c r="CK131" s="729">
        <v>0.8333333333333334</v>
      </c>
      <c r="CL131" s="466"/>
      <c r="CM131" s="729">
        <v>0.8333333333333334</v>
      </c>
      <c r="CN131" s="466"/>
      <c r="CO131" s="1182">
        <v>5.833333333333334</v>
      </c>
      <c r="CP131" s="733">
        <f t="shared" si="303"/>
        <v>0</v>
      </c>
      <c r="CQ131" s="840">
        <f t="shared" si="299"/>
        <v>0</v>
      </c>
      <c r="CR131" s="841" t="str">
        <f>IFERROR(__xludf.DUMMYFUNCTION("IFERROR(SPARKLINE(CQ131,{""charttype"",""bar"";""color1"",IF(CQ131&gt;='Май'!green_percent,'Май'!green,IF(CQ131&gt;='Май'!yellow_percent,'Май'!yellow,IF(CQ131&gt;='Май'!orange_percent,'Май'!orange,'Май'!red)));""max"",1}))"),"")</f>
        <v/>
      </c>
      <c r="CS131" s="842"/>
      <c r="CT131" s="843"/>
      <c r="CU131" s="842"/>
      <c r="CV131" s="843"/>
      <c r="CW131" s="843"/>
      <c r="CX131" s="843"/>
      <c r="CY131" s="843"/>
      <c r="CZ131" s="843"/>
      <c r="DA131" s="843"/>
      <c r="DB131" s="843"/>
      <c r="DC131" s="843"/>
      <c r="DD131" s="843"/>
      <c r="DE131" s="843"/>
      <c r="DF131" s="843"/>
      <c r="DG131" s="289"/>
      <c r="DH131" s="844"/>
      <c r="DI131" s="310"/>
      <c r="DJ131" s="339"/>
      <c r="DK131" s="843"/>
      <c r="DL131" s="843"/>
    </row>
    <row r="132">
      <c r="A132" s="912"/>
      <c r="B132" s="937" t="s">
        <v>22</v>
      </c>
      <c r="C132" s="242"/>
      <c r="D132" s="242"/>
      <c r="E132" s="243"/>
      <c r="F132" s="581">
        <f t="shared" ref="F132:G132" si="304">F130/F131</f>
        <v>29610</v>
      </c>
      <c r="G132" s="581">
        <f t="shared" si="304"/>
        <v>219852</v>
      </c>
      <c r="H132" s="704">
        <f t="shared" si="291"/>
        <v>7.424924012</v>
      </c>
      <c r="I132" s="413" t="str">
        <f>IFERROR(__xludf.DUMMYFUNCTION("IFERROR(SPARKLINE(H132,{""charttype"",""bar"";""color1"",IF(H132&gt;='Май'!green_percent,'Май'!green,IF(H132&gt;='Май'!yellow_percent,'Май'!yellow,IF(H132&gt;='Май'!orange_percent,'Май'!orange,'Май'!red)));""max"",1}))"),"")</f>
        <v/>
      </c>
      <c r="J132" s="1172"/>
      <c r="K132" s="497"/>
      <c r="L132" s="1175"/>
      <c r="M132" s="497"/>
      <c r="N132" s="753"/>
      <c r="O132" s="497">
        <f t="shared" ref="O132:Q132" si="305">O130/O131</f>
        <v>28654.83871</v>
      </c>
      <c r="P132" s="786" t="str">
        <f t="shared" si="305"/>
        <v>#DIV/0!</v>
      </c>
      <c r="Q132" s="1018">
        <f t="shared" si="305"/>
        <v>28654.83871</v>
      </c>
      <c r="R132" s="776"/>
      <c r="S132" s="1018">
        <f>S130/S131</f>
        <v>28654.83871</v>
      </c>
      <c r="T132" s="822"/>
      <c r="U132" s="591">
        <f>F132</f>
        <v>29610</v>
      </c>
      <c r="V132" s="592" t="str">
        <f>P132+R132+T132</f>
        <v>#DIV/0!</v>
      </c>
      <c r="W132" s="412" t="str">
        <f t="shared" si="293"/>
        <v/>
      </c>
      <c r="X132" s="413" t="str">
        <f>IFERROR(__xludf.DUMMYFUNCTION("IFERROR(SPARKLINE(W132,{""charttype"",""bar"";""color1"",IF(W132&gt;='Май'!green_percent,'Май'!green,IF(W132&gt;='Май'!yellow_percent,'Май'!yellow,IF(W132&gt;='Май'!orange_percent,'Май'!orange,'Май'!red)));""max"",1}))"),"")</f>
        <v/>
      </c>
      <c r="Y132" s="425">
        <f t="shared" ref="Y132:AG132" si="306">Y130/Y131</f>
        <v>28654.83871</v>
      </c>
      <c r="Z132" s="1173" t="str">
        <f t="shared" si="306"/>
        <v>#DIV/0!</v>
      </c>
      <c r="AA132" s="425">
        <f t="shared" si="306"/>
        <v>28654.83871</v>
      </c>
      <c r="AB132" s="1173">
        <f t="shared" si="306"/>
        <v>10638</v>
      </c>
      <c r="AC132" s="425">
        <f t="shared" si="306"/>
        <v>28654.83871</v>
      </c>
      <c r="AD132" s="1173" t="str">
        <f t="shared" si="306"/>
        <v>#DIV/0!</v>
      </c>
      <c r="AE132" s="425">
        <f t="shared" si="306"/>
        <v>28654.83871</v>
      </c>
      <c r="AF132" s="1173">
        <f t="shared" si="306"/>
        <v>21276</v>
      </c>
      <c r="AG132" s="425">
        <f t="shared" si="306"/>
        <v>28654.83871</v>
      </c>
      <c r="AH132" s="824"/>
      <c r="AI132" s="425">
        <f>AI130/AI131</f>
        <v>28654.83871</v>
      </c>
      <c r="AJ132" s="825"/>
      <c r="AK132" s="425">
        <f>AK130/AK131</f>
        <v>28654.83871</v>
      </c>
      <c r="AL132" s="455"/>
      <c r="AM132" s="423">
        <f t="shared" ref="AM132:AN132" si="307">AM130/AM131</f>
        <v>29610</v>
      </c>
      <c r="AN132" s="428">
        <f t="shared" si="307"/>
        <v>49644</v>
      </c>
      <c r="AO132" s="412">
        <f t="shared" si="294"/>
        <v>1.676595745</v>
      </c>
      <c r="AP132" s="413" t="str">
        <f>IFERROR(__xludf.DUMMYFUNCTION("IFERROR(SPARKLINE(AO132,{""charttype"",""bar"";""color1"",IF(AO132&gt;='Май'!green_percent,'Май'!green,IF(AO132&gt;='Май'!yellow_percent,'Май'!yellow,IF(AO132&gt;='Май'!orange_percent,'Май'!orange,'Май'!red)));""max"",1}))"),"")</f>
        <v/>
      </c>
      <c r="AQ132" s="1174">
        <f t="shared" ref="AQ132:AS132" si="308">AQ130/AQ131</f>
        <v>28654.83871</v>
      </c>
      <c r="AR132" s="420" t="str">
        <f t="shared" si="308"/>
        <v>#DIV/0!</v>
      </c>
      <c r="AS132" s="425">
        <f t="shared" si="308"/>
        <v>28654.83871</v>
      </c>
      <c r="AT132" s="822"/>
      <c r="AU132" s="425">
        <f>AU130/AU131</f>
        <v>28654.83871</v>
      </c>
      <c r="AV132" s="776"/>
      <c r="AW132" s="425">
        <f>AW130/AW131</f>
        <v>28654.83871</v>
      </c>
      <c r="AX132" s="776"/>
      <c r="AY132" s="425">
        <f>AY130/AY131</f>
        <v>28654.83871</v>
      </c>
      <c r="AZ132" s="776"/>
      <c r="BA132" s="425">
        <f>BA130/BA131</f>
        <v>28654.83871</v>
      </c>
      <c r="BB132" s="776"/>
      <c r="BC132" s="425">
        <f>BC130/BC131</f>
        <v>28654.83871</v>
      </c>
      <c r="BD132" s="1078"/>
      <c r="BE132" s="423">
        <f t="shared" ref="BE132:BF132" si="309">BE130/BE131</f>
        <v>28654.83871</v>
      </c>
      <c r="BF132" s="428" t="str">
        <f t="shared" si="309"/>
        <v>#DIV/0!</v>
      </c>
      <c r="BG132" s="412" t="str">
        <f t="shared" si="296"/>
        <v/>
      </c>
      <c r="BH132" s="413" t="str">
        <f>IFERROR(__xludf.DUMMYFUNCTION("IFERROR(SPARKLINE(BG132,{""charttype"",""bar"";""color1"",IF(BG132&gt;='Май'!green_percent,'Май'!green,IF(BG132&gt;='Май'!yellow_percent,'Май'!yellow,IF(BG132&gt;='Май'!orange_percent,'Май'!orange,'Май'!red)));""max"",1}))"),"")</f>
        <v/>
      </c>
      <c r="BI132" s="1174">
        <f>BI130/BI131</f>
        <v>28654.83871</v>
      </c>
      <c r="BJ132" s="710"/>
      <c r="BK132" s="425">
        <f>BK130/BK131</f>
        <v>28654.83871</v>
      </c>
      <c r="BL132" s="465"/>
      <c r="BM132" s="425">
        <f>BM130/BM131</f>
        <v>28654.83871</v>
      </c>
      <c r="BN132" s="716"/>
      <c r="BO132" s="425">
        <f t="shared" ref="BO132:BS132" si="310">BO130/BO131</f>
        <v>28654.83871</v>
      </c>
      <c r="BP132" s="744" t="str">
        <f t="shared" si="310"/>
        <v>#DIV/0!</v>
      </c>
      <c r="BQ132" s="425">
        <f t="shared" si="310"/>
        <v>28654.83871</v>
      </c>
      <c r="BR132" s="744" t="str">
        <f t="shared" si="310"/>
        <v>#DIV/0!</v>
      </c>
      <c r="BS132" s="425">
        <f t="shared" si="310"/>
        <v>28654.83871</v>
      </c>
      <c r="BT132" s="716"/>
      <c r="BU132" s="425">
        <f>BU130/BU131</f>
        <v>28654.83871</v>
      </c>
      <c r="BV132" s="716"/>
      <c r="BW132" s="423">
        <f t="shared" ref="BW132:BX132" si="311">BW130/BW131</f>
        <v>28654.83871</v>
      </c>
      <c r="BX132" s="428" t="str">
        <f t="shared" si="311"/>
        <v>#DIV/0!</v>
      </c>
      <c r="BY132" s="1177" t="str">
        <f t="shared" si="298"/>
        <v/>
      </c>
      <c r="BZ132" s="318" t="str">
        <f>IFERROR(__xludf.DUMMYFUNCTION("IFERROR(SPARKLINE(BY132,{""charttype"",""bar"";""color1"",IF(BY132&gt;='Май'!green_percent,'Май'!green,IF(BY132&gt;='Май'!yellow_percent,'Май'!yellow,IF(BY132&gt;='Май'!orange_percent,'Май'!orange,'Май'!red)));""max"",1}))"),"")</f>
        <v/>
      </c>
      <c r="CA132" s="425">
        <f>CA130/CA131</f>
        <v>28654.83871</v>
      </c>
      <c r="CB132" s="710"/>
      <c r="CC132" s="425">
        <f t="shared" ref="CC132:CN132" si="312">CC130/CC131</f>
        <v>28654.83871</v>
      </c>
      <c r="CD132" s="739" t="str">
        <f t="shared" si="312"/>
        <v>#DIV/0!</v>
      </c>
      <c r="CE132" s="425">
        <f t="shared" si="312"/>
        <v>28654.83871</v>
      </c>
      <c r="CF132" s="739" t="str">
        <f t="shared" si="312"/>
        <v>#DIV/0!</v>
      </c>
      <c r="CG132" s="425">
        <f t="shared" si="312"/>
        <v>28654.83871</v>
      </c>
      <c r="CH132" s="739" t="str">
        <f t="shared" si="312"/>
        <v>#DIV/0!</v>
      </c>
      <c r="CI132" s="425">
        <f t="shared" si="312"/>
        <v>28654.83871</v>
      </c>
      <c r="CJ132" s="739" t="str">
        <f t="shared" si="312"/>
        <v>#DIV/0!</v>
      </c>
      <c r="CK132" s="425">
        <f t="shared" si="312"/>
        <v>28654.83871</v>
      </c>
      <c r="CL132" s="739" t="str">
        <f t="shared" si="312"/>
        <v>#DIV/0!</v>
      </c>
      <c r="CM132" s="425">
        <f t="shared" si="312"/>
        <v>28654.83871</v>
      </c>
      <c r="CN132" s="739" t="str">
        <f t="shared" si="312"/>
        <v>#DIV/0!</v>
      </c>
      <c r="CO132" s="436">
        <v>65400.63999999999</v>
      </c>
      <c r="CP132" s="437" t="str">
        <f>CP130/CP131</f>
        <v>#DIV/0!</v>
      </c>
      <c r="CQ132" s="1087" t="str">
        <f t="shared" si="299"/>
        <v/>
      </c>
      <c r="CR132" s="1088" t="str">
        <f>IFERROR(__xludf.DUMMYFUNCTION("IFERROR(SPARKLINE(CQ132,{""charttype"",""bar"";""color1"",IF(CQ132&gt;='Май'!green_percent,'Май'!green,IF(CQ132&gt;='Май'!yellow_percent,'Май'!yellow,IF(CQ132&gt;='Май'!orange_percent,'Май'!orange,'Май'!red)));""max"",1}))"),"")</f>
        <v/>
      </c>
      <c r="CS132" s="842"/>
      <c r="CT132" s="875"/>
      <c r="CU132" s="842"/>
      <c r="CV132" s="875"/>
      <c r="CW132" s="875"/>
      <c r="CX132" s="875"/>
      <c r="CY132" s="875"/>
      <c r="CZ132" s="875"/>
      <c r="DA132" s="875"/>
      <c r="DB132" s="875"/>
      <c r="DC132" s="875"/>
      <c r="DD132" s="875"/>
      <c r="DE132" s="875"/>
      <c r="DF132" s="875"/>
      <c r="DG132" s="326"/>
      <c r="DH132" s="876"/>
      <c r="DI132" s="327"/>
      <c r="DJ132" s="329"/>
      <c r="DK132" s="875"/>
      <c r="DL132" s="875"/>
    </row>
    <row r="133">
      <c r="A133" s="927"/>
      <c r="B133" s="934" t="s">
        <v>35</v>
      </c>
      <c r="C133" s="217"/>
      <c r="D133" s="217"/>
      <c r="E133" s="218"/>
      <c r="F133" s="448">
        <v>19.0</v>
      </c>
      <c r="G133" s="400">
        <f>SUMIFS(O133:DJ133,$O$11:$DJ$11,"Факт",$O$3:$DJ$3,"&gt;"&amp;EOMONTH('Май'!date,-1),$O$3:$DJ$3,"&lt;="&amp;EOMONTH('Май'!date,0))</f>
        <v>2</v>
      </c>
      <c r="H133" s="543">
        <f t="shared" si="291"/>
        <v>0.1052631579</v>
      </c>
      <c r="I133" s="449" t="str">
        <f>IFERROR(__xludf.DUMMYFUNCTION("IFERROR(SPARKLINE(H133,{""charttype"",""bar"";""color1"",IF(H133&gt;='Май'!green_percent,'Май'!green,IF(H133&gt;='Май'!yellow_percent,'Май'!yellow,IF(H133&gt;='Май'!orange_percent,'Май'!orange,'Май'!red)));""max"",1}))"),"")</f>
        <v/>
      </c>
      <c r="J133" s="1172"/>
      <c r="K133" s="417"/>
      <c r="L133" s="776"/>
      <c r="M133" s="417"/>
      <c r="N133" s="773"/>
      <c r="O133" s="417">
        <f>F133/30</f>
        <v>0.6333333333</v>
      </c>
      <c r="P133" s="776">
        <v>0.0</v>
      </c>
      <c r="Q133" s="417">
        <f>F133/30</f>
        <v>0.6333333333</v>
      </c>
      <c r="R133" s="776">
        <v>0.0</v>
      </c>
      <c r="S133" s="417">
        <f>F133/30</f>
        <v>0.6333333333</v>
      </c>
      <c r="T133" s="463">
        <v>0.0</v>
      </c>
      <c r="U133" s="460">
        <f t="shared" ref="U133:V133" si="313">O133+Q133+S133</f>
        <v>1.9</v>
      </c>
      <c r="V133" s="464">
        <f t="shared" si="313"/>
        <v>0</v>
      </c>
      <c r="W133" s="220">
        <f t="shared" si="293"/>
        <v>0</v>
      </c>
      <c r="X133" s="449" t="str">
        <f>IFERROR(__xludf.DUMMYFUNCTION("IFERROR(SPARKLINE(W133,{""charttype"",""bar"";""color1"",IF(W133&gt;='Май'!green_percent,'Май'!green,IF(W133&gt;='Май'!yellow_percent,'Май'!yellow,IF(W133&gt;='Май'!orange_percent,'Май'!orange,'Май'!red)));""max"",1}))"),"")</f>
        <v/>
      </c>
      <c r="Y133" s="729">
        <v>0.6333333333333333</v>
      </c>
      <c r="Z133" s="459"/>
      <c r="AA133" s="729">
        <v>0.6333333333333333</v>
      </c>
      <c r="AB133" s="459">
        <v>1.0</v>
      </c>
      <c r="AC133" s="729">
        <v>0.6333333333333333</v>
      </c>
      <c r="AD133" s="459">
        <v>0.0</v>
      </c>
      <c r="AE133" s="729">
        <v>0.6333333333333333</v>
      </c>
      <c r="AF133" s="459">
        <v>1.0</v>
      </c>
      <c r="AG133" s="729">
        <v>0.6333333333333333</v>
      </c>
      <c r="AH133" s="459">
        <v>0.0</v>
      </c>
      <c r="AI133" s="729">
        <v>0.6333333333333333</v>
      </c>
      <c r="AJ133" s="1179">
        <v>0.0</v>
      </c>
      <c r="AK133" s="729">
        <v>0.6333333333333333</v>
      </c>
      <c r="AL133" s="455">
        <v>0.0</v>
      </c>
      <c r="AM133" s="333">
        <f>F133/30*7</f>
        <v>4.433333333</v>
      </c>
      <c r="AN133" s="811">
        <f>Z133+AB133+AD133+AF133+AH133+AJ133+AL133</f>
        <v>2</v>
      </c>
      <c r="AO133" s="220">
        <f t="shared" si="294"/>
        <v>0.4511278195</v>
      </c>
      <c r="AP133" s="449" t="str">
        <f>IFERROR(__xludf.DUMMYFUNCTION("IFERROR(SPARKLINE(AO133,{""charttype"",""bar"";""color1"",IF(AO133&gt;='Май'!green_percent,'Май'!green,IF(AO133&gt;='Май'!yellow_percent,'Май'!yellow,IF(AO133&gt;='Май'!orange_percent,'Май'!orange,'Май'!red)));""max"",1}))"),"")</f>
        <v/>
      </c>
      <c r="AQ133" s="1180">
        <v>0.6333333333333333</v>
      </c>
      <c r="AR133" s="463">
        <v>0.0</v>
      </c>
      <c r="AS133" s="729">
        <v>0.6333333333333333</v>
      </c>
      <c r="AT133" s="463">
        <v>0.0</v>
      </c>
      <c r="AU133" s="729">
        <v>0.6333333333333333</v>
      </c>
      <c r="AV133" s="776">
        <v>0.0</v>
      </c>
      <c r="AW133" s="729">
        <v>0.6333333333333333</v>
      </c>
      <c r="AX133" s="776">
        <v>0.0</v>
      </c>
      <c r="AY133" s="729">
        <v>0.6333333333333333</v>
      </c>
      <c r="AZ133" s="776">
        <v>0.0</v>
      </c>
      <c r="BA133" s="729">
        <v>0.6333333333333333</v>
      </c>
      <c r="BB133" s="776">
        <v>0.0</v>
      </c>
      <c r="BC133" s="729">
        <v>0.6333333333333333</v>
      </c>
      <c r="BD133" s="1083">
        <v>0.0</v>
      </c>
      <c r="BE133" s="333">
        <v>4.433333333333334</v>
      </c>
      <c r="BF133" s="811">
        <f>AR133+AT133+AV133+AX133+AZ133+BB133+BD133</f>
        <v>0</v>
      </c>
      <c r="BG133" s="220">
        <f t="shared" si="296"/>
        <v>0</v>
      </c>
      <c r="BH133" s="449" t="str">
        <f>IFERROR(__xludf.DUMMYFUNCTION("IFERROR(SPARKLINE(BG133,{""charttype"",""bar"";""color1"",IF(BG133&gt;='Май'!green_percent,'Май'!green,IF(BG133&gt;='Май'!yellow_percent,'Май'!yellow,IF(BG133&gt;='Май'!orange_percent,'Май'!orange,'Май'!red)));""max"",1}))"),"")</f>
        <v/>
      </c>
      <c r="BI133" s="1180">
        <v>0.6333333333333333</v>
      </c>
      <c r="BJ133" s="466">
        <v>0.0</v>
      </c>
      <c r="BK133" s="729">
        <v>0.6333333333333333</v>
      </c>
      <c r="BL133" s="465">
        <v>0.0</v>
      </c>
      <c r="BM133" s="729">
        <v>0.6333333333333333</v>
      </c>
      <c r="BN133" s="465">
        <v>0.0</v>
      </c>
      <c r="BO133" s="729">
        <v>0.6333333333333333</v>
      </c>
      <c r="BP133" s="465"/>
      <c r="BQ133" s="729">
        <v>0.6333333333333333</v>
      </c>
      <c r="BR133" s="465"/>
      <c r="BS133" s="729">
        <v>0.6333333333333333</v>
      </c>
      <c r="BT133" s="465">
        <v>0.0</v>
      </c>
      <c r="BU133" s="729">
        <v>0.6333333333333333</v>
      </c>
      <c r="BV133" s="465">
        <v>0.0</v>
      </c>
      <c r="BW133" s="333">
        <v>4.433333333333334</v>
      </c>
      <c r="BX133" s="464">
        <f>BJ133+BL133+BN133+BP133+BR133+BT133+BV133</f>
        <v>0</v>
      </c>
      <c r="BY133" s="1181">
        <f t="shared" si="298"/>
        <v>0</v>
      </c>
      <c r="BZ133" s="334" t="str">
        <f>IFERROR(__xludf.DUMMYFUNCTION("IFERROR(SPARKLINE(BY133,{""charttype"",""bar"";""color1"",IF(BY133&gt;='Май'!green_percent,'Май'!green,IF(BY133&gt;='Май'!yellow_percent,'Май'!yellow,IF(BY133&gt;='Май'!orange_percent,'Май'!orange,'Май'!red)));""max"",1}))"),"")</f>
        <v/>
      </c>
      <c r="CA133" s="729">
        <v>0.6333333333333333</v>
      </c>
      <c r="CB133" s="466">
        <v>0.0</v>
      </c>
      <c r="CC133" s="729">
        <v>0.6333333333333333</v>
      </c>
      <c r="CD133" s="466"/>
      <c r="CE133" s="729">
        <v>0.6333333333333333</v>
      </c>
      <c r="CF133" s="466"/>
      <c r="CG133" s="729">
        <v>0.6333333333333333</v>
      </c>
      <c r="CH133" s="466"/>
      <c r="CI133" s="729">
        <v>0.6333333333333333</v>
      </c>
      <c r="CJ133" s="466"/>
      <c r="CK133" s="729">
        <v>0.6333333333333333</v>
      </c>
      <c r="CL133" s="466"/>
      <c r="CM133" s="729">
        <v>0.6333333333333333</v>
      </c>
      <c r="CN133" s="466"/>
      <c r="CO133" s="1183">
        <v>4.433333333333334</v>
      </c>
      <c r="CP133" s="733">
        <f>CB133+CD133+CF133+CH133+CJ133+CL133+CN133</f>
        <v>0</v>
      </c>
      <c r="CQ133" s="840">
        <f t="shared" si="299"/>
        <v>0</v>
      </c>
      <c r="CR133" s="841" t="str">
        <f>IFERROR(__xludf.DUMMYFUNCTION("IFERROR(SPARKLINE(CQ133,{""charttype"",""bar"";""color1"",IF(CQ133&gt;='Май'!green_percent,'Май'!green,IF(CQ133&gt;='Май'!yellow_percent,'Май'!yellow,IF(CQ133&gt;='Май'!orange_percent,'Май'!orange,'Май'!red)));""max"",1}))"),"")</f>
        <v/>
      </c>
      <c r="CS133" s="842"/>
      <c r="CT133" s="843"/>
      <c r="CU133" s="842"/>
      <c r="CV133" s="843"/>
      <c r="CW133" s="843"/>
      <c r="CX133" s="843"/>
      <c r="CY133" s="843"/>
      <c r="CZ133" s="843"/>
      <c r="DA133" s="843"/>
      <c r="DB133" s="843"/>
      <c r="DC133" s="843"/>
      <c r="DD133" s="843"/>
      <c r="DE133" s="843"/>
      <c r="DF133" s="843"/>
      <c r="DG133" s="289"/>
      <c r="DH133" s="844"/>
      <c r="DI133" s="310"/>
      <c r="DJ133" s="339"/>
      <c r="DK133" s="843"/>
      <c r="DL133" s="843"/>
    </row>
    <row r="134">
      <c r="A134" s="912"/>
      <c r="B134" s="937" t="s">
        <v>25</v>
      </c>
      <c r="C134" s="242"/>
      <c r="D134" s="242"/>
      <c r="E134" s="243"/>
      <c r="F134" s="412">
        <f t="shared" ref="F134:H134" si="314">F133/F131</f>
        <v>0.76</v>
      </c>
      <c r="G134" s="412">
        <f t="shared" si="314"/>
        <v>0.6666666667</v>
      </c>
      <c r="H134" s="412">
        <f t="shared" si="314"/>
        <v>0.8771929825</v>
      </c>
      <c r="I134" s="413" t="str">
        <f>IFERROR(__xludf.DUMMYFUNCTION("IFERROR(SPARKLINE(H134,{""charttype"",""bar"";""color1"",IF(H134&gt;='Май'!green_percent,'Май'!green,IF(H134&gt;='Май'!yellow_percent,'Май'!yellow,IF(H134&gt;='Май'!orange_percent,'Май'!orange,'Май'!red)));""max"",1}))"),"")</f>
        <v/>
      </c>
      <c r="J134" s="1172"/>
      <c r="K134" s="515"/>
      <c r="L134" s="953"/>
      <c r="M134" s="515"/>
      <c r="N134" s="752"/>
      <c r="O134" s="515">
        <f t="shared" ref="O134:Q134" si="315">O133/O131</f>
        <v>0.76</v>
      </c>
      <c r="P134" s="755" t="str">
        <f t="shared" si="315"/>
        <v>#DIV/0!</v>
      </c>
      <c r="Q134" s="941">
        <f t="shared" si="315"/>
        <v>0.76</v>
      </c>
      <c r="R134" s="776"/>
      <c r="S134" s="941">
        <f>S133/S131</f>
        <v>0.76</v>
      </c>
      <c r="T134" s="822"/>
      <c r="U134" s="316">
        <f>U133/U131</f>
        <v>0.76</v>
      </c>
      <c r="V134" s="253" t="str">
        <f t="shared" ref="V134:V135" si="318">L134+N134+#REF!+#REF!+P134+R134+T134</f>
        <v>#REF!</v>
      </c>
      <c r="W134" s="412" t="str">
        <f t="shared" si="293"/>
        <v/>
      </c>
      <c r="X134" s="413" t="str">
        <f>IFERROR(__xludf.DUMMYFUNCTION("IFERROR(SPARKLINE(W134,{""charttype"",""bar"";""color1"",IF(W134&gt;='Май'!green_percent,'Май'!green,IF(W134&gt;='Май'!yellow_percent,'Май'!yellow,IF(W134&gt;='Май'!orange_percent,'Май'!orange,'Май'!red)));""max"",1}))"),"")</f>
        <v/>
      </c>
      <c r="Y134" s="541">
        <v>0.7599999999999999</v>
      </c>
      <c r="Z134" s="1184" t="str">
        <f>Z133/Z131</f>
        <v>#DIV/0!</v>
      </c>
      <c r="AA134" s="541">
        <v>0.7599999999999999</v>
      </c>
      <c r="AB134" s="1184">
        <f>AB133/AB131</f>
        <v>0.5</v>
      </c>
      <c r="AC134" s="541">
        <v>0.7599999999999999</v>
      </c>
      <c r="AD134" s="1184" t="str">
        <f>AD133/AD131</f>
        <v>#DIV/0!</v>
      </c>
      <c r="AE134" s="541">
        <v>0.7599999999999999</v>
      </c>
      <c r="AF134" s="1184">
        <f>AF133/AF131</f>
        <v>1</v>
      </c>
      <c r="AG134" s="541">
        <v>0.7599999999999999</v>
      </c>
      <c r="AH134" s="824"/>
      <c r="AI134" s="541">
        <v>0.7599999999999999</v>
      </c>
      <c r="AJ134" s="825"/>
      <c r="AK134" s="541">
        <v>0.7599999999999999</v>
      </c>
      <c r="AL134" s="455"/>
      <c r="AM134" s="1185">
        <f t="shared" ref="AM134:AN134" si="316">AM133/AM131</f>
        <v>0.76</v>
      </c>
      <c r="AN134" s="253">
        <f t="shared" si="316"/>
        <v>0.6666666667</v>
      </c>
      <c r="AO134" s="412">
        <f t="shared" si="294"/>
        <v>0.8771929825</v>
      </c>
      <c r="AP134" s="413" t="str">
        <f>IFERROR(__xludf.DUMMYFUNCTION("IFERROR(SPARKLINE(AO134,{""charttype"",""bar"";""color1"",IF(AO134&gt;='Май'!green_percent,'Май'!green,IF(AO134&gt;='Май'!yellow_percent,'Май'!yellow,IF(AO134&gt;='Май'!orange_percent,'Май'!orange,'Май'!red)));""max"",1}))"),"")</f>
        <v/>
      </c>
      <c r="AQ134" s="1186">
        <v>0.7599999999999999</v>
      </c>
      <c r="AR134" s="517" t="str">
        <f>AR133/AR131</f>
        <v>#DIV/0!</v>
      </c>
      <c r="AS134" s="541">
        <v>0.7599999999999999</v>
      </c>
      <c r="AT134" s="822"/>
      <c r="AU134" s="541">
        <v>0.7599999999999999</v>
      </c>
      <c r="AV134" s="776"/>
      <c r="AW134" s="541">
        <v>0.7599999999999999</v>
      </c>
      <c r="AX134" s="776"/>
      <c r="AY134" s="541">
        <v>0.7599999999999999</v>
      </c>
      <c r="AZ134" s="776"/>
      <c r="BA134" s="541">
        <v>0.7599999999999999</v>
      </c>
      <c r="BB134" s="776"/>
      <c r="BC134" s="541">
        <v>0.7599999999999999</v>
      </c>
      <c r="BD134" s="1078"/>
      <c r="BE134" s="1185">
        <v>0.76</v>
      </c>
      <c r="BF134" s="253" t="str">
        <f>BF133/BF131</f>
        <v>#DIV/0!</v>
      </c>
      <c r="BG134" s="412" t="str">
        <f t="shared" si="296"/>
        <v/>
      </c>
      <c r="BH134" s="413" t="str">
        <f>IFERROR(__xludf.DUMMYFUNCTION("IFERROR(SPARKLINE(BG134,{""charttype"",""bar"";""color1"",IF(BG134&gt;='Май'!green_percent,'Май'!green,IF(BG134&gt;='Май'!yellow_percent,'Май'!yellow,IF(BG134&gt;='Май'!orange_percent,'Май'!orange,'Май'!red)));""max"",1}))"),"")</f>
        <v/>
      </c>
      <c r="BI134" s="1186">
        <v>0.7599999999999999</v>
      </c>
      <c r="BJ134" s="710"/>
      <c r="BK134" s="541">
        <v>0.7599999999999999</v>
      </c>
      <c r="BL134" s="465"/>
      <c r="BM134" s="541">
        <v>0.7599999999999999</v>
      </c>
      <c r="BN134" s="716"/>
      <c r="BO134" s="541">
        <v>0.7599999999999999</v>
      </c>
      <c r="BP134" s="521" t="str">
        <f>BP133/BP131</f>
        <v>#DIV/0!</v>
      </c>
      <c r="BQ134" s="541">
        <v>0.7599999999999999</v>
      </c>
      <c r="BR134" s="521" t="str">
        <f>BR133/BR131</f>
        <v>#DIV/0!</v>
      </c>
      <c r="BS134" s="541">
        <v>0.7599999999999999</v>
      </c>
      <c r="BT134" s="716"/>
      <c r="BU134" s="541">
        <v>0.7599999999999999</v>
      </c>
      <c r="BV134" s="716"/>
      <c r="BW134" s="316">
        <v>0.76</v>
      </c>
      <c r="BX134" s="253" t="str">
        <f>BX133/BX131</f>
        <v>#DIV/0!</v>
      </c>
      <c r="BY134" s="1177" t="str">
        <f t="shared" si="298"/>
        <v/>
      </c>
      <c r="BZ134" s="318" t="str">
        <f>IFERROR(__xludf.DUMMYFUNCTION("IFERROR(SPARKLINE(BY134,{""charttype"",""bar"";""color1"",IF(BY134&gt;='Май'!green_percent,'Май'!green,IF(BY134&gt;='Май'!yellow_percent,'Май'!yellow,IF(BY134&gt;='Май'!orange_percent,'Май'!orange,'Май'!red)));""max"",1}))"),"")</f>
        <v/>
      </c>
      <c r="CA134" s="541">
        <v>0.7599999999999999</v>
      </c>
      <c r="CB134" s="710"/>
      <c r="CC134" s="541">
        <v>0.7599999999999999</v>
      </c>
      <c r="CD134" s="522" t="str">
        <f>CD133/CD131</f>
        <v>#DIV/0!</v>
      </c>
      <c r="CE134" s="541">
        <v>0.7599999999999999</v>
      </c>
      <c r="CF134" s="522" t="str">
        <f>CF133/CF131</f>
        <v>#DIV/0!</v>
      </c>
      <c r="CG134" s="541">
        <v>0.7599999999999999</v>
      </c>
      <c r="CH134" s="522" t="str">
        <f>CH133/CH131</f>
        <v>#DIV/0!</v>
      </c>
      <c r="CI134" s="541">
        <v>0.7599999999999999</v>
      </c>
      <c r="CJ134" s="522" t="str">
        <f>CJ133/CJ131</f>
        <v>#DIV/0!</v>
      </c>
      <c r="CK134" s="541">
        <v>0.7599999999999999</v>
      </c>
      <c r="CL134" s="522" t="str">
        <f>CL133/CL131</f>
        <v>#DIV/0!</v>
      </c>
      <c r="CM134" s="541">
        <v>0.7599999999999999</v>
      </c>
      <c r="CN134" s="522" t="str">
        <f>CN133/CN131</f>
        <v>#DIV/0!</v>
      </c>
      <c r="CO134" s="319">
        <v>0.76</v>
      </c>
      <c r="CP134" s="802" t="str">
        <f>CP133/CP131</f>
        <v>#DIV/0!</v>
      </c>
      <c r="CQ134" s="1087" t="str">
        <f t="shared" si="299"/>
        <v/>
      </c>
      <c r="CR134" s="1088" t="str">
        <f>IFERROR(__xludf.DUMMYFUNCTION("IFERROR(SPARKLINE(CQ134,{""charttype"",""bar"";""color1"",IF(CQ134&gt;='Май'!green_percent,'Май'!green,IF(CQ134&gt;='Май'!yellow_percent,'Май'!yellow,IF(CQ134&gt;='Май'!orange_percent,'Май'!orange,'Май'!red)));""max"",1}))"),"")</f>
        <v/>
      </c>
      <c r="CS134" s="842"/>
      <c r="CT134" s="875"/>
      <c r="CU134" s="842"/>
      <c r="CV134" s="875"/>
      <c r="CW134" s="875"/>
      <c r="CX134" s="875"/>
      <c r="CY134" s="875"/>
      <c r="CZ134" s="875"/>
      <c r="DA134" s="875"/>
      <c r="DB134" s="875"/>
      <c r="DC134" s="875"/>
      <c r="DD134" s="875"/>
      <c r="DE134" s="875"/>
      <c r="DF134" s="875"/>
      <c r="DG134" s="326"/>
      <c r="DH134" s="876"/>
      <c r="DI134" s="327"/>
      <c r="DJ134" s="329"/>
      <c r="DK134" s="875"/>
      <c r="DL134" s="875"/>
    </row>
    <row r="135">
      <c r="A135" s="927"/>
      <c r="B135" s="934" t="s">
        <v>36</v>
      </c>
      <c r="C135" s="217"/>
      <c r="D135" s="217"/>
      <c r="E135" s="218"/>
      <c r="F135" s="270">
        <f t="shared" ref="F135:G135" si="317">F130/F133</f>
        <v>38960.52632</v>
      </c>
      <c r="G135" s="270">
        <f t="shared" si="317"/>
        <v>329778</v>
      </c>
      <c r="H135" s="543">
        <f t="shared" ref="H135:H141" si="326">IFERROR(G135/F135,"")</f>
        <v>8.464413374</v>
      </c>
      <c r="I135" s="449" t="str">
        <f>IFERROR(__xludf.DUMMYFUNCTION("IFERROR(SPARKLINE(H135,{""charttype"",""bar"";""color1"",IF(H135&gt;='Май'!green_percent,'Май'!green,IF(H135&gt;='Май'!yellow_percent,'Май'!yellow,IF(H135&gt;='Май'!orange_percent,'Май'!orange,'Май'!red)));""max"",1}))"),"")</f>
        <v/>
      </c>
      <c r="J135" s="1172"/>
      <c r="K135" s="419"/>
      <c r="L135" s="1175"/>
      <c r="M135" s="419"/>
      <c r="N135" s="753"/>
      <c r="O135" s="419">
        <f>O130/O133</f>
        <v>37703.73514</v>
      </c>
      <c r="P135" s="786" t="str">
        <f>P130/P136</f>
        <v>#DIV/0!</v>
      </c>
      <c r="Q135" s="1018">
        <f>Q130/Q133</f>
        <v>37703.73514</v>
      </c>
      <c r="R135" s="776"/>
      <c r="S135" s="1018">
        <f>S130/S133</f>
        <v>37703.73514</v>
      </c>
      <c r="T135" s="463"/>
      <c r="U135" s="565">
        <f>F135</f>
        <v>38960.52632</v>
      </c>
      <c r="V135" s="563" t="str">
        <f t="shared" si="318"/>
        <v>#REF!</v>
      </c>
      <c r="W135" s="220" t="str">
        <f t="shared" si="293"/>
        <v/>
      </c>
      <c r="X135" s="449" t="str">
        <f>IFERROR(__xludf.DUMMYFUNCTION("IFERROR(SPARKLINE(W135,{""charttype"",""bar"";""color1"",IF(W135&gt;='Май'!green_percent,'Май'!green,IF(W135&gt;='Май'!yellow_percent,'Май'!yellow,IF(W135&gt;='Май'!orange_percent,'Май'!orange,'Май'!red)));""max"",1}))"),"")</f>
        <v/>
      </c>
      <c r="Y135" s="837">
        <f t="shared" ref="Y135:AG135" si="319">Y130/Y133</f>
        <v>37703.73514</v>
      </c>
      <c r="Z135" s="1173" t="str">
        <f t="shared" si="319"/>
        <v>#DIV/0!</v>
      </c>
      <c r="AA135" s="837">
        <f t="shared" si="319"/>
        <v>37703.73514</v>
      </c>
      <c r="AB135" s="1173">
        <f t="shared" si="319"/>
        <v>21276</v>
      </c>
      <c r="AC135" s="837">
        <f t="shared" si="319"/>
        <v>37703.73514</v>
      </c>
      <c r="AD135" s="1173" t="str">
        <f t="shared" si="319"/>
        <v>#DIV/0!</v>
      </c>
      <c r="AE135" s="837">
        <f t="shared" si="319"/>
        <v>37703.73514</v>
      </c>
      <c r="AF135" s="1173">
        <f t="shared" si="319"/>
        <v>21276</v>
      </c>
      <c r="AG135" s="837">
        <f t="shared" si="319"/>
        <v>37703.73514</v>
      </c>
      <c r="AH135" s="824"/>
      <c r="AI135" s="837">
        <f>AI130/AI133</f>
        <v>37703.73514</v>
      </c>
      <c r="AJ135" s="825"/>
      <c r="AK135" s="837">
        <f>AK130/AK133</f>
        <v>37703.73514</v>
      </c>
      <c r="AL135" s="455"/>
      <c r="AM135" s="277">
        <f t="shared" ref="AM135:AN135" si="320">AM130/AM133</f>
        <v>38960.52632</v>
      </c>
      <c r="AN135" s="1187">
        <f t="shared" si="320"/>
        <v>74466</v>
      </c>
      <c r="AO135" s="220">
        <f t="shared" si="294"/>
        <v>1.911319149</v>
      </c>
      <c r="AP135" s="449" t="str">
        <f>IFERROR(__xludf.DUMMYFUNCTION("IFERROR(SPARKLINE(AO135,{""charttype"",""bar"";""color1"",IF(AO135&gt;='Май'!green_percent,'Май'!green,IF(AO135&gt;='Май'!yellow_percent,'Май'!yellow,IF(AO135&gt;='Май'!orange_percent,'Май'!orange,'Май'!red)));""max"",1}))"),"")</f>
        <v/>
      </c>
      <c r="AQ135" s="1188">
        <f t="shared" ref="AQ135:AS135" si="321">AQ130/AQ133</f>
        <v>37703.73514</v>
      </c>
      <c r="AR135" s="763" t="str">
        <f t="shared" si="321"/>
        <v>#DIV/0!</v>
      </c>
      <c r="AS135" s="837">
        <f t="shared" si="321"/>
        <v>37703.73514</v>
      </c>
      <c r="AT135" s="463"/>
      <c r="AU135" s="837">
        <f>AU130/AU133</f>
        <v>37703.73514</v>
      </c>
      <c r="AV135" s="776"/>
      <c r="AW135" s="837">
        <f>AW130/AW133</f>
        <v>37703.73514</v>
      </c>
      <c r="AX135" s="776"/>
      <c r="AY135" s="837">
        <f>AY130/AY133</f>
        <v>37703.73514</v>
      </c>
      <c r="AZ135" s="776"/>
      <c r="BA135" s="837">
        <f>BA130/BA133</f>
        <v>37703.73514</v>
      </c>
      <c r="BB135" s="776"/>
      <c r="BC135" s="837">
        <f>BC130/BC133</f>
        <v>37703.73514</v>
      </c>
      <c r="BD135" s="1083"/>
      <c r="BE135" s="277">
        <f t="shared" ref="BE135:BF135" si="322">BE130/BE133</f>
        <v>37703.73514</v>
      </c>
      <c r="BF135" s="1187" t="str">
        <f t="shared" si="322"/>
        <v>#DIV/0!</v>
      </c>
      <c r="BG135" s="220" t="str">
        <f t="shared" si="296"/>
        <v/>
      </c>
      <c r="BH135" s="449" t="str">
        <f>IFERROR(__xludf.DUMMYFUNCTION("IFERROR(SPARKLINE(BG135,{""charttype"",""bar"";""color1"",IF(BG135&gt;='Май'!green_percent,'Май'!green,IF(BG135&gt;='Май'!yellow_percent,'Май'!yellow,IF(BG135&gt;='Май'!orange_percent,'Май'!orange,'Май'!red)));""max"",1}))"),"")</f>
        <v/>
      </c>
      <c r="BI135" s="1188">
        <f>BI130/BI133</f>
        <v>37703.73514</v>
      </c>
      <c r="BJ135" s="466"/>
      <c r="BK135" s="837">
        <f>BK130/BK133</f>
        <v>37703.73514</v>
      </c>
      <c r="BL135" s="465"/>
      <c r="BM135" s="837">
        <f>BM130/BM133</f>
        <v>37703.73514</v>
      </c>
      <c r="BN135" s="465"/>
      <c r="BO135" s="837">
        <f t="shared" ref="BO135:BS135" si="323">BO130/BO133</f>
        <v>37703.73514</v>
      </c>
      <c r="BP135" s="503" t="str">
        <f t="shared" si="323"/>
        <v>#DIV/0!</v>
      </c>
      <c r="BQ135" s="837">
        <f t="shared" si="323"/>
        <v>37703.73514</v>
      </c>
      <c r="BR135" s="503" t="str">
        <f t="shared" si="323"/>
        <v>#DIV/0!</v>
      </c>
      <c r="BS135" s="837">
        <f t="shared" si="323"/>
        <v>37703.73514</v>
      </c>
      <c r="BT135" s="465"/>
      <c r="BU135" s="837">
        <f>BU130/BU133</f>
        <v>37703.73514</v>
      </c>
      <c r="BV135" s="465"/>
      <c r="BW135" s="277">
        <f t="shared" ref="BW135:BX135" si="324">BW130/BW133</f>
        <v>37703.73514</v>
      </c>
      <c r="BX135" s="499" t="str">
        <f t="shared" si="324"/>
        <v>#DIV/0!</v>
      </c>
      <c r="BY135" s="1181" t="str">
        <f t="shared" si="298"/>
        <v/>
      </c>
      <c r="BZ135" s="334" t="str">
        <f>IFERROR(__xludf.DUMMYFUNCTION("IFERROR(SPARKLINE(BY135,{""charttype"",""bar"";""color1"",IF(BY135&gt;='Май'!green_percent,'Май'!green,IF(BY135&gt;='Май'!yellow_percent,'Май'!yellow,IF(BY135&gt;='Май'!orange_percent,'Май'!orange,'Май'!red)));""max"",1}))"),"")</f>
        <v/>
      </c>
      <c r="CA135" s="837">
        <f>CA130/CA133</f>
        <v>37703.73514</v>
      </c>
      <c r="CB135" s="466"/>
      <c r="CC135" s="837">
        <f t="shared" ref="CC135:CN135" si="325">CC130/CC133</f>
        <v>37703.73514</v>
      </c>
      <c r="CD135" s="504" t="str">
        <f t="shared" si="325"/>
        <v>#DIV/0!</v>
      </c>
      <c r="CE135" s="837">
        <f t="shared" si="325"/>
        <v>37703.73514</v>
      </c>
      <c r="CF135" s="504" t="str">
        <f t="shared" si="325"/>
        <v>#DIV/0!</v>
      </c>
      <c r="CG135" s="837">
        <f t="shared" si="325"/>
        <v>37703.73514</v>
      </c>
      <c r="CH135" s="504" t="str">
        <f t="shared" si="325"/>
        <v>#DIV/0!</v>
      </c>
      <c r="CI135" s="837">
        <f t="shared" si="325"/>
        <v>37703.73514</v>
      </c>
      <c r="CJ135" s="504" t="str">
        <f t="shared" si="325"/>
        <v>#DIV/0!</v>
      </c>
      <c r="CK135" s="837">
        <f t="shared" si="325"/>
        <v>37703.73514</v>
      </c>
      <c r="CL135" s="504" t="str">
        <f t="shared" si="325"/>
        <v>#DIV/0!</v>
      </c>
      <c r="CM135" s="837">
        <f t="shared" si="325"/>
        <v>37703.73514</v>
      </c>
      <c r="CN135" s="504" t="str">
        <f t="shared" si="325"/>
        <v>#DIV/0!</v>
      </c>
      <c r="CO135" s="1189">
        <v>86053.47368421052</v>
      </c>
      <c r="CP135" s="285" t="str">
        <f>CP130/CP133</f>
        <v>#DIV/0!</v>
      </c>
      <c r="CQ135" s="840" t="str">
        <f t="shared" si="299"/>
        <v/>
      </c>
      <c r="CR135" s="841" t="str">
        <f>IFERROR(__xludf.DUMMYFUNCTION("IFERROR(SPARKLINE(CQ135,{""charttype"",""bar"";""color1"",IF(CQ135&gt;='Май'!green_percent,'Май'!green,IF(CQ135&gt;='Май'!yellow_percent,'Май'!yellow,IF(CQ135&gt;='Май'!orange_percent,'Май'!orange,'Май'!red)));""max"",1}))"),"")</f>
        <v/>
      </c>
      <c r="CS135" s="842"/>
      <c r="CT135" s="843"/>
      <c r="CU135" s="842"/>
      <c r="CV135" s="843"/>
      <c r="CW135" s="843"/>
      <c r="CX135" s="843"/>
      <c r="CY135" s="843"/>
      <c r="CZ135" s="843"/>
      <c r="DA135" s="843"/>
      <c r="DB135" s="843"/>
      <c r="DC135" s="843"/>
      <c r="DD135" s="843"/>
      <c r="DE135" s="843"/>
      <c r="DF135" s="843"/>
      <c r="DG135" s="289"/>
      <c r="DH135" s="844"/>
      <c r="DI135" s="310"/>
      <c r="DJ135" s="339"/>
      <c r="DK135" s="843"/>
      <c r="DL135" s="843"/>
    </row>
    <row r="136">
      <c r="A136" s="912"/>
      <c r="B136" s="937" t="s">
        <v>37</v>
      </c>
      <c r="C136" s="242"/>
      <c r="D136" s="242"/>
      <c r="E136" s="243"/>
      <c r="F136" s="244">
        <v>16.0</v>
      </c>
      <c r="G136" s="438">
        <f>SUMIFS(O136:DJ136,$O$11:$DJ$11,"Факт",$O$3:$DJ$3,"&gt;"&amp;EOMONTH('Май'!date,-1),$O$3:$DJ$3,"&lt;="&amp;EOMONTH('Май'!date,0))</f>
        <v>2</v>
      </c>
      <c r="H136" s="704">
        <f t="shared" si="326"/>
        <v>0.125</v>
      </c>
      <c r="I136" s="413" t="str">
        <f>IFERROR(__xludf.DUMMYFUNCTION("IFERROR(SPARKLINE(H136,{""charttype"",""bar"";""color1"",IF(H136&gt;='Май'!green_percent,'Май'!green,IF(H136&gt;='Май'!yellow_percent,'Май'!yellow,IF(H136&gt;='Май'!orange_percent,'Май'!orange,'Май'!red)));""max"",1}))"),"")</f>
        <v/>
      </c>
      <c r="J136" s="1172"/>
      <c r="K136" s="1025"/>
      <c r="L136" s="1190"/>
      <c r="M136" s="1025"/>
      <c r="N136" s="773"/>
      <c r="O136" s="1025">
        <f>F136/30</f>
        <v>0.5333333333</v>
      </c>
      <c r="P136" s="776">
        <v>0.0</v>
      </c>
      <c r="Q136" s="932">
        <f>F136/30</f>
        <v>0.5333333333</v>
      </c>
      <c r="R136" s="776">
        <v>0.0</v>
      </c>
      <c r="S136" s="932">
        <f>F136/30</f>
        <v>0.5333333333</v>
      </c>
      <c r="T136" s="822">
        <v>0.0</v>
      </c>
      <c r="U136" s="535">
        <f t="shared" ref="U136:V136" si="327">O136+Q136+S136</f>
        <v>1.6</v>
      </c>
      <c r="V136" s="486">
        <f t="shared" si="327"/>
        <v>0</v>
      </c>
      <c r="W136" s="412">
        <f t="shared" si="293"/>
        <v>0</v>
      </c>
      <c r="X136" s="413" t="str">
        <f>IFERROR(__xludf.DUMMYFUNCTION("IFERROR(SPARKLINE(W136,{""charttype"",""bar"";""color1"",IF(W136&gt;='Май'!green_percent,'Май'!green,IF(W136&gt;='Май'!yellow_percent,'Май'!yellow,IF(W136&gt;='Май'!orange_percent,'Май'!orange,'Май'!red)));""max"",1}))"),"")</f>
        <v/>
      </c>
      <c r="Y136" s="432">
        <v>0.5333333333333333</v>
      </c>
      <c r="Z136" s="459"/>
      <c r="AA136" s="432">
        <v>0.5333333333333333</v>
      </c>
      <c r="AB136" s="459">
        <v>1.0</v>
      </c>
      <c r="AC136" s="432">
        <v>0.5333333333333333</v>
      </c>
      <c r="AD136" s="459">
        <v>0.0</v>
      </c>
      <c r="AE136" s="432">
        <v>0.5333333333333333</v>
      </c>
      <c r="AF136" s="459">
        <v>1.0</v>
      </c>
      <c r="AG136" s="432">
        <v>0.5333333333333333</v>
      </c>
      <c r="AH136" s="459">
        <v>0.0</v>
      </c>
      <c r="AI136" s="432">
        <v>0.5333333333333333</v>
      </c>
      <c r="AJ136" s="1179">
        <v>0.0</v>
      </c>
      <c r="AK136" s="432">
        <v>0.5333333333333333</v>
      </c>
      <c r="AL136" s="455">
        <v>0.0</v>
      </c>
      <c r="AM136" s="531">
        <f>F136/30*7</f>
        <v>3.733333333</v>
      </c>
      <c r="AN136" s="486">
        <f>Z136+AB136+AD136+AF136+AH136+AJ136+AL136</f>
        <v>2</v>
      </c>
      <c r="AO136" s="412">
        <f t="shared" si="294"/>
        <v>0.5357142857</v>
      </c>
      <c r="AP136" s="413" t="str">
        <f>IFERROR(__xludf.DUMMYFUNCTION("IFERROR(SPARKLINE(AO136,{""charttype"",""bar"";""color1"",IF(AO136&gt;='Май'!green_percent,'Май'!green,IF(AO136&gt;='Май'!yellow_percent,'Май'!yellow,IF(AO136&gt;='Май'!orange_percent,'Май'!orange,'Май'!red)));""max"",1}))"),"")</f>
        <v/>
      </c>
      <c r="AQ136" s="1192">
        <v>0.5333333333333333</v>
      </c>
      <c r="AR136" s="822">
        <v>0.0</v>
      </c>
      <c r="AS136" s="432">
        <v>0.5333333333333333</v>
      </c>
      <c r="AT136" s="822">
        <v>0.0</v>
      </c>
      <c r="AU136" s="432">
        <v>0.5333333333333333</v>
      </c>
      <c r="AV136" s="776">
        <v>0.0</v>
      </c>
      <c r="AW136" s="432">
        <v>0.5333333333333333</v>
      </c>
      <c r="AX136" s="776">
        <v>0.0</v>
      </c>
      <c r="AY136" s="432">
        <v>0.5333333333333333</v>
      </c>
      <c r="AZ136" s="776">
        <v>0.0</v>
      </c>
      <c r="BA136" s="432">
        <v>0.5333333333333333</v>
      </c>
      <c r="BB136" s="776">
        <v>0.0</v>
      </c>
      <c r="BC136" s="432">
        <v>0.5333333333333333</v>
      </c>
      <c r="BD136" s="1078">
        <v>0.0</v>
      </c>
      <c r="BE136" s="531">
        <v>3.7333333333333334</v>
      </c>
      <c r="BF136" s="486">
        <f>AR136+AT136+AV136+AX136+AZ136+BB136+BD136</f>
        <v>0</v>
      </c>
      <c r="BG136" s="412">
        <f t="shared" si="296"/>
        <v>0</v>
      </c>
      <c r="BH136" s="413" t="str">
        <f>IFERROR(__xludf.DUMMYFUNCTION("IFERROR(SPARKLINE(BG136,{""charttype"",""bar"";""color1"",IF(BG136&gt;='Май'!green_percent,'Май'!green,IF(BG136&gt;='Май'!yellow_percent,'Май'!yellow,IF(BG136&gt;='Май'!orange_percent,'Май'!orange,'Май'!red)));""max"",1}))"),"")</f>
        <v/>
      </c>
      <c r="BI136" s="1192">
        <v>0.5333333333333333</v>
      </c>
      <c r="BJ136" s="710">
        <v>0.0</v>
      </c>
      <c r="BK136" s="432">
        <v>0.5333333333333333</v>
      </c>
      <c r="BL136" s="465">
        <v>0.0</v>
      </c>
      <c r="BM136" s="432">
        <v>0.5333333333333333</v>
      </c>
      <c r="BN136" s="716">
        <v>0.0</v>
      </c>
      <c r="BO136" s="432">
        <v>0.5333333333333333</v>
      </c>
      <c r="BP136" s="716"/>
      <c r="BQ136" s="432">
        <v>0.5333333333333333</v>
      </c>
      <c r="BR136" s="716">
        <v>0.0</v>
      </c>
      <c r="BS136" s="432">
        <v>0.5333333333333333</v>
      </c>
      <c r="BT136" s="716">
        <v>0.0</v>
      </c>
      <c r="BU136" s="432">
        <v>0.5333333333333333</v>
      </c>
      <c r="BV136" s="716">
        <v>0.0</v>
      </c>
      <c r="BW136" s="531">
        <v>3.7333333333333334</v>
      </c>
      <c r="BX136" s="486">
        <f>BJ136+BL136+BN136+BP136+BR136+BT136+BV136</f>
        <v>0</v>
      </c>
      <c r="BY136" s="1177">
        <f t="shared" si="298"/>
        <v>0</v>
      </c>
      <c r="BZ136" s="318" t="str">
        <f>IFERROR(__xludf.DUMMYFUNCTION("IFERROR(SPARKLINE(BY136,{""charttype"",""bar"";""color1"",IF(BY136&gt;='Май'!green_percent,'Май'!green,IF(BY136&gt;='Май'!yellow_percent,'Май'!yellow,IF(BY136&gt;='Май'!orange_percent,'Май'!orange,'Май'!red)));""max"",1}))"),"")</f>
        <v/>
      </c>
      <c r="CA136" s="432">
        <v>0.5333333333333333</v>
      </c>
      <c r="CB136" s="710">
        <v>0.0</v>
      </c>
      <c r="CC136" s="432">
        <v>0.5333333333333333</v>
      </c>
      <c r="CD136" s="710">
        <v>0.0</v>
      </c>
      <c r="CE136" s="432">
        <v>0.5333333333333333</v>
      </c>
      <c r="CF136" s="710">
        <v>0.0</v>
      </c>
      <c r="CG136" s="432">
        <v>0.5333333333333333</v>
      </c>
      <c r="CH136" s="710">
        <v>0.0</v>
      </c>
      <c r="CI136" s="432">
        <v>0.5333333333333333</v>
      </c>
      <c r="CJ136" s="710">
        <v>0.0</v>
      </c>
      <c r="CK136" s="432">
        <v>0.5333333333333333</v>
      </c>
      <c r="CL136" s="710">
        <v>0.0</v>
      </c>
      <c r="CM136" s="432">
        <v>0.5333333333333333</v>
      </c>
      <c r="CN136" s="710">
        <v>0.0</v>
      </c>
      <c r="CO136" s="1193">
        <v>3.7333333333333334</v>
      </c>
      <c r="CP136" s="258">
        <f>CB136+CD136+CF136+CH136+CJ136+CL136+CN136</f>
        <v>0</v>
      </c>
      <c r="CQ136" s="1087">
        <f t="shared" si="299"/>
        <v>0</v>
      </c>
      <c r="CR136" s="1088" t="str">
        <f>IFERROR(__xludf.DUMMYFUNCTION("IFERROR(SPARKLINE(CQ136,{""charttype"",""bar"";""color1"",IF(CQ136&gt;='Май'!green_percent,'Май'!green,IF(CQ136&gt;='Май'!yellow_percent,'Май'!yellow,IF(CQ136&gt;='Май'!orange_percent,'Май'!orange,'Май'!red)));""max"",1}))"),"")</f>
        <v/>
      </c>
      <c r="CS136" s="842"/>
      <c r="CT136" s="875"/>
      <c r="CU136" s="842"/>
      <c r="CV136" s="875"/>
      <c r="CW136" s="875"/>
      <c r="CX136" s="875"/>
      <c r="CY136" s="875"/>
      <c r="CZ136" s="875"/>
      <c r="DA136" s="875"/>
      <c r="DB136" s="875"/>
      <c r="DC136" s="875"/>
      <c r="DD136" s="875"/>
      <c r="DE136" s="875"/>
      <c r="DF136" s="875"/>
      <c r="DG136" s="326"/>
      <c r="DH136" s="876"/>
      <c r="DI136" s="327"/>
      <c r="DJ136" s="329"/>
      <c r="DK136" s="875"/>
      <c r="DL136" s="875"/>
    </row>
    <row r="137">
      <c r="A137" s="927"/>
      <c r="B137" s="948" t="s">
        <v>38</v>
      </c>
      <c r="C137" s="217"/>
      <c r="D137" s="217"/>
      <c r="E137" s="218"/>
      <c r="F137" s="220">
        <f t="shared" ref="F137:G137" si="328">F136/F133</f>
        <v>0.8421052632</v>
      </c>
      <c r="G137" s="220">
        <f t="shared" si="328"/>
        <v>1</v>
      </c>
      <c r="H137" s="543">
        <f t="shared" si="326"/>
        <v>1.1875</v>
      </c>
      <c r="I137" s="449" t="str">
        <f>IFERROR(__xludf.DUMMYFUNCTION("IFERROR(SPARKLINE(H137,{""charttype"",""bar"";""color1"",IF(H137&gt;='Май'!green_percent,'Май'!green,IF(H137&gt;='Май'!yellow_percent,'Май'!yellow,IF(H137&gt;='Май'!orange_percent,'Май'!orange,'Май'!red)));""max"",1}))"),"")</f>
        <v/>
      </c>
      <c r="J137" s="1172"/>
      <c r="K137" s="518"/>
      <c r="L137" s="953"/>
      <c r="M137" s="518"/>
      <c r="N137" s="752"/>
      <c r="O137" s="518">
        <f t="shared" ref="O137:Q137" si="329">O136/O133</f>
        <v>0.8421052632</v>
      </c>
      <c r="P137" s="755" t="str">
        <f t="shared" si="329"/>
        <v>#DIV/0!</v>
      </c>
      <c r="Q137" s="941">
        <f t="shared" si="329"/>
        <v>0.8421052632</v>
      </c>
      <c r="R137" s="776"/>
      <c r="S137" s="941">
        <f>S136/S133</f>
        <v>0.8421052632</v>
      </c>
      <c r="T137" s="463"/>
      <c r="U137" s="348">
        <f>U136/U133</f>
        <v>0.8421052632</v>
      </c>
      <c r="V137" s="279" t="str">
        <f>L137+N137+#REF!+#REF!+P137+R137+T137</f>
        <v>#REF!</v>
      </c>
      <c r="W137" s="220" t="str">
        <f t="shared" si="293"/>
        <v/>
      </c>
      <c r="X137" s="449" t="str">
        <f>IFERROR(__xludf.DUMMYFUNCTION("IFERROR(SPARKLINE(W137,{""charttype"",""bar"";""color1"",IF(W137&gt;='Май'!green_percent,'Май'!green,IF(W137&gt;='Май'!yellow_percent,'Май'!yellow,IF(W137&gt;='Май'!orange_percent,'Май'!orange,'Май'!red)));""max"",1}))"),"")</f>
        <v/>
      </c>
      <c r="Y137" s="942">
        <v>0.8421052631578948</v>
      </c>
      <c r="Z137" s="1184" t="str">
        <f>Z136/Z133</f>
        <v>#DIV/0!</v>
      </c>
      <c r="AA137" s="942">
        <v>0.8421052631578948</v>
      </c>
      <c r="AB137" s="1184">
        <f>AB136/AB133</f>
        <v>1</v>
      </c>
      <c r="AC137" s="942">
        <v>0.8421052631578948</v>
      </c>
      <c r="AD137" s="1184" t="str">
        <f>AD136/AD133</f>
        <v>#DIV/0!</v>
      </c>
      <c r="AE137" s="942">
        <v>0.8421052631578948</v>
      </c>
      <c r="AF137" s="1184">
        <f>AF136/AF133</f>
        <v>1</v>
      </c>
      <c r="AG137" s="942">
        <v>0.8421052631578948</v>
      </c>
      <c r="AH137" s="824"/>
      <c r="AI137" s="942">
        <v>0.8421052631578948</v>
      </c>
      <c r="AJ137" s="825"/>
      <c r="AK137" s="942">
        <v>0.8421052631578948</v>
      </c>
      <c r="AL137" s="455"/>
      <c r="AM137" s="348">
        <f t="shared" ref="AM137:AN137" si="330">AM136/AM133</f>
        <v>0.8421052632</v>
      </c>
      <c r="AN137" s="279">
        <f t="shared" si="330"/>
        <v>1</v>
      </c>
      <c r="AO137" s="220">
        <f t="shared" si="294"/>
        <v>1.1875</v>
      </c>
      <c r="AP137" s="449" t="str">
        <f>IFERROR(__xludf.DUMMYFUNCTION("IFERROR(SPARKLINE(AO137,{""charttype"",""bar"";""color1"",IF(AO137&gt;='Май'!green_percent,'Май'!green,IF(AO137&gt;='Май'!yellow_percent,'Май'!yellow,IF(AO137&gt;='Май'!orange_percent,'Май'!orange,'Май'!red)));""max"",1}))"),"")</f>
        <v/>
      </c>
      <c r="AQ137" s="1194">
        <v>0.8421052631578948</v>
      </c>
      <c r="AR137" s="463"/>
      <c r="AS137" s="942">
        <v>0.8421052631578948</v>
      </c>
      <c r="AT137" s="463"/>
      <c r="AU137" s="942">
        <v>0.8421052631578948</v>
      </c>
      <c r="AV137" s="776"/>
      <c r="AW137" s="942">
        <v>0.8421052631578948</v>
      </c>
      <c r="AX137" s="776"/>
      <c r="AY137" s="942">
        <v>0.8421052631578948</v>
      </c>
      <c r="AZ137" s="776"/>
      <c r="BA137" s="942">
        <v>0.8421052631578948</v>
      </c>
      <c r="BB137" s="776"/>
      <c r="BC137" s="942">
        <v>0.8421052631578948</v>
      </c>
      <c r="BD137" s="1083"/>
      <c r="BE137" s="348">
        <v>0.8421052631578947</v>
      </c>
      <c r="BF137" s="279" t="str">
        <f>BF136/BF133</f>
        <v>#DIV/0!</v>
      </c>
      <c r="BG137" s="220" t="str">
        <f t="shared" si="296"/>
        <v/>
      </c>
      <c r="BH137" s="449" t="str">
        <f>IFERROR(__xludf.DUMMYFUNCTION("IFERROR(SPARKLINE(BG137,{""charttype"",""bar"";""color1"",IF(BG137&gt;='Май'!green_percent,'Май'!green,IF(BG137&gt;='Май'!yellow_percent,'Май'!yellow,IF(BG137&gt;='Май'!orange_percent,'Май'!orange,'Май'!red)));""max"",1}))"),"")</f>
        <v/>
      </c>
      <c r="BI137" s="1194">
        <v>0.8421052631578948</v>
      </c>
      <c r="BJ137" s="466"/>
      <c r="BK137" s="942">
        <v>0.8421052631578948</v>
      </c>
      <c r="BL137" s="465"/>
      <c r="BM137" s="942">
        <v>0.8421052631578948</v>
      </c>
      <c r="BN137" s="465"/>
      <c r="BO137" s="942">
        <v>0.8421052631578948</v>
      </c>
      <c r="BP137" s="532" t="str">
        <f>BP136/BP133</f>
        <v>#DIV/0!</v>
      </c>
      <c r="BQ137" s="942">
        <v>0.8421052631578948</v>
      </c>
      <c r="BR137" s="465"/>
      <c r="BS137" s="942">
        <v>0.8421052631578948</v>
      </c>
      <c r="BT137" s="465"/>
      <c r="BU137" s="942">
        <v>0.8421052631578948</v>
      </c>
      <c r="BV137" s="465"/>
      <c r="BW137" s="348">
        <v>0.8421052631578947</v>
      </c>
      <c r="BX137" s="279" t="str">
        <f>BX136/BX133</f>
        <v>#DIV/0!</v>
      </c>
      <c r="BY137" s="1181" t="str">
        <f t="shared" si="298"/>
        <v/>
      </c>
      <c r="BZ137" s="334" t="str">
        <f>IFERROR(__xludf.DUMMYFUNCTION("IFERROR(SPARKLINE(BY137,{""charttype"",""bar"";""color1"",IF(BY137&gt;='Май'!green_percent,'Май'!green,IF(BY137&gt;='Май'!yellow_percent,'Май'!yellow,IF(BY137&gt;='Май'!orange_percent,'Май'!orange,'Май'!red)));""max"",1}))"),"")</f>
        <v/>
      </c>
      <c r="CA137" s="942">
        <v>0.8421052631578948</v>
      </c>
      <c r="CB137" s="466"/>
      <c r="CC137" s="942">
        <v>0.8421052631578948</v>
      </c>
      <c r="CD137" s="466"/>
      <c r="CE137" s="942">
        <v>0.8421052631578948</v>
      </c>
      <c r="CF137" s="466"/>
      <c r="CG137" s="942">
        <v>0.8421052631578948</v>
      </c>
      <c r="CH137" s="466"/>
      <c r="CI137" s="942">
        <v>0.8421052631578948</v>
      </c>
      <c r="CJ137" s="466"/>
      <c r="CK137" s="942">
        <v>0.8421052631578948</v>
      </c>
      <c r="CL137" s="466"/>
      <c r="CM137" s="942">
        <v>0.8421052631578948</v>
      </c>
      <c r="CN137" s="466"/>
      <c r="CO137" s="1195">
        <v>0.8421052631578947</v>
      </c>
      <c r="CP137" s="230" t="str">
        <f>CP136/CP133</f>
        <v>#DIV/0!</v>
      </c>
      <c r="CQ137" s="840" t="str">
        <f t="shared" si="299"/>
        <v/>
      </c>
      <c r="CR137" s="841" t="str">
        <f>IFERROR(__xludf.DUMMYFUNCTION("IFERROR(SPARKLINE(CQ137,{""charttype"",""bar"";""color1"",IF(CQ137&gt;='Май'!green_percent,'Май'!green,IF(CQ137&gt;='Май'!yellow_percent,'Май'!yellow,IF(CQ137&gt;='Май'!orange_percent,'Май'!orange,'Май'!red)));""max"",1}))"),"")</f>
        <v/>
      </c>
      <c r="CS137" s="842"/>
      <c r="CT137" s="843"/>
      <c r="CU137" s="842"/>
      <c r="CV137" s="843"/>
      <c r="CW137" s="843"/>
      <c r="CX137" s="843"/>
      <c r="CY137" s="843"/>
      <c r="CZ137" s="843"/>
      <c r="DA137" s="843"/>
      <c r="DB137" s="843"/>
      <c r="DC137" s="843"/>
      <c r="DD137" s="843"/>
      <c r="DE137" s="843"/>
      <c r="DF137" s="843"/>
      <c r="DG137" s="289"/>
      <c r="DH137" s="844"/>
      <c r="DI137" s="310"/>
      <c r="DJ137" s="339"/>
      <c r="DK137" s="843"/>
      <c r="DL137" s="843"/>
    </row>
    <row r="138">
      <c r="A138" s="912"/>
      <c r="B138" s="937" t="s">
        <v>26</v>
      </c>
      <c r="C138" s="242"/>
      <c r="D138" s="242"/>
      <c r="E138" s="243"/>
      <c r="F138" s="244">
        <v>1.0</v>
      </c>
      <c r="G138" s="438">
        <f>SUMIFS(O138:DJ138,$O$11:$DJ$11,"Факт",$O$3:$DJ$3,"&gt;"&amp;EOMONTH('Май'!date,-1),$O$3:$DJ$3,"&lt;="&amp;EOMONTH('Май'!date,0))</f>
        <v>0</v>
      </c>
      <c r="H138" s="704">
        <f t="shared" si="326"/>
        <v>0</v>
      </c>
      <c r="I138" s="413" t="str">
        <f>IFERROR(__xludf.DUMMYFUNCTION("IFERROR(SPARKLINE(H138,{""charttype"",""bar"";""color1"",IF(H138&gt;='Май'!green_percent,'Май'!green,IF(H138&gt;='Май'!yellow_percent,'Май'!yellow,IF(H138&gt;='Май'!orange_percent,'Май'!orange,'Май'!red)));""max"",1}))"),"")</f>
        <v/>
      </c>
      <c r="J138" s="1172"/>
      <c r="K138" s="1025"/>
      <c r="L138" s="1196"/>
      <c r="M138" s="1025"/>
      <c r="N138" s="773"/>
      <c r="O138" s="1025">
        <f t="shared" ref="O138:O139" si="332">F138/30</f>
        <v>0.03333333333</v>
      </c>
      <c r="P138" s="776"/>
      <c r="Q138" s="932">
        <f t="shared" ref="Q138:Q139" si="333">F138/30</f>
        <v>0.03333333333</v>
      </c>
      <c r="R138" s="776"/>
      <c r="S138" s="932">
        <f t="shared" ref="S138:S139" si="334">F138/30</f>
        <v>0.03333333333</v>
      </c>
      <c r="T138" s="822">
        <v>0.0</v>
      </c>
      <c r="U138" s="535">
        <f t="shared" ref="U138:V138" si="331">O138+Q138+S138</f>
        <v>0.1</v>
      </c>
      <c r="V138" s="486">
        <f t="shared" si="331"/>
        <v>0</v>
      </c>
      <c r="W138" s="412">
        <f t="shared" si="293"/>
        <v>0</v>
      </c>
      <c r="X138" s="413" t="str">
        <f>IFERROR(__xludf.DUMMYFUNCTION("IFERROR(SPARKLINE(W138,{""charttype"",""bar"";""color1"",IF(W138&gt;='Май'!green_percent,'Май'!green,IF(W138&gt;='Май'!yellow_percent,'Май'!yellow,IF(W138&gt;='Май'!orange_percent,'Май'!orange,'Май'!red)));""max"",1}))"),"")</f>
        <v/>
      </c>
      <c r="Y138" s="432">
        <v>0.03333333333333333</v>
      </c>
      <c r="Z138" s="459">
        <v>0.0</v>
      </c>
      <c r="AA138" s="432">
        <v>0.03333333333333333</v>
      </c>
      <c r="AB138" s="459">
        <v>0.0</v>
      </c>
      <c r="AC138" s="432">
        <v>0.03333333333333333</v>
      </c>
      <c r="AD138" s="459">
        <v>0.0</v>
      </c>
      <c r="AE138" s="432">
        <v>0.03333333333333333</v>
      </c>
      <c r="AF138" s="459">
        <v>0.0</v>
      </c>
      <c r="AG138" s="432">
        <v>0.03333333333333333</v>
      </c>
      <c r="AH138" s="459">
        <v>0.0</v>
      </c>
      <c r="AI138" s="432">
        <v>0.03333333333333333</v>
      </c>
      <c r="AJ138" s="1179">
        <v>0.0</v>
      </c>
      <c r="AK138" s="432">
        <v>0.03333333333333333</v>
      </c>
      <c r="AL138" s="455">
        <v>0.0</v>
      </c>
      <c r="AM138" s="535">
        <f t="shared" ref="AM138:AM139" si="336">F138/30*7</f>
        <v>0.2333333333</v>
      </c>
      <c r="AN138" s="486">
        <f t="shared" ref="AN138:AN139" si="337">Z138+AB138+AD138+AF138+AH138+AJ138+AL138</f>
        <v>0</v>
      </c>
      <c r="AO138" s="412">
        <f t="shared" si="294"/>
        <v>0</v>
      </c>
      <c r="AP138" s="413" t="str">
        <f>IFERROR(__xludf.DUMMYFUNCTION("IFERROR(SPARKLINE(AO138,{""charttype"",""bar"";""color1"",IF(AO138&gt;='Май'!green_percent,'Май'!green,IF(AO138&gt;='Май'!yellow_percent,'Май'!yellow,IF(AO138&gt;='Май'!orange_percent,'Май'!orange,'Май'!red)));""max"",1}))"),"")</f>
        <v/>
      </c>
      <c r="AQ138" s="1192">
        <v>0.03333333333333333</v>
      </c>
      <c r="AR138" s="822">
        <v>0.0</v>
      </c>
      <c r="AS138" s="432">
        <v>0.03333333333333333</v>
      </c>
      <c r="AT138" s="822">
        <v>0.0</v>
      </c>
      <c r="AU138" s="432">
        <v>0.03333333333333333</v>
      </c>
      <c r="AV138" s="776">
        <v>0.0</v>
      </c>
      <c r="AW138" s="432">
        <v>0.03333333333333333</v>
      </c>
      <c r="AX138" s="776">
        <v>0.0</v>
      </c>
      <c r="AY138" s="432">
        <v>0.03333333333333333</v>
      </c>
      <c r="AZ138" s="776">
        <v>0.0</v>
      </c>
      <c r="BA138" s="432">
        <v>0.03333333333333333</v>
      </c>
      <c r="BB138" s="776">
        <v>0.0</v>
      </c>
      <c r="BC138" s="432">
        <v>0.03333333333333333</v>
      </c>
      <c r="BD138" s="1078">
        <v>0.0</v>
      </c>
      <c r="BE138" s="535">
        <v>0.23333333333333334</v>
      </c>
      <c r="BF138" s="486">
        <f t="shared" ref="BF138:BF139" si="338">AR138+AT138+AV138+AX138+AZ138+BB138+BD138</f>
        <v>0</v>
      </c>
      <c r="BG138" s="412">
        <f t="shared" si="296"/>
        <v>0</v>
      </c>
      <c r="BH138" s="413" t="str">
        <f>IFERROR(__xludf.DUMMYFUNCTION("IFERROR(SPARKLINE(BG138,{""charttype"",""bar"";""color1"",IF(BG138&gt;='Май'!green_percent,'Май'!green,IF(BG138&gt;='Май'!yellow_percent,'Май'!yellow,IF(BG138&gt;='Май'!orange_percent,'Май'!orange,'Май'!red)));""max"",1}))"),"")</f>
        <v/>
      </c>
      <c r="BI138" s="1192">
        <v>0.03333333333333333</v>
      </c>
      <c r="BJ138" s="710">
        <v>0.0</v>
      </c>
      <c r="BK138" s="432">
        <v>0.03333333333333333</v>
      </c>
      <c r="BL138" s="465">
        <v>0.0</v>
      </c>
      <c r="BM138" s="432">
        <v>0.03333333333333333</v>
      </c>
      <c r="BN138" s="716">
        <v>0.0</v>
      </c>
      <c r="BO138" s="432">
        <v>0.03333333333333333</v>
      </c>
      <c r="BP138" s="716">
        <v>0.0</v>
      </c>
      <c r="BQ138" s="432">
        <v>0.03333333333333333</v>
      </c>
      <c r="BR138" s="716">
        <v>0.0</v>
      </c>
      <c r="BS138" s="432">
        <v>0.03333333333333333</v>
      </c>
      <c r="BT138" s="716">
        <v>0.0</v>
      </c>
      <c r="BU138" s="432">
        <v>0.03333333333333333</v>
      </c>
      <c r="BV138" s="716">
        <v>0.0</v>
      </c>
      <c r="BW138" s="535">
        <v>0.23333333333333334</v>
      </c>
      <c r="BX138" s="486">
        <f t="shared" ref="BX138:BX139" si="339">BJ138+BL138+BN138+BP138+BR138+BT138+BV138</f>
        <v>0</v>
      </c>
      <c r="BY138" s="1177">
        <f t="shared" si="298"/>
        <v>0</v>
      </c>
      <c r="BZ138" s="318" t="str">
        <f>IFERROR(__xludf.DUMMYFUNCTION("IFERROR(SPARKLINE(BY138,{""charttype"",""bar"";""color1"",IF(BY138&gt;='Май'!green_percent,'Май'!green,IF(BY138&gt;='Май'!yellow_percent,'Май'!yellow,IF(BY138&gt;='Май'!orange_percent,'Май'!orange,'Май'!red)));""max"",1}))"),"")</f>
        <v/>
      </c>
      <c r="CA138" s="432">
        <v>0.03333333333333333</v>
      </c>
      <c r="CB138" s="710">
        <v>0.0</v>
      </c>
      <c r="CC138" s="432">
        <v>0.03333333333333333</v>
      </c>
      <c r="CD138" s="710"/>
      <c r="CE138" s="432">
        <v>0.03333333333333333</v>
      </c>
      <c r="CF138" s="710">
        <v>0.0</v>
      </c>
      <c r="CG138" s="432">
        <v>0.03333333333333333</v>
      </c>
      <c r="CH138" s="710">
        <v>0.0</v>
      </c>
      <c r="CI138" s="432">
        <v>0.03333333333333333</v>
      </c>
      <c r="CJ138" s="710">
        <v>0.0</v>
      </c>
      <c r="CK138" s="432">
        <v>0.03333333333333333</v>
      </c>
      <c r="CL138" s="710">
        <v>0.0</v>
      </c>
      <c r="CM138" s="432">
        <v>0.03333333333333333</v>
      </c>
      <c r="CN138" s="710">
        <v>0.0</v>
      </c>
      <c r="CO138" s="1197">
        <v>0.23333333333333334</v>
      </c>
      <c r="CP138" s="258">
        <f t="shared" ref="CP138:CP139" si="340">CB138+CD138+CF138+CH138+CJ138+CL138+CN138</f>
        <v>0</v>
      </c>
      <c r="CQ138" s="1087">
        <f t="shared" si="299"/>
        <v>0</v>
      </c>
      <c r="CR138" s="1088" t="str">
        <f>IFERROR(__xludf.DUMMYFUNCTION("IFERROR(SPARKLINE(CQ138,{""charttype"",""bar"";""color1"",IF(CQ138&gt;='Май'!green_percent,'Май'!green,IF(CQ138&gt;='Май'!yellow_percent,'Май'!yellow,IF(CQ138&gt;='Май'!orange_percent,'Май'!orange,'Май'!red)));""max"",1}))"),"")</f>
        <v/>
      </c>
      <c r="CS138" s="842"/>
      <c r="CT138" s="875"/>
      <c r="CU138" s="842"/>
      <c r="CV138" s="875"/>
      <c r="CW138" s="875"/>
      <c r="CX138" s="875"/>
      <c r="CY138" s="875"/>
      <c r="CZ138" s="875"/>
      <c r="DA138" s="875"/>
      <c r="DB138" s="875"/>
      <c r="DC138" s="875"/>
      <c r="DD138" s="875"/>
      <c r="DE138" s="875"/>
      <c r="DF138" s="875"/>
      <c r="DG138" s="326"/>
      <c r="DH138" s="876"/>
      <c r="DI138" s="327"/>
      <c r="DJ138" s="329"/>
      <c r="DK138" s="875"/>
      <c r="DL138" s="875"/>
    </row>
    <row r="139">
      <c r="A139" s="927"/>
      <c r="B139" s="934" t="s">
        <v>39</v>
      </c>
      <c r="C139" s="217"/>
      <c r="D139" s="217"/>
      <c r="E139" s="218"/>
      <c r="F139" s="495">
        <v>1000000.0</v>
      </c>
      <c r="G139" s="495">
        <f>SUMIFS(O139:DJ139,$O$11:$DJ$11,"Факт",$O$3:$DJ$3,"&gt;"&amp;EOMONTH('Май'!date,-1),$O$3:$DJ$3,"&lt;="&amp;EOMONTH('Май'!date,0))</f>
        <v>0</v>
      </c>
      <c r="H139" s="543">
        <f t="shared" si="326"/>
        <v>0</v>
      </c>
      <c r="I139" s="449" t="str">
        <f>IFERROR(__xludf.DUMMYFUNCTION("IFERROR(SPARKLINE(H139,{""charttype"",""bar"";""color1"",IF(H139&gt;='Май'!green_percent,'Май'!green,IF(H139&gt;='Май'!yellow_percent,'Май'!yellow,IF(H139&gt;='Май'!orange_percent,'Май'!orange,'Май'!red)));""max"",1}))"),"")</f>
        <v/>
      </c>
      <c r="J139" s="1172"/>
      <c r="K139" s="419"/>
      <c r="L139" s="1175"/>
      <c r="M139" s="419"/>
      <c r="N139" s="753"/>
      <c r="O139" s="419">
        <f t="shared" si="332"/>
        <v>33333.33333</v>
      </c>
      <c r="P139" s="786"/>
      <c r="Q139" s="1018">
        <f t="shared" si="333"/>
        <v>33333.33333</v>
      </c>
      <c r="R139" s="786"/>
      <c r="S139" s="1018">
        <f t="shared" si="334"/>
        <v>33333.33333</v>
      </c>
      <c r="T139" s="463"/>
      <c r="U139" s="565">
        <f t="shared" ref="U139:V139" si="335">O139+Q139+S139</f>
        <v>100000</v>
      </c>
      <c r="V139" s="499">
        <f t="shared" si="335"/>
        <v>0</v>
      </c>
      <c r="W139" s="220">
        <f t="shared" si="293"/>
        <v>0</v>
      </c>
      <c r="X139" s="449" t="str">
        <f>IFERROR(__xludf.DUMMYFUNCTION("IFERROR(SPARKLINE(W139,{""charttype"",""bar"";""color1"",IF(W139&gt;='Май'!green_percent,'Май'!green,IF(W139&gt;='Май'!yellow_percent,'Май'!yellow,IF(W139&gt;='Май'!orange_percent,'Май'!orange,'Май'!red)));""max"",1}))"),"")</f>
        <v/>
      </c>
      <c r="Y139" s="837">
        <v>33333.333333333336</v>
      </c>
      <c r="Z139" s="824"/>
      <c r="AA139" s="837">
        <v>33333.333333333336</v>
      </c>
      <c r="AB139" s="459">
        <v>0.0</v>
      </c>
      <c r="AC139" s="837">
        <v>33333.333333333336</v>
      </c>
      <c r="AD139" s="459">
        <v>0.0</v>
      </c>
      <c r="AE139" s="837">
        <v>33333.333333333336</v>
      </c>
      <c r="AF139" s="824"/>
      <c r="AG139" s="837">
        <v>33333.333333333336</v>
      </c>
      <c r="AH139" s="824"/>
      <c r="AI139" s="837">
        <v>33333.333333333336</v>
      </c>
      <c r="AJ139" s="825"/>
      <c r="AK139" s="837">
        <v>33333.333333333336</v>
      </c>
      <c r="AL139" s="455"/>
      <c r="AM139" s="277">
        <f t="shared" si="336"/>
        <v>233333.3333</v>
      </c>
      <c r="AN139" s="464">
        <f t="shared" si="337"/>
        <v>0</v>
      </c>
      <c r="AO139" s="220">
        <f t="shared" si="294"/>
        <v>0</v>
      </c>
      <c r="AP139" s="449" t="str">
        <f>IFERROR(__xludf.DUMMYFUNCTION("IFERROR(SPARKLINE(AO139,{""charttype"",""bar"";""color1"",IF(AO139&gt;='Май'!green_percent,'Май'!green,IF(AO139&gt;='Май'!yellow_percent,'Май'!yellow,IF(AO139&gt;='Май'!orange_percent,'Май'!orange,'Май'!red)));""max"",1}))"),"")</f>
        <v/>
      </c>
      <c r="AQ139" s="1188">
        <v>33333.333333333336</v>
      </c>
      <c r="AR139" s="463"/>
      <c r="AS139" s="837">
        <v>33333.333333333336</v>
      </c>
      <c r="AT139" s="463"/>
      <c r="AU139" s="837">
        <v>33333.333333333336</v>
      </c>
      <c r="AV139" s="776"/>
      <c r="AW139" s="837">
        <v>33333.333333333336</v>
      </c>
      <c r="AX139" s="776"/>
      <c r="AY139" s="837">
        <v>33333.333333333336</v>
      </c>
      <c r="AZ139" s="776"/>
      <c r="BA139" s="837">
        <v>33333.333333333336</v>
      </c>
      <c r="BB139" s="776"/>
      <c r="BC139" s="837">
        <v>33333.333333333336</v>
      </c>
      <c r="BD139" s="1083"/>
      <c r="BE139" s="277">
        <v>233333.33333333334</v>
      </c>
      <c r="BF139" s="464">
        <f t="shared" si="338"/>
        <v>0</v>
      </c>
      <c r="BG139" s="220">
        <f t="shared" si="296"/>
        <v>0</v>
      </c>
      <c r="BH139" s="449" t="str">
        <f>IFERROR(__xludf.DUMMYFUNCTION("IFERROR(SPARKLINE(BG139,{""charttype"",""bar"";""color1"",IF(BG139&gt;='Май'!green_percent,'Май'!green,IF(BG139&gt;='Май'!yellow_percent,'Май'!yellow,IF(BG139&gt;='Май'!orange_percent,'Май'!orange,'Май'!red)));""max"",1}))"),"")</f>
        <v/>
      </c>
      <c r="BI139" s="1188">
        <v>33333.333333333336</v>
      </c>
      <c r="BJ139" s="466"/>
      <c r="BK139" s="837">
        <v>33333.333333333336</v>
      </c>
      <c r="BL139" s="465"/>
      <c r="BM139" s="837">
        <v>33333.333333333336</v>
      </c>
      <c r="BN139" s="465"/>
      <c r="BO139" s="837">
        <v>33333.333333333336</v>
      </c>
      <c r="BP139" s="465"/>
      <c r="BQ139" s="837">
        <v>33333.333333333336</v>
      </c>
      <c r="BR139" s="465"/>
      <c r="BS139" s="837">
        <v>33333.333333333336</v>
      </c>
      <c r="BT139" s="465"/>
      <c r="BU139" s="837">
        <v>33333.333333333336</v>
      </c>
      <c r="BV139" s="465"/>
      <c r="BW139" s="277">
        <v>233333.33333333334</v>
      </c>
      <c r="BX139" s="464">
        <f t="shared" si="339"/>
        <v>0</v>
      </c>
      <c r="BY139" s="1181">
        <f t="shared" si="298"/>
        <v>0</v>
      </c>
      <c r="BZ139" s="334" t="str">
        <f>IFERROR(__xludf.DUMMYFUNCTION("IFERROR(SPARKLINE(BY139,{""charttype"",""bar"";""color1"",IF(BY139&gt;='Май'!green_percent,'Май'!green,IF(BY139&gt;='Май'!yellow_percent,'Май'!yellow,IF(BY139&gt;='Май'!orange_percent,'Май'!orange,'Май'!red)));""max"",1}))"),"")</f>
        <v/>
      </c>
      <c r="CA139" s="837">
        <v>33333.333333333336</v>
      </c>
      <c r="CB139" s="466"/>
      <c r="CC139" s="837">
        <v>33333.333333333336</v>
      </c>
      <c r="CD139" s="466"/>
      <c r="CE139" s="837">
        <v>33333.333333333336</v>
      </c>
      <c r="CF139" s="466"/>
      <c r="CG139" s="837">
        <v>33333.333333333336</v>
      </c>
      <c r="CH139" s="466"/>
      <c r="CI139" s="837">
        <v>33333.333333333336</v>
      </c>
      <c r="CJ139" s="466"/>
      <c r="CK139" s="837">
        <v>33333.333333333336</v>
      </c>
      <c r="CL139" s="466"/>
      <c r="CM139" s="837">
        <v>33333.333333333336</v>
      </c>
      <c r="CN139" s="466"/>
      <c r="CO139" s="1189">
        <v>233333.33333333334</v>
      </c>
      <c r="CP139" s="733">
        <f t="shared" si="340"/>
        <v>0</v>
      </c>
      <c r="CQ139" s="840">
        <f t="shared" si="299"/>
        <v>0</v>
      </c>
      <c r="CR139" s="841" t="str">
        <f>IFERROR(__xludf.DUMMYFUNCTION("IFERROR(SPARKLINE(CQ139,{""charttype"",""bar"";""color1"",IF(CQ139&gt;='Май'!green_percent,'Май'!green,IF(CQ139&gt;='Май'!yellow_percent,'Май'!yellow,IF(CQ139&gt;='Май'!orange_percent,'Май'!orange,'Май'!red)));""max"",1}))"),"")</f>
        <v/>
      </c>
      <c r="CS139" s="842"/>
      <c r="CT139" s="843"/>
      <c r="CU139" s="842"/>
      <c r="CV139" s="843"/>
      <c r="CW139" s="843"/>
      <c r="CX139" s="843"/>
      <c r="CY139" s="843"/>
      <c r="CZ139" s="843"/>
      <c r="DA139" s="843"/>
      <c r="DB139" s="843"/>
      <c r="DC139" s="843"/>
      <c r="DD139" s="843"/>
      <c r="DE139" s="843"/>
      <c r="DF139" s="843"/>
      <c r="DG139" s="289"/>
      <c r="DH139" s="844"/>
      <c r="DI139" s="310"/>
      <c r="DJ139" s="339"/>
      <c r="DK139" s="843"/>
      <c r="DL139" s="843"/>
    </row>
    <row r="140">
      <c r="A140" s="912"/>
      <c r="B140" s="937" t="s">
        <v>47</v>
      </c>
      <c r="C140" s="242"/>
      <c r="D140" s="242"/>
      <c r="E140" s="243"/>
      <c r="F140" s="412">
        <f t="shared" ref="F140:G140" si="341">F138/F133</f>
        <v>0.05263157895</v>
      </c>
      <c r="G140" s="412">
        <f t="shared" si="341"/>
        <v>0</v>
      </c>
      <c r="H140" s="704">
        <f t="shared" si="326"/>
        <v>0</v>
      </c>
      <c r="I140" s="413" t="str">
        <f>IFERROR(__xludf.DUMMYFUNCTION("IFERROR(SPARKLINE(H140,{""charttype"",""bar"";""color1"",IF(H140&gt;='Май'!green_percent,'Май'!green,IF(H140&gt;='Май'!yellow_percent,'Май'!yellow,IF(H140&gt;='Май'!orange_percent,'Май'!orange,'Май'!red)));""max"",1}))"),"")</f>
        <v/>
      </c>
      <c r="J140" s="1172"/>
      <c r="K140" s="515"/>
      <c r="L140" s="953"/>
      <c r="M140" s="515"/>
      <c r="N140" s="752"/>
      <c r="O140" s="515">
        <f>O138/O136</f>
        <v>0.0625</v>
      </c>
      <c r="P140" s="776"/>
      <c r="Q140" s="941">
        <f>Q138/Q136</f>
        <v>0.0625</v>
      </c>
      <c r="R140" s="776"/>
      <c r="S140" s="941">
        <f>S138/S136</f>
        <v>0.0625</v>
      </c>
      <c r="T140" s="822"/>
      <c r="U140" s="316">
        <f>U138/U136</f>
        <v>0.0625</v>
      </c>
      <c r="V140" s="253"/>
      <c r="W140" s="412">
        <f t="shared" si="293"/>
        <v>0</v>
      </c>
      <c r="X140" s="413" t="str">
        <f>IFERROR(__xludf.DUMMYFUNCTION("IFERROR(SPARKLINE(W140,{""charttype"",""bar"";""color1"",IF(W140&gt;='Май'!green_percent,'Май'!green,IF(W140&gt;='Май'!yellow_percent,'Май'!yellow,IF(W140&gt;='Май'!orange_percent,'Май'!orange,'Май'!red)));""max"",1}))"),"")</f>
        <v/>
      </c>
      <c r="Y140" s="541">
        <v>0.0625</v>
      </c>
      <c r="Z140" s="824"/>
      <c r="AA140" s="541">
        <v>0.0625</v>
      </c>
      <c r="AB140" s="824"/>
      <c r="AC140" s="541">
        <v>0.0625</v>
      </c>
      <c r="AD140" s="824"/>
      <c r="AE140" s="541">
        <v>0.0625</v>
      </c>
      <c r="AF140" s="824"/>
      <c r="AG140" s="541">
        <v>0.0625</v>
      </c>
      <c r="AH140" s="824"/>
      <c r="AI140" s="541">
        <v>0.0625</v>
      </c>
      <c r="AJ140" s="825"/>
      <c r="AK140" s="541">
        <v>0.0625</v>
      </c>
      <c r="AL140" s="455"/>
      <c r="AM140" s="316">
        <f t="shared" ref="AM140:AN140" si="342">AM138/AM136</f>
        <v>0.0625</v>
      </c>
      <c r="AN140" s="253">
        <f t="shared" si="342"/>
        <v>0</v>
      </c>
      <c r="AO140" s="412">
        <f t="shared" si="294"/>
        <v>0</v>
      </c>
      <c r="AP140" s="413" t="str">
        <f>IFERROR(__xludf.DUMMYFUNCTION("IFERROR(SPARKLINE(AO140,{""charttype"",""bar"";""color1"",IF(AO140&gt;='Май'!green_percent,'Май'!green,IF(AO140&gt;='Май'!yellow_percent,'Май'!yellow,IF(AO140&gt;='Май'!orange_percent,'Май'!orange,'Май'!red)));""max"",1}))"),"")</f>
        <v/>
      </c>
      <c r="AQ140" s="1186">
        <v>0.0625</v>
      </c>
      <c r="AR140" s="822"/>
      <c r="AS140" s="541">
        <v>0.0625</v>
      </c>
      <c r="AT140" s="822"/>
      <c r="AU140" s="541">
        <v>0.0625</v>
      </c>
      <c r="AV140" s="776"/>
      <c r="AW140" s="541">
        <v>0.0625</v>
      </c>
      <c r="AX140" s="776"/>
      <c r="AY140" s="541">
        <v>0.0625</v>
      </c>
      <c r="AZ140" s="776"/>
      <c r="BA140" s="541">
        <v>0.0625</v>
      </c>
      <c r="BB140" s="776"/>
      <c r="BC140" s="541">
        <v>0.0625</v>
      </c>
      <c r="BD140" s="1078"/>
      <c r="BE140" s="316">
        <v>0.0625</v>
      </c>
      <c r="BF140" s="253" t="str">
        <f>BF138/BF136</f>
        <v>#DIV/0!</v>
      </c>
      <c r="BG140" s="412" t="str">
        <f t="shared" si="296"/>
        <v/>
      </c>
      <c r="BH140" s="413" t="str">
        <f>IFERROR(__xludf.DUMMYFUNCTION("IFERROR(SPARKLINE(BG140,{""charttype"",""bar"";""color1"",IF(BG140&gt;='Май'!green_percent,'Май'!green,IF(BG140&gt;='Май'!yellow_percent,'Май'!yellow,IF(BG140&gt;='Май'!orange_percent,'Май'!orange,'Май'!red)));""max"",1}))"),"")</f>
        <v/>
      </c>
      <c r="BI140" s="1186">
        <v>0.0625</v>
      </c>
      <c r="BJ140" s="710"/>
      <c r="BK140" s="541">
        <v>0.0625</v>
      </c>
      <c r="BL140" s="465"/>
      <c r="BM140" s="541">
        <v>0.0625</v>
      </c>
      <c r="BN140" s="716"/>
      <c r="BO140" s="541">
        <v>0.0625</v>
      </c>
      <c r="BP140" s="716"/>
      <c r="BQ140" s="541">
        <v>0.0625</v>
      </c>
      <c r="BR140" s="716"/>
      <c r="BS140" s="541">
        <v>0.0625</v>
      </c>
      <c r="BT140" s="716"/>
      <c r="BU140" s="541">
        <v>0.0625</v>
      </c>
      <c r="BV140" s="716"/>
      <c r="BW140" s="316">
        <v>0.0625</v>
      </c>
      <c r="BX140" s="486" t="str">
        <f>BX138/BX136</f>
        <v>#DIV/0!</v>
      </c>
      <c r="BY140" s="1177" t="str">
        <f t="shared" si="298"/>
        <v/>
      </c>
      <c r="BZ140" s="318" t="str">
        <f>IFERROR(__xludf.DUMMYFUNCTION("IFERROR(SPARKLINE(BY140,{""charttype"",""bar"";""color1"",IF(BY140&gt;='Май'!green_percent,'Май'!green,IF(BY140&gt;='Май'!yellow_percent,'Май'!yellow,IF(BY140&gt;='Май'!orange_percent,'Май'!orange,'Май'!red)));""max"",1}))"),"")</f>
        <v/>
      </c>
      <c r="CA140" s="541">
        <v>0.0625</v>
      </c>
      <c r="CB140" s="710"/>
      <c r="CC140" s="541">
        <v>0.0625</v>
      </c>
      <c r="CD140" s="710"/>
      <c r="CE140" s="541">
        <v>0.0625</v>
      </c>
      <c r="CF140" s="710"/>
      <c r="CG140" s="541">
        <v>0.0625</v>
      </c>
      <c r="CH140" s="710"/>
      <c r="CI140" s="541">
        <v>0.0625</v>
      </c>
      <c r="CJ140" s="710"/>
      <c r="CK140" s="541">
        <v>0.0625</v>
      </c>
      <c r="CL140" s="710"/>
      <c r="CM140" s="541">
        <v>0.0625</v>
      </c>
      <c r="CN140" s="710"/>
      <c r="CO140" s="319">
        <v>0.0625</v>
      </c>
      <c r="CP140" s="258" t="str">
        <f>CP138/CP136</f>
        <v>#DIV/0!</v>
      </c>
      <c r="CQ140" s="1087" t="str">
        <f t="shared" si="299"/>
        <v/>
      </c>
      <c r="CR140" s="1088" t="str">
        <f>IFERROR(__xludf.DUMMYFUNCTION("IFERROR(SPARKLINE(CQ140,{""charttype"",""bar"";""color1"",IF(CQ140&gt;='Май'!green_percent,'Май'!green,IF(CQ140&gt;='Май'!yellow_percent,'Май'!yellow,IF(CQ140&gt;='Май'!orange_percent,'Май'!orange,'Май'!red)));""max"",1}))"),"")</f>
        <v/>
      </c>
      <c r="CS140" s="842"/>
      <c r="CT140" s="875"/>
      <c r="CU140" s="842"/>
      <c r="CV140" s="875"/>
      <c r="CW140" s="875"/>
      <c r="CX140" s="875"/>
      <c r="CY140" s="875"/>
      <c r="CZ140" s="875"/>
      <c r="DA140" s="875"/>
      <c r="DB140" s="875"/>
      <c r="DC140" s="875"/>
      <c r="DD140" s="875"/>
      <c r="DE140" s="875"/>
      <c r="DF140" s="875"/>
      <c r="DG140" s="326"/>
      <c r="DH140" s="876"/>
      <c r="DI140" s="327"/>
      <c r="DJ140" s="329"/>
      <c r="DK140" s="875"/>
      <c r="DL140" s="875"/>
    </row>
    <row r="141">
      <c r="A141" s="927"/>
      <c r="B141" s="954" t="s">
        <v>27</v>
      </c>
      <c r="C141" s="217"/>
      <c r="D141" s="217"/>
      <c r="E141" s="218"/>
      <c r="F141" s="448">
        <f t="shared" ref="F141:G141" si="343">F130/F138</f>
        <v>740250</v>
      </c>
      <c r="G141" s="270" t="str">
        <f t="shared" si="343"/>
        <v>#DIV/0!</v>
      </c>
      <c r="H141" s="543" t="str">
        <f t="shared" si="326"/>
        <v/>
      </c>
      <c r="I141" s="449" t="str">
        <f>IFERROR(__xludf.DUMMYFUNCTION("IFERROR(SPARKLINE(H141,{""charttype"",""bar"";""color1"",IF(H141&gt;='Май'!green_percent,'Май'!green,IF(H141&gt;='Май'!yellow_percent,'Май'!yellow,IF(H141&gt;='Май'!orange_percent,'Май'!orange,'Май'!red)));""max"",1}))"),"")</f>
        <v/>
      </c>
      <c r="J141" s="1198"/>
      <c r="K141" s="1199"/>
      <c r="L141" s="1200"/>
      <c r="M141" s="1199"/>
      <c r="N141" s="1201"/>
      <c r="O141" s="419">
        <f>F141</f>
        <v>740250</v>
      </c>
      <c r="P141" s="786"/>
      <c r="Q141" s="1018">
        <f>F141</f>
        <v>740250</v>
      </c>
      <c r="R141" s="786"/>
      <c r="S141" s="1018">
        <f>F141</f>
        <v>740250</v>
      </c>
      <c r="T141" s="463"/>
      <c r="U141" s="565">
        <f>F141</f>
        <v>740250</v>
      </c>
      <c r="V141" s="563" t="str">
        <f>V130/V138</f>
        <v>#DIV/0!</v>
      </c>
      <c r="W141" s="220" t="str">
        <f t="shared" si="293"/>
        <v/>
      </c>
      <c r="X141" s="449" t="str">
        <f>IFERROR(__xludf.DUMMYFUNCTION("IFERROR(SPARKLINE(W141,{""charttype"",""bar"";""color1"",IF(W141&gt;='Май'!green_percent,'Май'!green,IF(W141&gt;='Май'!yellow_percent,'Май'!yellow,IF(W141&gt;='Май'!orange_percent,'Май'!orange,'Май'!red)));""max"",1}))"),"")</f>
        <v/>
      </c>
      <c r="Y141" s="837">
        <v>740250.0</v>
      </c>
      <c r="Z141" s="824"/>
      <c r="AA141" s="837">
        <v>740250.0</v>
      </c>
      <c r="AB141" s="824"/>
      <c r="AC141" s="837">
        <v>740250.0</v>
      </c>
      <c r="AD141" s="824"/>
      <c r="AE141" s="837">
        <v>740250.0</v>
      </c>
      <c r="AF141" s="824"/>
      <c r="AG141" s="837">
        <v>740250.0</v>
      </c>
      <c r="AH141" s="824"/>
      <c r="AI141" s="837">
        <v>740250.0</v>
      </c>
      <c r="AJ141" s="825"/>
      <c r="AK141" s="837">
        <v>740250.0</v>
      </c>
      <c r="AL141" s="455"/>
      <c r="AM141" s="837">
        <v>740250.0</v>
      </c>
      <c r="AN141" s="464"/>
      <c r="AO141" s="220">
        <f t="shared" si="294"/>
        <v>0</v>
      </c>
      <c r="AP141" s="449" t="str">
        <f>IFERROR(__xludf.DUMMYFUNCTION("IFERROR(SPARKLINE(AO141,{""charttype"",""bar"";""color1"",IF(AO141&gt;='Май'!green_percent,'Май'!green,IF(AO141&gt;='Май'!yellow_percent,'Май'!yellow,IF(AO141&gt;='Май'!orange_percent,'Май'!orange,'Май'!red)));""max"",1}))"),"")</f>
        <v/>
      </c>
      <c r="AQ141" s="1188">
        <v>740250.0</v>
      </c>
      <c r="AR141" s="463"/>
      <c r="AS141" s="837">
        <v>740250.0</v>
      </c>
      <c r="AT141" s="463"/>
      <c r="AU141" s="837">
        <v>740250.0</v>
      </c>
      <c r="AV141" s="776"/>
      <c r="AW141" s="837">
        <v>740250.0</v>
      </c>
      <c r="AX141" s="776"/>
      <c r="AY141" s="837">
        <v>740250.0</v>
      </c>
      <c r="AZ141" s="776"/>
      <c r="BA141" s="837">
        <v>740250.0</v>
      </c>
      <c r="BB141" s="776"/>
      <c r="BC141" s="837">
        <v>740250.0</v>
      </c>
      <c r="BD141" s="1083"/>
      <c r="BE141" s="837">
        <v>740250.0</v>
      </c>
      <c r="BF141" s="464"/>
      <c r="BG141" s="220">
        <f t="shared" si="296"/>
        <v>0</v>
      </c>
      <c r="BH141" s="449" t="str">
        <f>IFERROR(__xludf.DUMMYFUNCTION("IFERROR(SPARKLINE(BG141,{""charttype"",""bar"";""color1"",IF(BG141&gt;='Май'!green_percent,'Май'!green,IF(BG141&gt;='Май'!yellow_percent,'Май'!yellow,IF(BG141&gt;='Май'!orange_percent,'Май'!orange,'Май'!red)));""max"",1}))"),"")</f>
        <v/>
      </c>
      <c r="BI141" s="1188">
        <v>740250.0</v>
      </c>
      <c r="BJ141" s="466"/>
      <c r="BK141" s="837">
        <v>740250.0</v>
      </c>
      <c r="BL141" s="465"/>
      <c r="BM141" s="837">
        <v>740250.0</v>
      </c>
      <c r="BN141" s="465"/>
      <c r="BO141" s="837">
        <v>740250.0</v>
      </c>
      <c r="BP141" s="465"/>
      <c r="BQ141" s="837">
        <v>740250.0</v>
      </c>
      <c r="BR141" s="465"/>
      <c r="BS141" s="837">
        <v>740250.0</v>
      </c>
      <c r="BT141" s="465"/>
      <c r="BU141" s="837">
        <v>740250.0</v>
      </c>
      <c r="BV141" s="465"/>
      <c r="BW141" s="277">
        <v>740250.0</v>
      </c>
      <c r="BX141" s="464"/>
      <c r="BY141" s="1181">
        <f t="shared" si="298"/>
        <v>0</v>
      </c>
      <c r="BZ141" s="334" t="str">
        <f>IFERROR(__xludf.DUMMYFUNCTION("IFERROR(SPARKLINE(BY141,{""charttype"",""bar"";""color1"",IF(BY141&gt;='Май'!green_percent,'Май'!green,IF(BY141&gt;='Май'!yellow_percent,'Май'!yellow,IF(BY141&gt;='Май'!orange_percent,'Май'!orange,'Май'!red)));""max"",1}))"),"")</f>
        <v/>
      </c>
      <c r="CA141" s="837">
        <v>740250.0</v>
      </c>
      <c r="CB141" s="466"/>
      <c r="CC141" s="837">
        <v>740250.0</v>
      </c>
      <c r="CD141" s="466"/>
      <c r="CE141" s="837">
        <v>740250.0</v>
      </c>
      <c r="CF141" s="466"/>
      <c r="CG141" s="837">
        <v>740250.0</v>
      </c>
      <c r="CH141" s="466"/>
      <c r="CI141" s="837">
        <v>740250.0</v>
      </c>
      <c r="CJ141" s="466"/>
      <c r="CK141" s="837">
        <v>740250.0</v>
      </c>
      <c r="CL141" s="466"/>
      <c r="CM141" s="837">
        <v>740250.0</v>
      </c>
      <c r="CN141" s="466"/>
      <c r="CO141" s="1189">
        <v>740250.0</v>
      </c>
      <c r="CP141" s="733"/>
      <c r="CQ141" s="840">
        <f t="shared" si="299"/>
        <v>0</v>
      </c>
      <c r="CR141" s="841" t="str">
        <f>IFERROR(__xludf.DUMMYFUNCTION("IFERROR(SPARKLINE(CQ141,{""charttype"",""bar"";""color1"",IF(CQ141&gt;='Май'!green_percent,'Май'!green,IF(CQ141&gt;='Май'!yellow_percent,'Май'!yellow,IF(CQ141&gt;='Май'!orange_percent,'Май'!orange,'Май'!red)));""max"",1}))"),"")</f>
        <v/>
      </c>
      <c r="CS141" s="842"/>
      <c r="CT141" s="843"/>
      <c r="CU141" s="842"/>
      <c r="CV141" s="843"/>
      <c r="CW141" s="843"/>
      <c r="CX141" s="843"/>
      <c r="CY141" s="843"/>
      <c r="CZ141" s="843"/>
      <c r="DA141" s="843"/>
      <c r="DB141" s="843"/>
      <c r="DC141" s="843"/>
      <c r="DD141" s="843"/>
      <c r="DE141" s="843"/>
      <c r="DF141" s="843"/>
      <c r="DG141" s="289"/>
      <c r="DH141" s="844"/>
      <c r="DI141" s="310"/>
      <c r="DJ141" s="339"/>
      <c r="DK141" s="843"/>
      <c r="DL141" s="843"/>
    </row>
    <row r="142">
      <c r="A142" s="912"/>
      <c r="B142" s="1202" t="s">
        <v>28</v>
      </c>
      <c r="C142" s="242"/>
      <c r="D142" s="242"/>
      <c r="E142" s="243"/>
      <c r="F142" s="244"/>
      <c r="G142" s="438">
        <f>SUMIFS(O142:DJ142,$O$11:$DJ$11,"Факт",$O$3:$DJ$3,"&gt;"&amp;EOMONTH('Май'!date,-1),$O$3:$DJ$3,"&lt;="&amp;EOMONTH('Май'!date,0))</f>
        <v>2</v>
      </c>
      <c r="H142" s="704"/>
      <c r="I142" s="413"/>
      <c r="J142" s="1119"/>
      <c r="K142" s="1203"/>
      <c r="L142" s="1204"/>
      <c r="M142" s="1205"/>
      <c r="N142" s="1206"/>
      <c r="O142" s="497"/>
      <c r="P142" s="786"/>
      <c r="Q142" s="1018"/>
      <c r="R142" s="786"/>
      <c r="S142" s="1018"/>
      <c r="T142" s="822"/>
      <c r="U142" s="591"/>
      <c r="V142" s="592"/>
      <c r="W142" s="412"/>
      <c r="X142" s="413"/>
      <c r="Y142" s="425"/>
      <c r="Z142" s="824"/>
      <c r="AA142" s="425"/>
      <c r="AB142" s="824"/>
      <c r="AC142" s="425"/>
      <c r="AD142" s="459"/>
      <c r="AE142" s="425"/>
      <c r="AF142" s="824"/>
      <c r="AG142" s="425"/>
      <c r="AH142" s="824"/>
      <c r="AI142" s="425"/>
      <c r="AJ142" s="825"/>
      <c r="AK142" s="425"/>
      <c r="AL142" s="455"/>
      <c r="AM142" s="255"/>
      <c r="AN142" s="486">
        <f t="shared" ref="AN142:AN143" si="344">Z142+AB142+AD142+AF142+AH142+AJ142+AL142</f>
        <v>0</v>
      </c>
      <c r="AO142" s="253"/>
      <c r="AP142" s="427"/>
      <c r="AQ142" s="1644"/>
      <c r="AR142" s="822">
        <v>1.0</v>
      </c>
      <c r="AS142" s="425"/>
      <c r="AT142" s="822">
        <v>1.0</v>
      </c>
      <c r="AU142" s="425"/>
      <c r="AV142" s="776"/>
      <c r="AW142" s="425"/>
      <c r="AX142" s="776"/>
      <c r="AY142" s="425"/>
      <c r="AZ142" s="776"/>
      <c r="BA142" s="425"/>
      <c r="BB142" s="776"/>
      <c r="BC142" s="425"/>
      <c r="BD142" s="1078"/>
      <c r="BE142" s="255"/>
      <c r="BF142" s="486">
        <f t="shared" ref="BF142:BF143" si="345">AR142+AT142+AV142+AX142+AZ142+BB142+BD142</f>
        <v>2</v>
      </c>
      <c r="BG142" s="253"/>
      <c r="BH142" s="427"/>
      <c r="BI142" s="1174"/>
      <c r="BJ142" s="710"/>
      <c r="BK142" s="425"/>
      <c r="BL142" s="465"/>
      <c r="BM142" s="425"/>
      <c r="BN142" s="716"/>
      <c r="BO142" s="425"/>
      <c r="BP142" s="716"/>
      <c r="BQ142" s="425"/>
      <c r="BR142" s="716"/>
      <c r="BS142" s="425"/>
      <c r="BT142" s="716"/>
      <c r="BU142" s="425"/>
      <c r="BV142" s="716"/>
      <c r="BW142" s="255"/>
      <c r="BX142" s="486"/>
      <c r="BY142" s="1089"/>
      <c r="BZ142" s="318"/>
      <c r="CA142" s="425"/>
      <c r="CB142" s="710"/>
      <c r="CC142" s="425"/>
      <c r="CD142" s="710"/>
      <c r="CE142" s="425"/>
      <c r="CF142" s="710"/>
      <c r="CG142" s="425"/>
      <c r="CH142" s="710"/>
      <c r="CI142" s="425"/>
      <c r="CJ142" s="710"/>
      <c r="CK142" s="425"/>
      <c r="CL142" s="710"/>
      <c r="CM142" s="425"/>
      <c r="CN142" s="710"/>
      <c r="CO142" s="257"/>
      <c r="CP142" s="258"/>
      <c r="CQ142" s="1087"/>
      <c r="CR142" s="1088"/>
      <c r="CS142" s="842"/>
      <c r="CT142" s="875"/>
      <c r="CU142" s="842"/>
      <c r="CV142" s="875"/>
      <c r="CW142" s="875"/>
      <c r="CX142" s="875"/>
      <c r="CY142" s="875"/>
      <c r="CZ142" s="875"/>
      <c r="DA142" s="875"/>
      <c r="DB142" s="875"/>
      <c r="DC142" s="875"/>
      <c r="DD142" s="875"/>
      <c r="DE142" s="875"/>
      <c r="DF142" s="875"/>
      <c r="DG142" s="326"/>
      <c r="DH142" s="876"/>
      <c r="DI142" s="327"/>
      <c r="DJ142" s="329"/>
      <c r="DK142" s="875"/>
      <c r="DL142" s="875"/>
    </row>
    <row r="143">
      <c r="A143" s="965"/>
      <c r="B143" s="1207" t="s">
        <v>41</v>
      </c>
      <c r="C143" s="608"/>
      <c r="D143" s="608"/>
      <c r="E143" s="609"/>
      <c r="F143" s="1208"/>
      <c r="G143" s="1209">
        <f>SUMIFS(O143:DJ143,$O$11:$DJ$11,"Факт",$O$3:$DJ$3,"&gt;"&amp;EOMONTH('Май'!date,-1),$O$3:$DJ$3,"&lt;="&amp;EOMONTH('Май'!date,0))</f>
        <v>270000</v>
      </c>
      <c r="H143" s="1092"/>
      <c r="I143" s="613"/>
      <c r="J143" s="1119"/>
      <c r="K143" s="1210"/>
      <c r="L143" s="1204"/>
      <c r="M143" s="1211"/>
      <c r="N143" s="1206"/>
      <c r="O143" s="1199"/>
      <c r="P143" s="1042"/>
      <c r="Q143" s="1041"/>
      <c r="R143" s="1042"/>
      <c r="S143" s="1041"/>
      <c r="T143" s="1212"/>
      <c r="U143" s="623"/>
      <c r="V143" s="624"/>
      <c r="W143" s="612"/>
      <c r="X143" s="613"/>
      <c r="Y143" s="1043"/>
      <c r="Z143" s="858"/>
      <c r="AA143" s="1043"/>
      <c r="AB143" s="858"/>
      <c r="AC143" s="1043"/>
      <c r="AD143" s="1048"/>
      <c r="AE143" s="1043"/>
      <c r="AF143" s="858"/>
      <c r="AG143" s="1043"/>
      <c r="AH143" s="858"/>
      <c r="AI143" s="1043"/>
      <c r="AJ143" s="859"/>
      <c r="AK143" s="1043"/>
      <c r="AL143" s="1213"/>
      <c r="AM143" s="1109"/>
      <c r="AN143" s="1214">
        <f t="shared" si="344"/>
        <v>0</v>
      </c>
      <c r="AO143" s="1105"/>
      <c r="AP143" s="1093"/>
      <c r="AQ143" s="1645"/>
      <c r="AR143" s="1212">
        <v>150000.0</v>
      </c>
      <c r="AS143" s="1043"/>
      <c r="AT143" s="1212">
        <v>120000.0</v>
      </c>
      <c r="AU143" s="1043"/>
      <c r="AV143" s="865"/>
      <c r="AW143" s="1043"/>
      <c r="AX143" s="865"/>
      <c r="AY143" s="1043"/>
      <c r="AZ143" s="865"/>
      <c r="BA143" s="1043"/>
      <c r="BB143" s="865"/>
      <c r="BC143" s="1043"/>
      <c r="BD143" s="1107"/>
      <c r="BE143" s="1109"/>
      <c r="BF143" s="1214">
        <f t="shared" si="345"/>
        <v>270000</v>
      </c>
      <c r="BG143" s="1105"/>
      <c r="BH143" s="1093"/>
      <c r="BI143" s="1215"/>
      <c r="BJ143" s="1216"/>
      <c r="BK143" s="1043"/>
      <c r="BL143" s="867"/>
      <c r="BM143" s="1043"/>
      <c r="BN143" s="867"/>
      <c r="BO143" s="1043"/>
      <c r="BP143" s="867"/>
      <c r="BQ143" s="1043"/>
      <c r="BR143" s="867"/>
      <c r="BS143" s="1043"/>
      <c r="BT143" s="867"/>
      <c r="BU143" s="1043"/>
      <c r="BV143" s="867"/>
      <c r="BW143" s="1109"/>
      <c r="BX143" s="1104"/>
      <c r="BY143" s="1110"/>
      <c r="BZ143" s="1111"/>
      <c r="CA143" s="1043"/>
      <c r="CB143" s="1216"/>
      <c r="CC143" s="1043"/>
      <c r="CD143" s="1216"/>
      <c r="CE143" s="1043"/>
      <c r="CF143" s="1216"/>
      <c r="CG143" s="1043"/>
      <c r="CH143" s="1216"/>
      <c r="CI143" s="367"/>
      <c r="CJ143" s="1646"/>
      <c r="CK143" s="367"/>
      <c r="CL143" s="1216"/>
      <c r="CM143" s="367"/>
      <c r="CN143" s="1216"/>
      <c r="CO143" s="1112"/>
      <c r="CP143" s="1113"/>
      <c r="CQ143" s="1114"/>
      <c r="CR143" s="1115"/>
      <c r="CS143" s="842"/>
      <c r="CT143" s="843"/>
      <c r="CU143" s="842"/>
      <c r="CV143" s="843"/>
      <c r="CW143" s="843"/>
      <c r="CX143" s="843"/>
      <c r="CY143" s="843"/>
      <c r="CZ143" s="843"/>
      <c r="DA143" s="843"/>
      <c r="DB143" s="843"/>
      <c r="DC143" s="843"/>
      <c r="DD143" s="843"/>
      <c r="DE143" s="843"/>
      <c r="DF143" s="843"/>
      <c r="DG143" s="289"/>
      <c r="DH143" s="844"/>
      <c r="DI143" s="310"/>
      <c r="DJ143" s="339"/>
      <c r="DK143" s="843"/>
      <c r="DL143" s="843"/>
    </row>
    <row r="144" hidden="1">
      <c r="A144" s="1217" t="s">
        <v>73</v>
      </c>
      <c r="B144" s="1218" t="s">
        <v>74</v>
      </c>
      <c r="C144" s="646"/>
      <c r="D144" s="646"/>
      <c r="E144" s="1219"/>
      <c r="F144" s="1220" t="str">
        <f>SUMIFS(J144:DI144,$O$11:$DJ$11,"Факт",$O$3:$DJ$3,"&gt;"&amp;EOMONTH('Май'!date,-1),$O$3:$DJ$3,"&lt;="&amp;EOMONTH('Май'!date,0))</f>
        <v>#VALUE!</v>
      </c>
      <c r="G144" s="1221">
        <f>SUMIFS(O144:CR144,$O$11:$CR$11,"Факт",$O$3:$CR$3,"&gt;"&amp;EOMONTH('Май'!date,-1),$O$3:$CR$3,"&lt;="&amp;EOMONTH('Май'!date,0))</f>
        <v>0</v>
      </c>
      <c r="H144" s="429" t="str">
        <f t="shared" ref="H144:H151" si="352">IFERROR(G144/F144,"")</f>
        <v/>
      </c>
      <c r="I144" s="430" t="str">
        <f>IFERROR(__xludf.DUMMYFUNCTION("IFERROR(SPARKLINE(H144,{""charttype"",""bar"";""color1"",IF(H144&gt;='Май'!green_percent,'Май'!green,IF(H144&gt;='Май'!yellow_percent,'Май'!yellow,IF(H144&gt;='Май'!orange_percent,'Май'!orange,'Май'!red)));""max"",1}))"),"")</f>
        <v/>
      </c>
      <c r="J144" s="1222"/>
      <c r="K144" s="1223"/>
      <c r="L144" s="1224"/>
      <c r="M144" s="1225"/>
      <c r="N144" s="392"/>
      <c r="O144" s="1225"/>
      <c r="P144" s="1226"/>
      <c r="Q144" s="1227"/>
      <c r="R144" s="1228"/>
      <c r="S144" s="1227"/>
      <c r="T144" s="1229"/>
      <c r="U144" s="491" t="str">
        <f t="shared" ref="U144:V144" si="346">K144+M144+#REF!+#REF!+O144+Q144+S144</f>
        <v>#REF!</v>
      </c>
      <c r="V144" s="1122" t="str">
        <f t="shared" si="346"/>
        <v>#REF!</v>
      </c>
      <c r="W144" s="429" t="str">
        <f t="shared" ref="W144:W151" si="354">IFERROR(V144/U144,"")</f>
        <v/>
      </c>
      <c r="X144" s="430" t="str">
        <f>IFERROR(__xludf.DUMMYFUNCTION("IFERROR(SPARKLINE(W144,{""charttype"",""bar"";""color1"",IF(W144&gt;='Май'!green_percent,'Май'!green,IF(W144&gt;='Май'!yellow_percent,'Май'!yellow,IF(W144&gt;='Май'!orange_percent,'Май'!orange,'Май'!red)));""max"",1}))"),"")</f>
        <v/>
      </c>
      <c r="Y144" s="1230">
        <v>0.6666666666666666</v>
      </c>
      <c r="Z144" s="1226"/>
      <c r="AA144" s="1231">
        <v>0.6666666666666666</v>
      </c>
      <c r="AB144" s="1226"/>
      <c r="AC144" s="1231">
        <v>0.6666666666666666</v>
      </c>
      <c r="AD144" s="1226"/>
      <c r="AE144" s="1231">
        <v>0.6666666666666666</v>
      </c>
      <c r="AF144" s="1226"/>
      <c r="AG144" s="1231">
        <v>0.6666666666666666</v>
      </c>
      <c r="AH144" s="1226"/>
      <c r="AI144" s="1230">
        <v>0.6666666666666666</v>
      </c>
      <c r="AJ144" s="1228"/>
      <c r="AK144" s="1230">
        <v>0.6666666666666666</v>
      </c>
      <c r="AL144" s="1228"/>
      <c r="AM144" s="491">
        <f t="shared" ref="AM144:AN144" si="347">Y144+AA144+AC144+AE144+AG144+AI144+AK144</f>
        <v>4.666666667</v>
      </c>
      <c r="AN144" s="1122">
        <f t="shared" si="347"/>
        <v>0</v>
      </c>
      <c r="AO144" s="1232">
        <f t="shared" ref="AO144:AO151" si="356">IFERROR(AN144/AM144,"")</f>
        <v>0</v>
      </c>
      <c r="AP144" s="494" t="str">
        <f>IFERROR(__xludf.DUMMYFUNCTION("IFERROR(SPARKLINE(AO144,{""charttype"",""bar"";""color1"",IF(AO144&gt;='Май'!green_percent,'Май'!green,IF(AO144&gt;='Май'!yellow_percent,'Май'!yellow,IF(AO144&gt;='Май'!orange_percent,'Май'!orange,'Май'!red)));""max"",1}))"),"")</f>
        <v/>
      </c>
      <c r="AQ144" s="1233"/>
      <c r="AR144" s="1226"/>
      <c r="AS144" s="1233"/>
      <c r="AT144" s="1226"/>
      <c r="AU144" s="1233"/>
      <c r="AV144" s="1226"/>
      <c r="AW144" s="1233"/>
      <c r="AX144" s="1226"/>
      <c r="AY144" s="1233"/>
      <c r="AZ144" s="1226"/>
      <c r="BA144" s="1227"/>
      <c r="BB144" s="1228"/>
      <c r="BC144" s="1227"/>
      <c r="BD144" s="1228"/>
      <c r="BE144" s="491">
        <f t="shared" ref="BE144:BF144" si="348">AQ144+AS144+AU144+AW144+AY144+BA144+BC144</f>
        <v>0</v>
      </c>
      <c r="BF144" s="1122">
        <f t="shared" si="348"/>
        <v>0</v>
      </c>
      <c r="BG144" s="1232" t="str">
        <f t="shared" ref="BG144:BG151" si="358">IFERROR(BF144/BE144,"")</f>
        <v/>
      </c>
      <c r="BH144" s="494" t="str">
        <f>IFERROR(__xludf.DUMMYFUNCTION("IFERROR(SPARKLINE(BG144,{""charttype"",""bar"";""color1"",IF(BG144&gt;='Май'!green_percent,'Май'!green,IF(BG144&gt;='Май'!yellow_percent,'Май'!yellow,IF(BG144&gt;='Май'!orange_percent,'Май'!orange,'Май'!red)));""max"",1}))"),"")</f>
        <v/>
      </c>
      <c r="BI144" s="1234"/>
      <c r="BJ144" s="1235"/>
      <c r="BK144" s="1234"/>
      <c r="BL144" s="1228"/>
      <c r="BM144" s="1234"/>
      <c r="BN144" s="1228"/>
      <c r="BO144" s="1234"/>
      <c r="BP144" s="1228"/>
      <c r="BQ144" s="1234"/>
      <c r="BR144" s="1228"/>
      <c r="BS144" s="1236"/>
      <c r="BT144" s="1228"/>
      <c r="BU144" s="1236"/>
      <c r="BV144" s="1228"/>
      <c r="BW144" s="491">
        <f t="shared" ref="BW144:BX144" si="349">BI144+BK144+BM144+BO144+BQ144+BS144+BU144</f>
        <v>0</v>
      </c>
      <c r="BX144" s="1122">
        <f t="shared" si="349"/>
        <v>0</v>
      </c>
      <c r="BY144" s="1232" t="str">
        <f t="shared" ref="BY144:BY151" si="360">IFERROR(BX144/BW144,"")</f>
        <v/>
      </c>
      <c r="BZ144" s="494" t="str">
        <f>IFERROR(__xludf.DUMMYFUNCTION("IFERROR(SPARKLINE(BY144,{""charttype"",""bar"";""color1"",IF(BY144&gt;='Май'!green_percent,'Май'!green,IF(BY144&gt;='Май'!yellow_percent,'Май'!yellow,IF(BY144&gt;='Май'!orange_percent,'Май'!orange,'Май'!red)));""max"",1}))"),"")</f>
        <v/>
      </c>
      <c r="CA144" s="1237"/>
      <c r="CB144" s="1238"/>
      <c r="CC144" s="1237"/>
      <c r="CD144" s="1238"/>
      <c r="CE144" s="1237"/>
      <c r="CF144" s="1238"/>
      <c r="CG144" s="1237"/>
      <c r="CH144" s="1238"/>
      <c r="CI144" s="1237"/>
      <c r="CJ144" s="1238"/>
      <c r="CK144" s="1237"/>
      <c r="CL144" s="1239"/>
      <c r="CM144" s="1237"/>
      <c r="CN144" s="1239"/>
      <c r="CO144" s="299">
        <f t="shared" ref="CO144:CP144" si="350">CA144+CC144+CE144+CG144+CI144+CK144+CM144</f>
        <v>0</v>
      </c>
      <c r="CP144" s="749">
        <f t="shared" si="350"/>
        <v>0</v>
      </c>
      <c r="CQ144" s="300" t="str">
        <f t="shared" ref="CQ144:CQ151" si="362">IFERROR(CP144/CO144,"")</f>
        <v/>
      </c>
      <c r="CR144" s="445" t="str">
        <f>IFERROR(__xludf.DUMMYFUNCTION("IFERROR(SPARKLINE(CQ144,{""charttype"",""bar"";""color1"",IF(CQ144&gt;='Май'!green_percent,'Май'!green,IF(CQ144&gt;='Май'!yellow_percent,'Май'!yellow,IF(CQ144&gt;='Май'!orange_percent,'Май'!orange,'Май'!red)));""max"",1}))"),"")</f>
        <v/>
      </c>
      <c r="CS144" s="1240"/>
      <c r="CT144" s="1241"/>
      <c r="CU144" s="1240"/>
      <c r="CV144" s="1242"/>
      <c r="CW144" s="1243"/>
      <c r="CX144" s="1242"/>
      <c r="CY144" s="1243"/>
      <c r="CZ144" s="1242"/>
      <c r="DA144" s="1243"/>
      <c r="DB144" s="1242"/>
      <c r="DC144" s="1243"/>
      <c r="DD144" s="1242"/>
      <c r="DE144" s="1243"/>
      <c r="DF144" s="1244"/>
      <c r="DG144" s="299">
        <f t="shared" ref="DG144:DH144" si="351">CS144+CU144+CW144+CY144+DA144+DC144+DE144</f>
        <v>0</v>
      </c>
      <c r="DH144" s="749">
        <f t="shared" si="351"/>
        <v>0</v>
      </c>
      <c r="DI144" s="300" t="str">
        <f t="shared" ref="DI144:DI151" si="364">IFERROR(DH144/DG144,"")</f>
        <v/>
      </c>
      <c r="DJ144" s="445" t="str">
        <f>IFERROR(__xludf.DUMMYFUNCTION("IFERROR(SPARKLINE(DI144,{""charttype"",""bar"";""color1"",IF(DI144&gt;='Май'!green_percent,'Май'!green,IF(DI144&gt;='Май'!yellow_percent,'Май'!yellow,IF(DI144&gt;='Май'!orange_percent,'Май'!orange,'Май'!red)));""max"",1}))"),"")</f>
        <v/>
      </c>
      <c r="DK144" s="446"/>
      <c r="DL144" s="446"/>
    </row>
    <row r="145" hidden="1">
      <c r="A145" s="1245"/>
      <c r="B145" s="1246" t="s">
        <v>75</v>
      </c>
      <c r="C145" s="1247"/>
      <c r="D145" s="1247"/>
      <c r="E145" s="1248"/>
      <c r="F145" s="1249" t="str">
        <f>SUMIFS(J145:DI145,$O$11:$DJ$11,"Факт",$O$3:$DJ$3,"&gt;"&amp;EOMONTH('Май'!date,-1),$O$3:$DJ$3,"&lt;="&amp;EOMONTH('Май'!date,0))</f>
        <v>#VALUE!</v>
      </c>
      <c r="G145" s="1250">
        <f>SUMIFS(O145:DJ145,$O$11:$DJ$11,"Факт",$O$3:$DJ$3,"&gt;"&amp;EOMONTH('Май'!date,-1),$O$3:$DJ$3,"&lt;="&amp;EOMONTH('Май'!date,0))</f>
        <v>0</v>
      </c>
      <c r="H145" s="1251" t="str">
        <f t="shared" si="352"/>
        <v/>
      </c>
      <c r="I145" s="1252" t="str">
        <f>IFERROR(__xludf.DUMMYFUNCTION("IFERROR(SPARKLINE(H145,{""charttype"",""bar"";""color1"",IF(H145&gt;='Май'!green_percent,'Май'!green,IF(H145&gt;='Май'!yellow_percent,'Май'!yellow,IF(H145&gt;='Май'!orange_percent,'Май'!orange,'Май'!red)));""max"",1}))"),"")</f>
        <v/>
      </c>
      <c r="J145" s="1253"/>
      <c r="K145" s="1254"/>
      <c r="L145" s="1255"/>
      <c r="M145" s="1256"/>
      <c r="N145" s="1257"/>
      <c r="O145" s="1256"/>
      <c r="P145" s="1258"/>
      <c r="Q145" s="1259"/>
      <c r="R145" s="1259"/>
      <c r="S145" s="1259"/>
      <c r="T145" s="1260"/>
      <c r="U145" s="1261" t="str">
        <f t="shared" ref="U145:V145" si="353">K145+M145+#REF!+#REF!+O145+Q145+S145</f>
        <v>#REF!</v>
      </c>
      <c r="V145" s="1262" t="str">
        <f t="shared" si="353"/>
        <v>#REF!</v>
      </c>
      <c r="W145" s="1251" t="str">
        <f t="shared" si="354"/>
        <v/>
      </c>
      <c r="X145" s="1252" t="str">
        <f>IFERROR(__xludf.DUMMYFUNCTION("IFERROR(SPARKLINE(W145,{""charttype"",""bar"";""color1"",IF(W145&gt;='Май'!green_percent,'Май'!green,IF(W145&gt;='Май'!yellow_percent,'Май'!yellow,IF(W145&gt;='Май'!orange_percent,'Май'!orange,'Май'!red)));""max"",1}))"),"")</f>
        <v/>
      </c>
      <c r="Y145" s="1263">
        <v>3250.0</v>
      </c>
      <c r="Z145" s="1264"/>
      <c r="AA145" s="1265">
        <v>3250.0</v>
      </c>
      <c r="AB145" s="1264"/>
      <c r="AC145" s="1265">
        <v>3250.0</v>
      </c>
      <c r="AD145" s="1264"/>
      <c r="AE145" s="1265">
        <v>3250.0</v>
      </c>
      <c r="AF145" s="1258"/>
      <c r="AG145" s="1265">
        <v>3250.0</v>
      </c>
      <c r="AH145" s="1258"/>
      <c r="AI145" s="1266">
        <v>3250.0</v>
      </c>
      <c r="AJ145" s="1259"/>
      <c r="AK145" s="1266">
        <v>3250.0</v>
      </c>
      <c r="AL145" s="1267"/>
      <c r="AM145" s="1261">
        <f t="shared" ref="AM145:AN145" si="355">Y145+AA145+AC145+AE145+AG145+AI145+AK145</f>
        <v>22750</v>
      </c>
      <c r="AN145" s="1262">
        <f t="shared" si="355"/>
        <v>0</v>
      </c>
      <c r="AO145" s="1268">
        <f t="shared" si="356"/>
        <v>0</v>
      </c>
      <c r="AP145" s="1269" t="str">
        <f>IFERROR(__xludf.DUMMYFUNCTION("IFERROR(SPARKLINE(AO145,{""charttype"",""bar"";""color1"",IF(AO145&gt;='Май'!green_percent,'Май'!green,IF(AO145&gt;='Май'!yellow_percent,'Май'!yellow,IF(AO145&gt;='Май'!orange_percent,'Май'!orange,'Май'!red)));""max"",1}))"),"")</f>
        <v/>
      </c>
      <c r="AQ145" s="1270"/>
      <c r="AR145" s="1264"/>
      <c r="AS145" s="1270"/>
      <c r="AT145" s="1264"/>
      <c r="AU145" s="1270"/>
      <c r="AV145" s="1264"/>
      <c r="AW145" s="1270"/>
      <c r="AX145" s="1258"/>
      <c r="AY145" s="1270"/>
      <c r="AZ145" s="1258"/>
      <c r="BA145" s="1259"/>
      <c r="BB145" s="1259"/>
      <c r="BC145" s="1259"/>
      <c r="BD145" s="1267"/>
      <c r="BE145" s="1261">
        <f t="shared" ref="BE145:BF145" si="357">AQ145+AS145+AU145+AW145+AY145+BA145+BC145</f>
        <v>0</v>
      </c>
      <c r="BF145" s="1262">
        <f t="shared" si="357"/>
        <v>0</v>
      </c>
      <c r="BG145" s="1268" t="str">
        <f t="shared" si="358"/>
        <v/>
      </c>
      <c r="BH145" s="1269" t="str">
        <f>IFERROR(__xludf.DUMMYFUNCTION("IFERROR(SPARKLINE(BG145,{""charttype"",""bar"";""color1"",IF(BG145&gt;='Май'!green_percent,'Май'!green,IF(BG145&gt;='Май'!yellow_percent,'Май'!yellow,IF(BG145&gt;='Май'!orange_percent,'Май'!orange,'Май'!red)));""max"",1}))"),"")</f>
        <v/>
      </c>
      <c r="BI145" s="1271"/>
      <c r="BJ145" s="1272"/>
      <c r="BK145" s="1271"/>
      <c r="BL145" s="1273"/>
      <c r="BM145" s="1271"/>
      <c r="BN145" s="1273"/>
      <c r="BO145" s="1271"/>
      <c r="BP145" s="1274"/>
      <c r="BQ145" s="1271"/>
      <c r="BR145" s="1274"/>
      <c r="BS145" s="1275"/>
      <c r="BT145" s="1275"/>
      <c r="BU145" s="1275"/>
      <c r="BV145" s="1276"/>
      <c r="BW145" s="1261">
        <f t="shared" ref="BW145:BX145" si="359">BI145+BK145+BM145+BO145+BQ145+BS145+BU145</f>
        <v>0</v>
      </c>
      <c r="BX145" s="1262">
        <f t="shared" si="359"/>
        <v>0</v>
      </c>
      <c r="BY145" s="1268" t="str">
        <f t="shared" si="360"/>
        <v/>
      </c>
      <c r="BZ145" s="1269" t="str">
        <f>IFERROR(__xludf.DUMMYFUNCTION("IFERROR(SPARKLINE(BY145,{""charttype"",""bar"";""color1"",IF(BY145&gt;='Май'!green_percent,'Май'!green,IF(BY145&gt;='Май'!yellow_percent,'Май'!yellow,IF(BY145&gt;='Май'!orange_percent,'Май'!orange,'Май'!red)));""max"",1}))"),"")</f>
        <v/>
      </c>
      <c r="CA145" s="1277"/>
      <c r="CB145" s="1278"/>
      <c r="CC145" s="1277"/>
      <c r="CD145" s="1278"/>
      <c r="CE145" s="1277"/>
      <c r="CF145" s="1278"/>
      <c r="CG145" s="1277"/>
      <c r="CH145" s="1278"/>
      <c r="CI145" s="1277"/>
      <c r="CJ145" s="1278"/>
      <c r="CK145" s="1277"/>
      <c r="CL145" s="1279"/>
      <c r="CM145" s="1277"/>
      <c r="CN145" s="1279"/>
      <c r="CO145" s="1280">
        <f t="shared" ref="CO145:CP145" si="361">CA145+CC145+CE145+CG145+CI145+CK145+CM145</f>
        <v>0</v>
      </c>
      <c r="CP145" s="1281">
        <f t="shared" si="361"/>
        <v>0</v>
      </c>
      <c r="CQ145" s="300" t="str">
        <f t="shared" si="362"/>
        <v/>
      </c>
      <c r="CR145" s="1282" t="str">
        <f>IFERROR(__xludf.DUMMYFUNCTION("IFERROR(SPARKLINE(CQ145,{""charttype"",""bar"";""color1"",IF(CQ145&gt;='Май'!green_percent,'Май'!green,IF(CQ145&gt;='Май'!yellow_percent,'Май'!yellow,IF(CQ145&gt;='Май'!orange_percent,'Май'!orange,'Май'!red)));""max"",1}))"),"")</f>
        <v/>
      </c>
      <c r="CS145" s="1283"/>
      <c r="CT145" s="1284"/>
      <c r="CU145" s="1283"/>
      <c r="CV145" s="1285"/>
      <c r="CW145" s="1286"/>
      <c r="CX145" s="1287"/>
      <c r="CY145" s="1286"/>
      <c r="CZ145" s="1287"/>
      <c r="DA145" s="1286"/>
      <c r="DB145" s="1287"/>
      <c r="DC145" s="1286"/>
      <c r="DD145" s="1287"/>
      <c r="DE145" s="1286"/>
      <c r="DF145" s="1288"/>
      <c r="DG145" s="1280">
        <f t="shared" ref="DG145:DH145" si="363">CS145+CU145+CW145+CY145+DA145+DC145+DE145</f>
        <v>0</v>
      </c>
      <c r="DH145" s="1281">
        <f t="shared" si="363"/>
        <v>0</v>
      </c>
      <c r="DI145" s="300" t="str">
        <f t="shared" si="364"/>
        <v/>
      </c>
      <c r="DJ145" s="1282" t="str">
        <f>IFERROR(__xludf.DUMMYFUNCTION("IFERROR(SPARKLINE(DI145,{""charttype"",""bar"";""color1"",IF(DI145&gt;='Май'!green_percent,'Май'!green,IF(DI145&gt;='Май'!yellow_percent,'Май'!yellow,IF(DI145&gt;='Май'!orange_percent,'Май'!orange,'Май'!red)));""max"",1}))"),"")</f>
        <v/>
      </c>
      <c r="DK145" s="1289"/>
      <c r="DL145" s="1289"/>
    </row>
    <row r="146" hidden="1">
      <c r="A146" s="1245"/>
      <c r="B146" s="1290" t="s">
        <v>76</v>
      </c>
      <c r="C146" s="1247"/>
      <c r="D146" s="1247"/>
      <c r="E146" s="83"/>
      <c r="F146" s="1291">
        <v>0.25</v>
      </c>
      <c r="G146" s="1292">
        <f>SUMIFS(O146:CR146,$O$11:$CR$11,"Факт",$O$3:$CR$3,"&gt;"&amp;EOMONTH('Май'!date,-1),$O$3:$CR$3,"&lt;="&amp;EOMONTH('Май'!date,0))</f>
        <v>0</v>
      </c>
      <c r="H146" s="1251">
        <f t="shared" si="352"/>
        <v>0</v>
      </c>
      <c r="I146" s="1252" t="str">
        <f>IFERROR(__xludf.DUMMYFUNCTION("IFERROR(SPARKLINE(H146,{""charttype"",""bar"";""color1"",IF(H146&gt;='Май'!green_percent,'Май'!green,IF(H146&gt;='Май'!yellow_percent,'Май'!yellow,IF(H146&gt;='Май'!orange_percent,'Май'!orange,'Май'!red)));""max"",1}))"),"")</f>
        <v/>
      </c>
      <c r="J146" s="1293"/>
      <c r="K146" s="1294"/>
      <c r="L146" s="1295"/>
      <c r="M146" s="1296"/>
      <c r="N146" s="1297"/>
      <c r="O146" s="1296"/>
      <c r="P146" s="1298"/>
      <c r="Q146" s="1227"/>
      <c r="R146" s="1226"/>
      <c r="S146" s="1227"/>
      <c r="T146" s="1299"/>
      <c r="U146" s="1291">
        <v>0.5</v>
      </c>
      <c r="V146" s="1300" t="str">
        <f>L146+N146+#REF!+#REF!+P146+R146+T146</f>
        <v>#REF!</v>
      </c>
      <c r="W146" s="1301" t="str">
        <f t="shared" si="354"/>
        <v/>
      </c>
      <c r="X146" s="1302" t="str">
        <f>IFERROR(__xludf.DUMMYFUNCTION("IFERROR(SPARKLINE(W146,{""charttype"",""bar"";""color1"",IF(W146&gt;='Май'!green_percent,'Май'!green,IF(W146&gt;='Май'!yellow_percent,'Май'!yellow,IF(W146&gt;='Май'!orange_percent,'Май'!orange,'Май'!red)));""max"",1}))"),"")</f>
        <v/>
      </c>
      <c r="Y146" s="1303">
        <v>0.06451612903225806</v>
      </c>
      <c r="Z146" s="1264"/>
      <c r="AA146" s="1304">
        <v>0.06451612903225806</v>
      </c>
      <c r="AB146" s="1264"/>
      <c r="AC146" s="1304">
        <v>0.06451612903225806</v>
      </c>
      <c r="AD146" s="1305"/>
      <c r="AE146" s="1304">
        <v>0.06451612903225806</v>
      </c>
      <c r="AF146" s="1298"/>
      <c r="AG146" s="1304">
        <v>0.06451612903225806</v>
      </c>
      <c r="AH146" s="1298"/>
      <c r="AI146" s="1306">
        <v>0.06451612903225806</v>
      </c>
      <c r="AJ146" s="1226"/>
      <c r="AK146" s="1306">
        <v>0.06451612903225806</v>
      </c>
      <c r="AL146" s="1307"/>
      <c r="AM146" s="1308">
        <v>0.5</v>
      </c>
      <c r="AN146" s="1309">
        <f>Z146+AB146+AD146+AF146+AH146+AJ146+AL146</f>
        <v>0</v>
      </c>
      <c r="AO146" s="1268">
        <f t="shared" si="356"/>
        <v>0</v>
      </c>
      <c r="AP146" s="1269" t="str">
        <f>IFERROR(__xludf.DUMMYFUNCTION("IFERROR(SPARKLINE(AO146,{""charttype"",""bar"";""color1"",IF(AO146&gt;='Май'!green_percent,'Май'!green,IF(AO146&gt;='Май'!yellow_percent,'Май'!yellow,IF(AO146&gt;='Май'!orange_percent,'Май'!orange,'Май'!red)));""max"",1}))"),"")</f>
        <v/>
      </c>
      <c r="AQ146" s="1310"/>
      <c r="AR146" s="1305"/>
      <c r="AS146" s="1310"/>
      <c r="AT146" s="1305"/>
      <c r="AU146" s="1310"/>
      <c r="AV146" s="1311"/>
      <c r="AW146" s="1310"/>
      <c r="AX146" s="1298"/>
      <c r="AY146" s="1310"/>
      <c r="AZ146" s="1298"/>
      <c r="BA146" s="1227"/>
      <c r="BB146" s="1312"/>
      <c r="BC146" s="1227"/>
      <c r="BD146" s="1307"/>
      <c r="BE146" s="1313">
        <f t="shared" ref="BE146:BF146" si="365">AQ146+AS146+AU146+AW146+AY146+BA146+BC146</f>
        <v>0</v>
      </c>
      <c r="BF146" s="1309">
        <f t="shared" si="365"/>
        <v>0</v>
      </c>
      <c r="BG146" s="1268" t="str">
        <f t="shared" si="358"/>
        <v/>
      </c>
      <c r="BH146" s="1269" t="str">
        <f>IFERROR(__xludf.DUMMYFUNCTION("IFERROR(SPARKLINE(BG146,{""charttype"",""bar"";""color1"",IF(BG146&gt;='Май'!green_percent,'Май'!green,IF(BG146&gt;='Май'!yellow_percent,'Май'!yellow,IF(BG146&gt;='Май'!orange_percent,'Май'!orange,'Май'!red)));""max"",1}))"),"")</f>
        <v/>
      </c>
      <c r="BI146" s="1314"/>
      <c r="BJ146" s="1315"/>
      <c r="BK146" s="1314"/>
      <c r="BL146" s="1316"/>
      <c r="BM146" s="1314"/>
      <c r="BN146" s="1316"/>
      <c r="BO146" s="1314"/>
      <c r="BP146" s="1317"/>
      <c r="BQ146" s="1314"/>
      <c r="BR146" s="1317"/>
      <c r="BS146" s="1236"/>
      <c r="BT146" s="1228"/>
      <c r="BU146" s="1236"/>
      <c r="BV146" s="1318"/>
      <c r="BW146" s="1313">
        <f t="shared" ref="BW146:BX146" si="366">BI146+BK146+BM146+BO146+BQ146+BS146+BU146</f>
        <v>0</v>
      </c>
      <c r="BX146" s="1309">
        <f t="shared" si="366"/>
        <v>0</v>
      </c>
      <c r="BY146" s="1268" t="str">
        <f t="shared" si="360"/>
        <v/>
      </c>
      <c r="BZ146" s="1269" t="str">
        <f>IFERROR(__xludf.DUMMYFUNCTION("IFERROR(SPARKLINE(BY146,{""charttype"",""bar"";""color1"",IF(BY146&gt;='Май'!green_percent,'Май'!green,IF(BY146&gt;='Май'!yellow_percent,'Май'!yellow,IF(BY146&gt;='Май'!orange_percent,'Май'!orange,'Май'!red)));""max"",1}))"),"")</f>
        <v/>
      </c>
      <c r="CA146" s="1291"/>
      <c r="CB146" s="1319"/>
      <c r="CC146" s="1291"/>
      <c r="CD146" s="1319"/>
      <c r="CE146" s="1291"/>
      <c r="CF146" s="1319"/>
      <c r="CG146" s="1291"/>
      <c r="CH146" s="1319"/>
      <c r="CI146" s="1291"/>
      <c r="CJ146" s="1319"/>
      <c r="CK146" s="1277"/>
      <c r="CL146" s="1279"/>
      <c r="CM146" s="1277"/>
      <c r="CN146" s="1279"/>
      <c r="CO146" s="1320">
        <f t="shared" ref="CO146:CP146" si="367">CA146+CC146+CE146+CG146+CI146+CK146+CM146</f>
        <v>0</v>
      </c>
      <c r="CP146" s="1321">
        <f t="shared" si="367"/>
        <v>0</v>
      </c>
      <c r="CQ146" s="300" t="str">
        <f t="shared" si="362"/>
        <v/>
      </c>
      <c r="CR146" s="445" t="str">
        <f>IFERROR(__xludf.DUMMYFUNCTION("IFERROR(SPARKLINE(CQ146,{""charttype"",""bar"";""color1"",IF(CQ146&gt;='Май'!green_percent,'Май'!green,IF(CQ146&gt;='Май'!yellow_percent,'Май'!yellow,IF(CQ146&gt;='Май'!orange_percent,'Май'!orange,'Май'!red)));""max"",1}))"),"")</f>
        <v/>
      </c>
      <c r="CS146" s="1322"/>
      <c r="CT146" s="1323"/>
      <c r="CU146" s="1322"/>
      <c r="CV146" s="1324"/>
      <c r="CW146" s="1325"/>
      <c r="CX146" s="1324"/>
      <c r="CY146" s="1325"/>
      <c r="CZ146" s="1324"/>
      <c r="DA146" s="1325"/>
      <c r="DB146" s="1324"/>
      <c r="DC146" s="1325"/>
      <c r="DD146" s="1324"/>
      <c r="DE146" s="1325"/>
      <c r="DF146" s="1326"/>
      <c r="DG146" s="1320">
        <f t="shared" ref="DG146:DH146" si="368">CS146+CU146+CW146+CY146+DA146+DC146+DE146</f>
        <v>0</v>
      </c>
      <c r="DH146" s="1321">
        <f t="shared" si="368"/>
        <v>0</v>
      </c>
      <c r="DI146" s="300" t="str">
        <f t="shared" si="364"/>
        <v/>
      </c>
      <c r="DJ146" s="445" t="str">
        <f>IFERROR(__xludf.DUMMYFUNCTION("IFERROR(SPARKLINE(DI146,{""charttype"",""bar"";""color1"",IF(DI146&gt;='Май'!green_percent,'Май'!green,IF(DI146&gt;='Май'!yellow_percent,'Май'!yellow,IF(DI146&gt;='Май'!orange_percent,'Май'!orange,'Май'!red)));""max"",1}))"),"")</f>
        <v/>
      </c>
      <c r="DK146" s="1327"/>
      <c r="DL146" s="1327"/>
    </row>
    <row r="147" hidden="1">
      <c r="A147" s="1245"/>
      <c r="B147" s="1290" t="s">
        <v>77</v>
      </c>
      <c r="C147" s="1247"/>
      <c r="D147" s="1247"/>
      <c r="E147" s="1248"/>
      <c r="F147" s="1249" t="str">
        <f>SUMIFS(J147:DI147,$O$11:$DJ$11,"Факт",$O$3:$DJ$3,"&gt;"&amp;EOMONTH('Май'!date,-1),$O$3:$DJ$3,"&lt;="&amp;EOMONTH('Май'!date,0))</f>
        <v>#VALUE!</v>
      </c>
      <c r="G147" s="1250">
        <f>SUMIFS(O147:DJ147,$O$11:$DJ$11,"Факт",$O$3:$DJ$3,"&gt;"&amp;EOMONTH('Май'!date,-1),$O$3:$DJ$3,"&lt;="&amp;EOMONTH('Май'!date,0))</f>
        <v>0</v>
      </c>
      <c r="H147" s="1301" t="str">
        <f t="shared" si="352"/>
        <v/>
      </c>
      <c r="I147" s="1302" t="str">
        <f>IFERROR(__xludf.DUMMYFUNCTION("IFERROR(SPARKLINE(H147,{""charttype"",""bar"";""color1"",IF(H147&gt;='Май'!green_percent,'Май'!green,IF(H147&gt;='Май'!yellow_percent,'Май'!yellow,IF(H147&gt;='Май'!orange_percent,'Май'!orange,'Май'!red)));""max"",1}))"),"")</f>
        <v/>
      </c>
      <c r="J147" s="1328"/>
      <c r="K147" s="1329"/>
      <c r="L147" s="1330"/>
      <c r="M147" s="1331"/>
      <c r="N147" s="1332"/>
      <c r="O147" s="1331"/>
      <c r="P147" s="1333"/>
      <c r="Q147" s="1334"/>
      <c r="R147" s="1335"/>
      <c r="S147" s="1334"/>
      <c r="T147" s="1336"/>
      <c r="U147" s="1261" t="str">
        <f t="shared" ref="U147:V147" si="369">K147+M147+#REF!+#REF!+O147+Q147+S147</f>
        <v>#REF!</v>
      </c>
      <c r="V147" s="1262" t="str">
        <f t="shared" si="369"/>
        <v>#REF!</v>
      </c>
      <c r="W147" s="1251" t="str">
        <f t="shared" si="354"/>
        <v/>
      </c>
      <c r="X147" s="1252" t="str">
        <f>IFERROR(__xludf.DUMMYFUNCTION("IFERROR(SPARKLINE(W147,{""charttype"",""bar"";""color1"",IF(W147&gt;='Май'!green_percent,'Май'!green,IF(W147&gt;='Май'!yellow_percent,'Май'!yellow,IF(W147&gt;='Май'!orange_percent,'Май'!orange,'Май'!red)));""max"",1}))"),"")</f>
        <v/>
      </c>
      <c r="Y147" s="1337">
        <v>0.967741935483871</v>
      </c>
      <c r="Z147" s="1333"/>
      <c r="AA147" s="1338">
        <v>0.967741935483871</v>
      </c>
      <c r="AB147" s="1333"/>
      <c r="AC147" s="1338">
        <v>0.967741935483871</v>
      </c>
      <c r="AD147" s="1333"/>
      <c r="AE147" s="1338">
        <v>0.967741935483871</v>
      </c>
      <c r="AF147" s="1333"/>
      <c r="AG147" s="1338">
        <v>0.967741935483871</v>
      </c>
      <c r="AH147" s="1333"/>
      <c r="AI147" s="1338">
        <v>0.967741935483871</v>
      </c>
      <c r="AJ147" s="1333"/>
      <c r="AK147" s="1338">
        <v>0.967741935483871</v>
      </c>
      <c r="AL147" s="1333"/>
      <c r="AM147" s="1261">
        <f t="shared" ref="AM147:AN147" si="370">Y147+AA147+AC147+AE147+AG147+AI147+AK147</f>
        <v>6.774193548</v>
      </c>
      <c r="AN147" s="1262">
        <f t="shared" si="370"/>
        <v>0</v>
      </c>
      <c r="AO147" s="1339">
        <f t="shared" si="356"/>
        <v>0</v>
      </c>
      <c r="AP147" s="510" t="str">
        <f>IFERROR(__xludf.DUMMYFUNCTION("IFERROR(SPARKLINE(AO147,{""charttype"",""bar"";""color1"",IF(AO147&gt;='Май'!green_percent,'Май'!green,IF(AO147&gt;='Май'!yellow_percent,'Май'!yellow,IF(AO147&gt;='Май'!orange_percent,'Май'!orange,'Май'!red)));""max"",1}))"),"")</f>
        <v/>
      </c>
      <c r="AQ147" s="1340"/>
      <c r="AR147" s="1341"/>
      <c r="AS147" s="1340"/>
      <c r="AT147" s="1341"/>
      <c r="AU147" s="1340"/>
      <c r="AV147" s="1341"/>
      <c r="AW147" s="1340"/>
      <c r="AX147" s="1341"/>
      <c r="AY147" s="1340"/>
      <c r="AZ147" s="1341"/>
      <c r="BA147" s="1340"/>
      <c r="BB147" s="1341"/>
      <c r="BC147" s="1340"/>
      <c r="BD147" s="1341"/>
      <c r="BE147" s="1261">
        <f t="shared" ref="BE147:BF147" si="371">AQ147+AS147+AU147+AW147+AY147+BA147+BC147</f>
        <v>0</v>
      </c>
      <c r="BF147" s="1262">
        <f t="shared" si="371"/>
        <v>0</v>
      </c>
      <c r="BG147" s="1339" t="str">
        <f t="shared" si="358"/>
        <v/>
      </c>
      <c r="BH147" s="510" t="str">
        <f>IFERROR(__xludf.DUMMYFUNCTION("IFERROR(SPARKLINE(BG147,{""charttype"",""bar"";""color1"",IF(BG147&gt;='Май'!green_percent,'Май'!green,IF(BG147&gt;='Май'!yellow_percent,'Май'!yellow,IF(BG147&gt;='Май'!orange_percent,'Май'!orange,'Май'!red)));""max"",1}))"),"")</f>
        <v/>
      </c>
      <c r="BI147" s="1342"/>
      <c r="BJ147" s="1343"/>
      <c r="BK147" s="1342"/>
      <c r="BL147" s="1344"/>
      <c r="BM147" s="1342"/>
      <c r="BN147" s="1344"/>
      <c r="BO147" s="1342"/>
      <c r="BP147" s="1344"/>
      <c r="BQ147" s="1342"/>
      <c r="BR147" s="1344"/>
      <c r="BS147" s="1345"/>
      <c r="BT147" s="1344"/>
      <c r="BU147" s="1346"/>
      <c r="BV147" s="1347"/>
      <c r="BW147" s="1261">
        <f t="shared" ref="BW147:BX147" si="372">BI147+BK147+BM147+BO147+BQ147+BS147+BU147</f>
        <v>0</v>
      </c>
      <c r="BX147" s="1262">
        <f t="shared" si="372"/>
        <v>0</v>
      </c>
      <c r="BY147" s="1339" t="str">
        <f t="shared" si="360"/>
        <v/>
      </c>
      <c r="BZ147" s="510" t="str">
        <f>IFERROR(__xludf.DUMMYFUNCTION("IFERROR(SPARKLINE(BY147,{""charttype"",""bar"";""color1"",IF(BY147&gt;='Май'!green_percent,'Май'!green,IF(BY147&gt;='Май'!yellow_percent,'Май'!yellow,IF(BY147&gt;='Май'!orange_percent,'Май'!orange,'Май'!red)));""max"",1}))"),"")</f>
        <v/>
      </c>
      <c r="CA147" s="1348"/>
      <c r="CB147" s="505"/>
      <c r="CC147" s="1349"/>
      <c r="CD147" s="505"/>
      <c r="CE147" s="1349"/>
      <c r="CF147" s="505"/>
      <c r="CG147" s="1349"/>
      <c r="CH147" s="505"/>
      <c r="CI147" s="1349"/>
      <c r="CJ147" s="505"/>
      <c r="CK147" s="1350"/>
      <c r="CL147" s="527"/>
      <c r="CM147" s="725"/>
      <c r="CN147" s="527"/>
      <c r="CO147" s="1280">
        <f t="shared" ref="CO147:CP147" si="373">CA147+CC147+CE147+CG147+CI147+CK147+CM147</f>
        <v>0</v>
      </c>
      <c r="CP147" s="1281">
        <f t="shared" si="373"/>
        <v>0</v>
      </c>
      <c r="CQ147" s="235" t="str">
        <f t="shared" si="362"/>
        <v/>
      </c>
      <c r="CR147" s="479" t="str">
        <f>IFERROR(__xludf.DUMMYFUNCTION("IFERROR(SPARKLINE(CQ147,{""charttype"",""bar"";""color1"",IF(CQ147&gt;='Май'!green_percent,'Май'!green,IF(CQ147&gt;='Май'!yellow_percent,'Май'!yellow,IF(CQ147&gt;='Май'!orange_percent,'Май'!orange,'Май'!red)));""max"",1}))"),"")</f>
        <v/>
      </c>
      <c r="CS147" s="1351"/>
      <c r="CT147" s="1352"/>
      <c r="CU147" s="1351"/>
      <c r="CV147" s="1353"/>
      <c r="CW147" s="1354"/>
      <c r="CX147" s="1353"/>
      <c r="CY147" s="1354"/>
      <c r="CZ147" s="1353"/>
      <c r="DA147" s="1354"/>
      <c r="DB147" s="1353"/>
      <c r="DC147" s="1354"/>
      <c r="DD147" s="1353"/>
      <c r="DE147" s="1354"/>
      <c r="DF147" s="1355"/>
      <c r="DG147" s="1280">
        <f t="shared" ref="DG147:DH147" si="374">CS147+CU147+CW147+CY147+DA147+DC147+DE147</f>
        <v>0</v>
      </c>
      <c r="DH147" s="1281">
        <f t="shared" si="374"/>
        <v>0</v>
      </c>
      <c r="DI147" s="1356" t="str">
        <f t="shared" si="364"/>
        <v/>
      </c>
      <c r="DJ147" s="1282" t="str">
        <f>IFERROR(__xludf.DUMMYFUNCTION("IFERROR(SPARKLINE(DI147,{""charttype"",""bar"";""color1"",IF(DI147&gt;='Май'!green_percent,'Май'!green,IF(DI147&gt;='Май'!yellow_percent,'Май'!yellow,IF(DI147&gt;='Май'!orange_percent,'Май'!orange,'Май'!red)));""max"",1}))"),"")</f>
        <v/>
      </c>
      <c r="DK147" s="108"/>
      <c r="DL147" s="108"/>
    </row>
    <row r="148" hidden="1">
      <c r="A148" s="1245"/>
      <c r="B148" s="1290" t="s">
        <v>78</v>
      </c>
      <c r="C148" s="1247"/>
      <c r="D148" s="217"/>
      <c r="E148" s="1134"/>
      <c r="F148" s="448" t="str">
        <f>SUMIFS(J148:DI148,$O$11:$DJ$11,"Факт",$O$3:$DJ$3,"&gt;"&amp;EOMONTH('Май'!date,-1),$O$3:$DJ$3,"&lt;="&amp;EOMONTH('Май'!date,0))</f>
        <v>#VALUE!</v>
      </c>
      <c r="G148" s="400">
        <f>SUMIFS(O148:DJ148,$O$11:$DJ$11,"Факт",$O$3:$DJ$3,"&gt;"&amp;EOMONTH('Май'!date,-1),$O$3:$DJ$3,"&lt;="&amp;EOMONTH('Май'!date,0))</f>
        <v>0</v>
      </c>
      <c r="H148" s="1301" t="str">
        <f t="shared" si="352"/>
        <v/>
      </c>
      <c r="I148" s="1302" t="str">
        <f>IFERROR(__xludf.DUMMYFUNCTION("IFERROR(SPARKLINE(H148,{""charttype"",""bar"";""color1"",IF(H148&gt;='Май'!green_percent,'Май'!green,IF(H148&gt;='Май'!yellow_percent,'Май'!yellow,IF(H148&gt;='Май'!orange_percent,'Май'!orange,'Май'!red)));""max"",1}))"),"")</f>
        <v/>
      </c>
      <c r="J148" s="1357"/>
      <c r="K148" s="1331"/>
      <c r="L148" s="1358"/>
      <c r="M148" s="1331"/>
      <c r="N148" s="1332"/>
      <c r="O148" s="1331"/>
      <c r="P148" s="1359"/>
      <c r="Q148" s="1360"/>
      <c r="R148" s="1361"/>
      <c r="S148" s="1360"/>
      <c r="T148" s="1362"/>
      <c r="U148" s="1261" t="str">
        <f t="shared" ref="U148:V148" si="375">K148+M148+#REF!+#REF!+O148+Q148+S148</f>
        <v>#REF!</v>
      </c>
      <c r="V148" s="1262" t="str">
        <f t="shared" si="375"/>
        <v>#REF!</v>
      </c>
      <c r="W148" s="704" t="str">
        <f t="shared" si="354"/>
        <v/>
      </c>
      <c r="X148" s="427" t="str">
        <f>IFERROR(__xludf.DUMMYFUNCTION("IFERROR(SPARKLINE(W148,{""charttype"",""bar"";""color1"",IF(W148&gt;=#REF!,#REF!,IF(W148&gt;=#REF!,#REF!,IF(W148&gt;=#REF!,#REF!,#REF!)));""max"",1}))"),"")</f>
        <v/>
      </c>
      <c r="Y148" s="1363">
        <v>0.03333333333333333</v>
      </c>
      <c r="Z148" s="1359"/>
      <c r="AA148" s="1364">
        <v>0.03333333333333333</v>
      </c>
      <c r="AB148" s="1359"/>
      <c r="AC148" s="1364">
        <v>0.03333333333333333</v>
      </c>
      <c r="AD148" s="1359"/>
      <c r="AE148" s="1364">
        <v>0.03333333333333333</v>
      </c>
      <c r="AF148" s="1359"/>
      <c r="AG148" s="1364">
        <v>0.03333333333333333</v>
      </c>
      <c r="AH148" s="1359"/>
      <c r="AI148" s="1364">
        <v>0.03333333333333333</v>
      </c>
      <c r="AJ148" s="1359"/>
      <c r="AK148" s="1364">
        <v>0.03333333333333333</v>
      </c>
      <c r="AL148" s="1359"/>
      <c r="AM148" s="1261">
        <f t="shared" ref="AM148:AN148" si="376">Y148+AA148+AC148+AE148+AG148+AI148+AK148</f>
        <v>0.2333333333</v>
      </c>
      <c r="AN148" s="1262">
        <f t="shared" si="376"/>
        <v>0</v>
      </c>
      <c r="AO148" s="1232">
        <f t="shared" si="356"/>
        <v>0</v>
      </c>
      <c r="AP148" s="494" t="str">
        <f>IFERROR(__xludf.DUMMYFUNCTION("IFERROR(SPARKLINE(AO148,{""charttype"",""bar"";""color1"",IF(AO148&gt;=#REF!,#REF!,IF(AO148&gt;=#REF!,#REF!,IF(AO148&gt;=#REF!,#REF!,#REF!)));""max"",1}))"),"")</f>
        <v/>
      </c>
      <c r="AQ148" s="1365"/>
      <c r="AR148" s="1366"/>
      <c r="AS148" s="1365"/>
      <c r="AT148" s="1366"/>
      <c r="AU148" s="1365"/>
      <c r="AV148" s="1366"/>
      <c r="AW148" s="1365"/>
      <c r="AX148" s="1366"/>
      <c r="AY148" s="1365"/>
      <c r="AZ148" s="1366"/>
      <c r="BA148" s="1365"/>
      <c r="BB148" s="1366"/>
      <c r="BC148" s="1365"/>
      <c r="BD148" s="1366"/>
      <c r="BE148" s="1261">
        <f t="shared" ref="BE148:BF148" si="377">AQ148+AS148+AU148+AW148+AY148+BA148+BC148</f>
        <v>0</v>
      </c>
      <c r="BF148" s="1262">
        <f t="shared" si="377"/>
        <v>0</v>
      </c>
      <c r="BG148" s="1232" t="str">
        <f t="shared" si="358"/>
        <v/>
      </c>
      <c r="BH148" s="494" t="str">
        <f>IFERROR(__xludf.DUMMYFUNCTION("IFERROR(SPARKLINE(BG148,{""charttype"",""bar"";""color1"",IF(BG148&gt;=#REF!,#REF!,IF(BG148&gt;=#REF!,#REF!,IF(BG148&gt;=#REF!,#REF!,#REF!)));""max"",1}))"),"")</f>
        <v/>
      </c>
      <c r="BI148" s="1367"/>
      <c r="BJ148" s="1368"/>
      <c r="BK148" s="1367"/>
      <c r="BL148" s="1369"/>
      <c r="BM148" s="1367"/>
      <c r="BN148" s="1369"/>
      <c r="BO148" s="1367"/>
      <c r="BP148" s="1369"/>
      <c r="BQ148" s="1367"/>
      <c r="BR148" s="1369"/>
      <c r="BS148" s="1370"/>
      <c r="BT148" s="1369"/>
      <c r="BU148" s="1371"/>
      <c r="BV148" s="1372"/>
      <c r="BW148" s="1261">
        <f t="shared" ref="BW148:BX148" si="378">BI148+BK148+BM148+BO148+BQ148+BS148+BU148</f>
        <v>0</v>
      </c>
      <c r="BX148" s="1262">
        <f t="shared" si="378"/>
        <v>0</v>
      </c>
      <c r="BY148" s="1232" t="str">
        <f t="shared" si="360"/>
        <v/>
      </c>
      <c r="BZ148" s="494" t="str">
        <f>IFERROR(__xludf.DUMMYFUNCTION("IFERROR(SPARKLINE(BY148,{""charttype"",""bar"";""color1"",IF(BY148&gt;=#REF!,#REF!,IF(BY148&gt;=#REF!,#REF!,IF(BY148&gt;=#REF!,#REF!,#REF!)));""max"",1}))"),"")</f>
        <v/>
      </c>
      <c r="CA148" s="1373"/>
      <c r="CB148" s="1374"/>
      <c r="CC148" s="1373"/>
      <c r="CD148" s="1375"/>
      <c r="CE148" s="1373"/>
      <c r="CF148" s="1375"/>
      <c r="CG148" s="1373"/>
      <c r="CH148" s="1375"/>
      <c r="CI148" s="1373"/>
      <c r="CJ148" s="1376"/>
      <c r="CK148" s="1377"/>
      <c r="CL148" s="1377"/>
      <c r="CM148" s="1378"/>
      <c r="CN148" s="1377"/>
      <c r="CO148" s="1379">
        <f t="shared" ref="CO148:CP148" si="379">CA148+CC148+CE148+CG148+CI148+CK148+CM148</f>
        <v>0</v>
      </c>
      <c r="CP148" s="1380">
        <f t="shared" si="379"/>
        <v>0</v>
      </c>
      <c r="CQ148" s="300" t="str">
        <f t="shared" si="362"/>
        <v/>
      </c>
      <c r="CR148" s="445" t="str">
        <f>IFERROR(__xludf.DUMMYFUNCTION("IFERROR(SPARKLINE(CQ148,{""charttype"",""bar"";""color1"",IF(CQ148&gt;=#REF!,#REF!,IF(CQ148&gt;=#REF!,#REF!,IF(CQ148&gt;=#REF!,#REF!,#REF!)));""max"",1}))"),"")</f>
        <v/>
      </c>
      <c r="CS148" s="1381"/>
      <c r="CT148" s="1382"/>
      <c r="CU148" s="1381"/>
      <c r="CV148" s="1383"/>
      <c r="CW148" s="1384"/>
      <c r="CX148" s="1385"/>
      <c r="CY148" s="1384"/>
      <c r="CZ148" s="1385"/>
      <c r="DA148" s="1384"/>
      <c r="DB148" s="1385"/>
      <c r="DC148" s="1384"/>
      <c r="DD148" s="1385"/>
      <c r="DE148" s="1384"/>
      <c r="DF148" s="1386"/>
      <c r="DG148" s="1379">
        <f t="shared" ref="DG148:DH148" si="380">CS148+CU148+CW148+CY148+DA148+DC148+DE148</f>
        <v>0</v>
      </c>
      <c r="DH148" s="1380">
        <f t="shared" si="380"/>
        <v>0</v>
      </c>
      <c r="DI148" s="1387" t="str">
        <f t="shared" si="364"/>
        <v/>
      </c>
      <c r="DJ148" s="1388" t="str">
        <f>IFERROR(__xludf.DUMMYFUNCTION("IFERROR(SPARKLINE(DI148,{""charttype"",""bar"";""color1"",IF(DI148&gt;=#REF!,#REF!,IF(DI148&gt;=#REF!,#REF!,IF(DI148&gt;=#REF!,#REF!,#REF!)));""max"",1}))"),"")</f>
        <v/>
      </c>
      <c r="DK148" s="1389"/>
      <c r="DL148" s="1389"/>
    </row>
    <row r="149" hidden="1">
      <c r="A149" s="1245"/>
      <c r="B149" s="1246" t="s">
        <v>79</v>
      </c>
      <c r="C149" s="1247"/>
      <c r="D149" s="1247"/>
      <c r="E149" s="1248"/>
      <c r="F149" s="1390" t="str">
        <f>SUMIFS(J149:DI149,$O$11:$DJ$11,"Факт",$O$3:$DJ$3,"&gt;"&amp;EOMONTH('Май'!date,-1),$O$3:$DJ$3,"&lt;="&amp;EOMONTH('Май'!date,0))</f>
        <v>#VALUE!</v>
      </c>
      <c r="G149" s="1390">
        <f>SUMIFS(O149:DJ149,$O$11:$DJ$11,"Факт",$O$3:$DJ$3,"&gt;"&amp;EOMONTH('Май'!date,-1),$O$3:$DJ$3,"&lt;="&amp;EOMONTH('Май'!date,0))</f>
        <v>0</v>
      </c>
      <c r="H149" s="1251" t="str">
        <f t="shared" si="352"/>
        <v/>
      </c>
      <c r="I149" s="1391" t="str">
        <f>IFERROR(__xludf.DUMMYFUNCTION("IFERROR(SPARKLINE(H149,{""charttype"",""bar"";""color1"",IF(H149&gt;='Май'!green_percent,'Май'!green,IF(H149&gt;='Май'!yellow_percent,'Май'!yellow,IF(H149&gt;='Май'!orange_percent,'Май'!orange,'Май'!red)));""max"",1}))"),"")</f>
        <v/>
      </c>
      <c r="J149" s="1392"/>
      <c r="K149" s="1393"/>
      <c r="L149" s="1394"/>
      <c r="M149" s="1395"/>
      <c r="N149" s="1396"/>
      <c r="O149" s="1395"/>
      <c r="P149" s="1397"/>
      <c r="Q149" s="1398"/>
      <c r="R149" s="1399"/>
      <c r="S149" s="1398"/>
      <c r="T149" s="1400"/>
      <c r="U149" s="1401" t="str">
        <f t="shared" ref="U149:V149" si="381">K149+M149+#REF!+#REF!+O149+Q149+S149</f>
        <v>#REF!</v>
      </c>
      <c r="V149" s="1402" t="str">
        <f t="shared" si="381"/>
        <v>#REF!</v>
      </c>
      <c r="W149" s="1251" t="str">
        <f t="shared" si="354"/>
        <v/>
      </c>
      <c r="X149" s="1391" t="str">
        <f>IFERROR(__xludf.DUMMYFUNCTION("IFERROR(SPARKLINE(W149,{""charttype"",""bar"";""color1"",IF(W149&gt;='Май'!green_percent,'Май'!green,IF(W149&gt;='Май'!yellow_percent,'Май'!yellow,IF(W149&gt;='Май'!orange_percent,'Май'!orange,'Май'!red)));""max"",1}))"),"")</f>
        <v/>
      </c>
      <c r="Y149" s="1403">
        <v>967.741935483871</v>
      </c>
      <c r="Z149" s="1397"/>
      <c r="AA149" s="1404">
        <v>967.741935483871</v>
      </c>
      <c r="AB149" s="1397"/>
      <c r="AC149" s="1404">
        <v>967.741935483871</v>
      </c>
      <c r="AD149" s="1397"/>
      <c r="AE149" s="1404">
        <v>967.741935483871</v>
      </c>
      <c r="AF149" s="1399"/>
      <c r="AG149" s="1404">
        <v>967.741935483871</v>
      </c>
      <c r="AH149" s="1397"/>
      <c r="AI149" s="1405">
        <v>967.741935483871</v>
      </c>
      <c r="AJ149" s="1399"/>
      <c r="AK149" s="1405">
        <v>967.741935483871</v>
      </c>
      <c r="AL149" s="1399"/>
      <c r="AM149" s="1401">
        <f t="shared" ref="AM149:AN149" si="382">Y149+AA149+AC149+AE149+AG149+AI149+AK149</f>
        <v>6774.193548</v>
      </c>
      <c r="AN149" s="1402">
        <f t="shared" si="382"/>
        <v>0</v>
      </c>
      <c r="AO149" s="1339">
        <f t="shared" si="356"/>
        <v>0</v>
      </c>
      <c r="AP149" s="1406" t="str">
        <f>IFERROR(__xludf.DUMMYFUNCTION("IFERROR(SPARKLINE(AO149,{""charttype"",""bar"";""color1"",IF(AO149&gt;='Май'!green_percent,'Май'!green,IF(AO149&gt;='Май'!yellow_percent,'Май'!yellow,IF(AO149&gt;='Май'!orange_percent,'Май'!orange,'Май'!red)));""max"",1}))"),"")</f>
        <v/>
      </c>
      <c r="AQ149" s="1407"/>
      <c r="AR149" s="1408"/>
      <c r="AS149" s="1407"/>
      <c r="AT149" s="1408"/>
      <c r="AU149" s="1407"/>
      <c r="AV149" s="1408"/>
      <c r="AW149" s="1407"/>
      <c r="AX149" s="1409"/>
      <c r="AY149" s="1407"/>
      <c r="AZ149" s="1408"/>
      <c r="BA149" s="1410"/>
      <c r="BB149" s="1399"/>
      <c r="BC149" s="1410"/>
      <c r="BD149" s="1399"/>
      <c r="BE149" s="1401">
        <f t="shared" ref="BE149:BF149" si="383">AQ149+AS149+AU149+AW149+AY149+BA149+BC149</f>
        <v>0</v>
      </c>
      <c r="BF149" s="1402">
        <f t="shared" si="383"/>
        <v>0</v>
      </c>
      <c r="BG149" s="1339" t="str">
        <f t="shared" si="358"/>
        <v/>
      </c>
      <c r="BH149" s="1406" t="str">
        <f>IFERROR(__xludf.DUMMYFUNCTION("IFERROR(SPARKLINE(BG149,{""charttype"",""bar"";""color1"",IF(BG149&gt;='Май'!green_percent,'Май'!green,IF(BG149&gt;='Май'!yellow_percent,'Май'!yellow,IF(BG149&gt;='Май'!orange_percent,'Май'!orange,'Май'!red)));""max"",1}))"),"")</f>
        <v/>
      </c>
      <c r="BI149" s="1407"/>
      <c r="BJ149" s="1411"/>
      <c r="BK149" s="1412"/>
      <c r="BL149" s="1413"/>
      <c r="BM149" s="1407"/>
      <c r="BN149" s="1413"/>
      <c r="BO149" s="1407"/>
      <c r="BP149" s="1413"/>
      <c r="BQ149" s="1407"/>
      <c r="BR149" s="1413"/>
      <c r="BS149" s="1414"/>
      <c r="BT149" s="1413"/>
      <c r="BU149" s="1415"/>
      <c r="BV149" s="1416"/>
      <c r="BW149" s="1401">
        <f t="shared" ref="BW149:BX149" si="384">BI149+BK149+BM149+BO149+BQ149+BS149+BU149</f>
        <v>0</v>
      </c>
      <c r="BX149" s="1402">
        <f t="shared" si="384"/>
        <v>0</v>
      </c>
      <c r="BY149" s="1339" t="str">
        <f t="shared" si="360"/>
        <v/>
      </c>
      <c r="BZ149" s="1406" t="str">
        <f>IFERROR(__xludf.DUMMYFUNCTION("IFERROR(SPARKLINE(BY149,{""charttype"",""bar"";""color1"",IF(BY149&gt;='Май'!green_percent,'Май'!green,IF(BY149&gt;='Май'!yellow_percent,'Май'!yellow,IF(BY149&gt;='Май'!orange_percent,'Май'!orange,'Май'!red)));""max"",1}))"),"")</f>
        <v/>
      </c>
      <c r="CA149" s="1407"/>
      <c r="CB149" s="561"/>
      <c r="CC149" s="1407"/>
      <c r="CD149" s="561"/>
      <c r="CE149" s="1407"/>
      <c r="CF149" s="561"/>
      <c r="CG149" s="1407"/>
      <c r="CH149" s="561"/>
      <c r="CI149" s="1407"/>
      <c r="CJ149" s="561"/>
      <c r="CK149" s="560"/>
      <c r="CL149" s="1417"/>
      <c r="CM149" s="560"/>
      <c r="CN149" s="1418"/>
      <c r="CO149" s="1419">
        <f t="shared" ref="CO149:CP149" si="385">CA149+CC149+CE149+CG149+CI149+CK149+CM149</f>
        <v>0</v>
      </c>
      <c r="CP149" s="1420">
        <f t="shared" si="385"/>
        <v>0</v>
      </c>
      <c r="CQ149" s="235" t="str">
        <f t="shared" si="362"/>
        <v/>
      </c>
      <c r="CR149" s="1421" t="str">
        <f>IFERROR(__xludf.DUMMYFUNCTION("IFERROR(SPARKLINE(CQ149,{""charttype"",""bar"";""color1"",IF(CQ149&gt;='Май'!green_percent,'Май'!green,IF(CQ149&gt;='Май'!yellow_percent,'Май'!yellow,IF(CQ149&gt;='Май'!orange_percent,'Май'!orange,'Май'!red)));""max"",1}))"),"")</f>
        <v/>
      </c>
      <c r="CS149" s="1393"/>
      <c r="CT149" s="1422"/>
      <c r="CU149" s="1393"/>
      <c r="CV149" s="1423"/>
      <c r="CW149" s="1424"/>
      <c r="CX149" s="1423"/>
      <c r="CY149" s="1424"/>
      <c r="CZ149" s="1423"/>
      <c r="DA149" s="1424"/>
      <c r="DB149" s="1423"/>
      <c r="DC149" s="1424"/>
      <c r="DD149" s="1423"/>
      <c r="DE149" s="1424"/>
      <c r="DF149" s="1425"/>
      <c r="DG149" s="1419">
        <f t="shared" ref="DG149:DH149" si="386">CS149+CU149+CW149+CY149+DA149+DC149+DE149</f>
        <v>0</v>
      </c>
      <c r="DH149" s="1420">
        <f t="shared" si="386"/>
        <v>0</v>
      </c>
      <c r="DI149" s="1356" t="str">
        <f t="shared" si="364"/>
        <v/>
      </c>
      <c r="DJ149" s="1426" t="str">
        <f>IFERROR(__xludf.DUMMYFUNCTION("IFERROR(SPARKLINE(DI149,{""charttype"",""bar"";""color1"",IF(DI149&gt;='Май'!green_percent,'Май'!green,IF(DI149&gt;='Май'!yellow_percent,'Май'!yellow,IF(DI149&gt;='Май'!orange_percent,'Май'!orange,'Май'!red)));""max"",1}))"),"")</f>
        <v/>
      </c>
      <c r="DK149" s="1427"/>
      <c r="DL149" s="1427"/>
    </row>
    <row r="150" hidden="1">
      <c r="A150" s="1245"/>
      <c r="B150" s="1428" t="s">
        <v>80</v>
      </c>
      <c r="C150" s="242"/>
      <c r="D150" s="242"/>
      <c r="E150" s="1130"/>
      <c r="F150" s="1390" t="str">
        <f>SUMIFS(J150:DI150,$O$11:$DJ$11,"Факт",$O$3:$DJ$3,"&gt;"&amp;EOMONTH('Май'!date,-1),$O$3:$DJ$3,"&lt;="&amp;EOMONTH('Май'!date,0))</f>
        <v>#VALUE!</v>
      </c>
      <c r="G150" s="1390">
        <f>SUMIFS(O150:DJ150,$O$11:$DJ$11,"Факт",$O$3:$DJ$3,"&gt;"&amp;EOMONTH('Май'!date,-1),$O$3:$DJ$3,"&lt;="&amp;EOMONTH('Май'!date,0))</f>
        <v>0</v>
      </c>
      <c r="H150" s="220" t="str">
        <f t="shared" si="352"/>
        <v/>
      </c>
      <c r="I150" s="1429" t="str">
        <f>IFERROR(__xludf.DUMMYFUNCTION("IFERROR(SPARKLINE(H150,{""charttype"",""bar"";""color1"",IF(H150&gt;='Май'!green_percent,'Май'!green,IF(H150&gt;='Май'!yellow_percent,'Май'!yellow,IF(H150&gt;='Май'!orange_percent,'Май'!orange,'Май'!red)));""max"",1}))"),"")</f>
        <v/>
      </c>
      <c r="J150" s="1430"/>
      <c r="K150" s="1431"/>
      <c r="L150" s="1432"/>
      <c r="M150" s="1433"/>
      <c r="N150" s="1429"/>
      <c r="O150" s="1433"/>
      <c r="P150" s="1437"/>
      <c r="Q150" s="1438"/>
      <c r="R150" s="1439"/>
      <c r="S150" s="1438"/>
      <c r="T150" s="1440"/>
      <c r="U150" s="1441" t="str">
        <f t="shared" ref="U150:V150" si="387">K150+M150+#REF!+#REF!+O150+Q150+S150</f>
        <v>#REF!</v>
      </c>
      <c r="V150" s="1442" t="str">
        <f t="shared" si="387"/>
        <v>#REF!</v>
      </c>
      <c r="W150" s="1390" t="str">
        <f t="shared" si="354"/>
        <v/>
      </c>
      <c r="X150" s="1436" t="str">
        <f>IFERROR(__xludf.DUMMYFUNCTION("IFERROR(SPARKLINE(W150,{""charttype"",""bar"";""color1"",IF(W150&gt;='Май'!green_percent,'Май'!green,IF(W150&gt;='Май'!yellow_percent,'Май'!yellow,IF(W150&gt;='Май'!orange_percent,'Май'!orange,'Май'!red)));""max"",1}))"),"")</f>
        <v/>
      </c>
      <c r="Y150" s="538">
        <v>0.5166666666666667</v>
      </c>
      <c r="Z150" s="1437"/>
      <c r="AA150" s="1443">
        <v>0.5166666666666667</v>
      </c>
      <c r="AB150" s="1437"/>
      <c r="AC150" s="1443">
        <v>0.5166666666666667</v>
      </c>
      <c r="AD150" s="1437"/>
      <c r="AE150" s="1443">
        <v>0.5166666666666667</v>
      </c>
      <c r="AF150" s="1409"/>
      <c r="AG150" s="1443">
        <v>0.5166666666666667</v>
      </c>
      <c r="AH150" s="1437"/>
      <c r="AI150" s="1444">
        <v>0.5166666666666667</v>
      </c>
      <c r="AJ150" s="1437"/>
      <c r="AK150" s="1444">
        <v>0.5166666666666667</v>
      </c>
      <c r="AL150" s="1445"/>
      <c r="AM150" s="1446">
        <f t="shared" ref="AM150:AN150" si="388">Y150+AA150+AC150+AE150+AG150+AI150+AK150</f>
        <v>3.616666667</v>
      </c>
      <c r="AN150" s="1447">
        <f t="shared" si="388"/>
        <v>0</v>
      </c>
      <c r="AO150" s="1448">
        <f t="shared" si="356"/>
        <v>0</v>
      </c>
      <c r="AP150" s="1449" t="str">
        <f>IFERROR(__xludf.DUMMYFUNCTION("IFERROR(SPARKLINE(AO150,{""charttype"",""bar"";""color1"",IF(AO150&gt;='Май'!green_percent,'Май'!green,IF(AO150&gt;='Май'!yellow_percent,'Май'!yellow,IF(AO150&gt;='Май'!orange_percent,'Май'!orange,'Май'!red)));""max"",1}))"),"")</f>
        <v/>
      </c>
      <c r="AQ150" s="1433"/>
      <c r="AR150" s="1450"/>
      <c r="AS150" s="1433"/>
      <c r="AT150" s="1450"/>
      <c r="AU150" s="1433"/>
      <c r="AV150" s="1450"/>
      <c r="AW150" s="1433"/>
      <c r="AX150" s="1399"/>
      <c r="AY150" s="1433"/>
      <c r="AZ150" s="1450"/>
      <c r="BA150" s="1451"/>
      <c r="BB150" s="1450"/>
      <c r="BC150" s="1451"/>
      <c r="BD150" s="1452"/>
      <c r="BE150" s="1446">
        <f t="shared" ref="BE150:BF150" si="389">AQ150+AS150+AU150+AW150+AY150+BA150+BC150</f>
        <v>0</v>
      </c>
      <c r="BF150" s="1447">
        <f t="shared" si="389"/>
        <v>0</v>
      </c>
      <c r="BG150" s="1232" t="str">
        <f t="shared" si="358"/>
        <v/>
      </c>
      <c r="BH150" s="1449" t="str">
        <f>IFERROR(__xludf.DUMMYFUNCTION("IFERROR(SPARKLINE(BG150,{""charttype"",""bar"";""color1"",IF(BG150&gt;='Май'!green_percent,'Май'!green,IF(BG150&gt;='Май'!yellow_percent,'Май'!yellow,IF(BG150&gt;='Май'!orange_percent,'Май'!orange,'Май'!red)));""max"",1}))"),"")</f>
        <v/>
      </c>
      <c r="BI150" s="1433"/>
      <c r="BJ150" s="1453"/>
      <c r="BK150" s="1433"/>
      <c r="BL150" s="1452"/>
      <c r="BM150" s="1433"/>
      <c r="BN150" s="1452"/>
      <c r="BO150" s="1433"/>
      <c r="BP150" s="1452"/>
      <c r="BQ150" s="1433"/>
      <c r="BR150" s="1452"/>
      <c r="BS150" s="1454"/>
      <c r="BT150" s="1452"/>
      <c r="BU150" s="1455"/>
      <c r="BV150" s="1456"/>
      <c r="BW150" s="1446">
        <f t="shared" ref="BW150:BX150" si="390">BI150+BK150+BM150+BO150+BQ150+BS150+BU150</f>
        <v>0</v>
      </c>
      <c r="BX150" s="1447">
        <f t="shared" si="390"/>
        <v>0</v>
      </c>
      <c r="BY150" s="1232" t="str">
        <f t="shared" si="360"/>
        <v/>
      </c>
      <c r="BZ150" s="1449" t="str">
        <f>IFERROR(__xludf.DUMMYFUNCTION("IFERROR(SPARKLINE(BY150,{""charttype"",""bar"";""color1"",IF(BY150&gt;='Май'!green_percent,'Май'!green,IF(BY150&gt;='Май'!yellow_percent,'Май'!yellow,IF(BY150&gt;='Май'!orange_percent,'Май'!orange,'Май'!red)));""max"",1}))"),"")</f>
        <v/>
      </c>
      <c r="CA150" s="1433"/>
      <c r="CB150" s="1457"/>
      <c r="CC150" s="1433"/>
      <c r="CD150" s="1457"/>
      <c r="CE150" s="1433"/>
      <c r="CF150" s="1457"/>
      <c r="CG150" s="1433"/>
      <c r="CH150" s="1457"/>
      <c r="CI150" s="1433"/>
      <c r="CJ150" s="1457"/>
      <c r="CK150" s="1021"/>
      <c r="CL150" s="1458"/>
      <c r="CM150" s="1021"/>
      <c r="CN150" s="1458"/>
      <c r="CO150" s="1459">
        <f t="shared" ref="CO150:CP150" si="391">CA150+CC150+CE150+CG150+CI150+CK150+CM150</f>
        <v>0</v>
      </c>
      <c r="CP150" s="1460">
        <f t="shared" si="391"/>
        <v>0</v>
      </c>
      <c r="CQ150" s="300" t="str">
        <f t="shared" si="362"/>
        <v/>
      </c>
      <c r="CR150" s="1461" t="str">
        <f>IFERROR(__xludf.DUMMYFUNCTION("IFERROR(SPARKLINE(CQ150,{""charttype"",""bar"";""color1"",IF(CQ150&gt;='Май'!green_percent,'Май'!green,IF(CQ150&gt;='Май'!yellow_percent,'Май'!yellow,IF(CQ150&gt;='Май'!orange_percent,'Май'!orange,'Май'!red)));""max"",1}))"),"")</f>
        <v/>
      </c>
      <c r="CS150" s="1433"/>
      <c r="CT150" s="1462"/>
      <c r="CU150" s="1433"/>
      <c r="CV150" s="1463"/>
      <c r="CW150" s="1464"/>
      <c r="CX150" s="1463"/>
      <c r="CY150" s="1465"/>
      <c r="CZ150" s="1463"/>
      <c r="DA150" s="1465"/>
      <c r="DB150" s="1463"/>
      <c r="DC150" s="1465"/>
      <c r="DD150" s="1463"/>
      <c r="DE150" s="1465"/>
      <c r="DF150" s="1466"/>
      <c r="DG150" s="1459">
        <f t="shared" ref="DG150:DH150" si="392">CS150+CU150+CW150+CY150+DA150+DC150+DE150</f>
        <v>0</v>
      </c>
      <c r="DH150" s="1460">
        <f t="shared" si="392"/>
        <v>0</v>
      </c>
      <c r="DI150" s="1467" t="str">
        <f t="shared" si="364"/>
        <v/>
      </c>
      <c r="DJ150" s="1468" t="str">
        <f>IFERROR(__xludf.DUMMYFUNCTION("IFERROR(SPARKLINE(DI150,{""charttype"",""bar"";""color1"",IF(DI150&gt;='Май'!green_percent,'Май'!green,IF(DI150&gt;='Май'!yellow_percent,'Май'!yellow,IF(DI150&gt;='Май'!orange_percent,'Май'!orange,'Май'!red)));""max"",1}))"),"")</f>
        <v/>
      </c>
      <c r="DK150" s="1469"/>
      <c r="DL150" s="1469"/>
    </row>
    <row r="151" hidden="1">
      <c r="A151" s="1245"/>
      <c r="B151" s="1470" t="s">
        <v>81</v>
      </c>
      <c r="C151" s="217"/>
      <c r="D151" s="217"/>
      <c r="E151" s="1134"/>
      <c r="F151" s="1471" t="str">
        <f>SUMIFS(J151:DI151,$O$11:$DJ$11,"Факт",$O$3:$DJ$3,"&gt;"&amp;EOMONTH('Май'!date,-1),$O$3:$DJ$3,"&lt;="&amp;EOMONTH('Май'!date,0))</f>
        <v>#VALUE!</v>
      </c>
      <c r="G151" s="1471">
        <f>SUMIFS(O151:DJ151,$O$11:$DJ$11,"Факт",$O$3:$DJ$3,"&gt;"&amp;EOMONTH('Май'!date,-1),$O$3:$DJ$3,"&lt;="&amp;EOMONTH('Май'!date,0))</f>
        <v>0</v>
      </c>
      <c r="H151" s="1472" t="str">
        <f t="shared" si="352"/>
        <v/>
      </c>
      <c r="I151" s="1473" t="str">
        <f>IFERROR(__xludf.DUMMYFUNCTION("IFERROR(SPARKLINE(H151,{""charttype"",""bar"";""color1"",IF(H151&gt;='Май'!green_percent,'Май'!green,IF(H151&gt;='Май'!yellow_percent,'Май'!yellow,IF(H151&gt;='Май'!orange_percent,'Май'!orange,'Май'!red)));""max"",1}))"),"")</f>
        <v/>
      </c>
      <c r="J151" s="1474"/>
      <c r="K151" s="1475"/>
      <c r="L151" s="1476"/>
      <c r="M151" s="1477"/>
      <c r="N151" s="586"/>
      <c r="O151" s="1477"/>
      <c r="P151" s="1391"/>
      <c r="Q151" s="1480"/>
      <c r="R151" s="1481"/>
      <c r="S151" s="1480"/>
      <c r="T151" s="1482"/>
      <c r="U151" s="1483" t="str">
        <f t="shared" ref="U151:V151" si="393">K151+M151+#REF!+#REF!+O151+Q151+S151</f>
        <v>#REF!</v>
      </c>
      <c r="V151" s="1484" t="str">
        <f t="shared" si="393"/>
        <v>#REF!</v>
      </c>
      <c r="W151" s="1485" t="str">
        <f t="shared" si="354"/>
        <v/>
      </c>
      <c r="X151" s="1486" t="str">
        <f>IFERROR(__xludf.DUMMYFUNCTION("IFERROR(SPARKLINE(W151,{""charttype"",""bar"";""color1"",IF(W151&gt;='Май'!green_percent,'Май'!green,IF(W151&gt;='Май'!yellow_percent,'Май'!yellow,IF(W151&gt;='Май'!orange_percent,'Май'!orange,'Май'!red)));""max"",1}))"),"")</f>
        <v/>
      </c>
      <c r="Y151" s="1487">
        <v>6500.0</v>
      </c>
      <c r="Z151" s="1488"/>
      <c r="AA151" s="1489">
        <v>6500.0</v>
      </c>
      <c r="AB151" s="1488"/>
      <c r="AC151" s="1489">
        <v>6500.0</v>
      </c>
      <c r="AD151" s="1488"/>
      <c r="AE151" s="1489">
        <v>6500.0</v>
      </c>
      <c r="AF151" s="1490"/>
      <c r="AG151" s="1489">
        <v>6500.0</v>
      </c>
      <c r="AH151" s="1488"/>
      <c r="AI151" s="1491">
        <v>6500.0</v>
      </c>
      <c r="AJ151" s="1492"/>
      <c r="AK151" s="1491">
        <v>6500.0</v>
      </c>
      <c r="AL151" s="1493"/>
      <c r="AM151" s="1494">
        <f t="shared" ref="AM151:AN151" si="394">Y151+AA151+AC151+AE151+AG151+AI151+AK151</f>
        <v>45500</v>
      </c>
      <c r="AN151" s="1495">
        <f t="shared" si="394"/>
        <v>0</v>
      </c>
      <c r="AO151" s="1496">
        <f t="shared" si="356"/>
        <v>0</v>
      </c>
      <c r="AP151" s="510" t="str">
        <f>IFERROR(__xludf.DUMMYFUNCTION("IFERROR(SPARKLINE(AO151,{""charttype"",""bar"";""color1"",IF(AO151&gt;='Май'!green_percent,'Май'!green,IF(AO151&gt;='Май'!yellow_percent,'Май'!yellow,IF(AO151&gt;='Май'!orange_percent,'Май'!orange,'Май'!red)));""max"",1}))"),"")</f>
        <v/>
      </c>
      <c r="AQ151" s="1477"/>
      <c r="AR151" s="561"/>
      <c r="AS151" s="1477"/>
      <c r="AT151" s="1497"/>
      <c r="AU151" s="1477"/>
      <c r="AV151" s="1409"/>
      <c r="AW151" s="1477"/>
      <c r="AX151" s="1490"/>
      <c r="AY151" s="1477"/>
      <c r="AZ151" s="1497"/>
      <c r="BA151" s="1498"/>
      <c r="BB151" s="1497"/>
      <c r="BC151" s="1498"/>
      <c r="BD151" s="1499"/>
      <c r="BE151" s="1494">
        <f t="shared" ref="BE151:BF151" si="395">AQ151+AS151+AU151+AW151+AY151+BA151+BC151</f>
        <v>0</v>
      </c>
      <c r="BF151" s="1495">
        <f t="shared" si="395"/>
        <v>0</v>
      </c>
      <c r="BG151" s="1496" t="str">
        <f t="shared" si="358"/>
        <v/>
      </c>
      <c r="BH151" s="510" t="str">
        <f>IFERROR(__xludf.DUMMYFUNCTION("IFERROR(SPARKLINE(BG151,{""charttype"",""bar"";""color1"",IF(BG151&gt;='Май'!green_percent,'Май'!green,IF(BG151&gt;='Май'!yellow_percent,'Май'!yellow,IF(BG151&gt;='Май'!orange_percent,'Май'!orange,'Май'!red)));""max"",1}))"),"")</f>
        <v/>
      </c>
      <c r="BI151" s="1433"/>
      <c r="BJ151" s="1500"/>
      <c r="BK151" s="1433"/>
      <c r="BL151" s="1501"/>
      <c r="BM151" s="1433"/>
      <c r="BN151" s="1502"/>
      <c r="BO151" s="1433"/>
      <c r="BP151" s="1502"/>
      <c r="BQ151" s="1433"/>
      <c r="BR151" s="1502"/>
      <c r="BS151" s="1503"/>
      <c r="BT151" s="1504"/>
      <c r="BU151" s="1505"/>
      <c r="BV151" s="1456"/>
      <c r="BW151" s="1494">
        <f t="shared" ref="BW151:BX151" si="396">BI151+BK151+BM151+BO151+BQ151+BS151+BU151</f>
        <v>0</v>
      </c>
      <c r="BX151" s="1495">
        <f t="shared" si="396"/>
        <v>0</v>
      </c>
      <c r="BY151" s="1496" t="str">
        <f t="shared" si="360"/>
        <v/>
      </c>
      <c r="BZ151" s="510" t="str">
        <f>IFERROR(__xludf.DUMMYFUNCTION("IFERROR(SPARKLINE(BY151,{""charttype"",""bar"";""color1"",IF(BY151&gt;='Май'!green_percent,'Май'!green,IF(BY151&gt;='Май'!yellow_percent,'Май'!yellow,IF(BY151&gt;='Май'!orange_percent,'Май'!orange,'Май'!red)));""max"",1}))"),"")</f>
        <v/>
      </c>
      <c r="CA151" s="1433"/>
      <c r="CB151" s="1506"/>
      <c r="CC151" s="1433"/>
      <c r="CD151" s="1506"/>
      <c r="CE151" s="1433"/>
      <c r="CF151" s="1506"/>
      <c r="CG151" s="1433"/>
      <c r="CH151" s="1507"/>
      <c r="CI151" s="1433"/>
      <c r="CJ151" s="1506"/>
      <c r="CK151" s="1508"/>
      <c r="CL151" s="1509"/>
      <c r="CM151" s="1508"/>
      <c r="CN151" s="1509"/>
      <c r="CO151" s="1510">
        <f t="shared" ref="CO151:CP151" si="397">CA151+CC151+CE151+CG151+CI151+CK151+CM151</f>
        <v>0</v>
      </c>
      <c r="CP151" s="1511">
        <f t="shared" si="397"/>
        <v>0</v>
      </c>
      <c r="CQ151" s="1512" t="str">
        <f t="shared" si="362"/>
        <v/>
      </c>
      <c r="CR151" s="479" t="str">
        <f>IFERROR(__xludf.DUMMYFUNCTION("IFERROR(SPARKLINE(CQ151,{""charttype"",""bar"";""color1"",IF(CQ151&gt;='Май'!green_percent,'Май'!green,IF(CQ151&gt;='Май'!yellow_percent,'Май'!yellow,IF(CQ151&gt;='Май'!orange_percent,'Май'!orange,'Май'!red)));""max"",1}))"),"")</f>
        <v/>
      </c>
      <c r="CS151" s="1513"/>
      <c r="CT151" s="1513"/>
      <c r="CU151" s="1513"/>
      <c r="CV151" s="1514"/>
      <c r="CW151" s="1515"/>
      <c r="CX151" s="1516"/>
      <c r="CY151" s="1517"/>
      <c r="CZ151" s="1516"/>
      <c r="DA151" s="1517"/>
      <c r="DB151" s="1516"/>
      <c r="DC151" s="1517"/>
      <c r="DD151" s="1516"/>
      <c r="DE151" s="1517"/>
      <c r="DF151" s="1518"/>
      <c r="DG151" s="1510">
        <f t="shared" ref="DG151:DH151" si="398">CS151+CU151+CW151+CY151+DA151+DC151+DE151</f>
        <v>0</v>
      </c>
      <c r="DH151" s="1511">
        <f t="shared" si="398"/>
        <v>0</v>
      </c>
      <c r="DI151" s="1519" t="str">
        <f t="shared" si="364"/>
        <v/>
      </c>
      <c r="DJ151" s="1282" t="str">
        <f>IFERROR(__xludf.DUMMYFUNCTION("IFERROR(SPARKLINE(DI151,{""charttype"",""bar"";""color1"",IF(DI151&gt;='Май'!green_percent,'Май'!green,IF(DI151&gt;='Май'!yellow_percent,'Май'!yellow,IF(DI151&gt;='Май'!orange_percent,'Май'!orange,'Май'!red)));""max"",1}))"),"")</f>
        <v/>
      </c>
      <c r="DK151" s="1520"/>
      <c r="DL151" s="1520"/>
    </row>
    <row r="152" hidden="1">
      <c r="A152" s="1245"/>
      <c r="B152" s="1521" t="s">
        <v>82</v>
      </c>
      <c r="C152" s="814"/>
      <c r="D152" s="814"/>
      <c r="E152" s="1522"/>
      <c r="F152" s="1523" t="str">
        <f>$J$152</f>
        <v/>
      </c>
      <c r="G152" s="1524">
        <f>IFERROR(G148/G16,"")</f>
        <v>0</v>
      </c>
      <c r="H152" s="1525" t="str">
        <f t="shared" ref="H152:H154" si="399">IF(F152&lt;&gt;0,IF(G152&lt;F152,"Не в плане","В плане"),)</f>
        <v/>
      </c>
      <c r="I152" s="222"/>
      <c r="J152" s="1526"/>
      <c r="K152" s="379"/>
      <c r="L152" s="1527"/>
      <c r="M152" s="379"/>
      <c r="N152" s="1527"/>
      <c r="O152" s="379"/>
      <c r="P152" s="1527"/>
      <c r="Q152" s="1528"/>
      <c r="R152" s="1529"/>
      <c r="S152" s="1528"/>
      <c r="T152" s="1530"/>
      <c r="U152" s="1531" t="str">
        <f>IFERROR(AVERAGE(K152,M152,#REF!,#REF!,O152,Q152,S152),"")</f>
        <v/>
      </c>
      <c r="V152" s="230" t="str">
        <f>IFERROR(V148/V16,"")</f>
        <v/>
      </c>
      <c r="W152" s="1532" t="str">
        <f t="shared" ref="W152:W153" si="400">IF(U152&lt;&gt;0,IF(V152&lt;U152,"Не в плане","В плане"),)</f>
        <v/>
      </c>
      <c r="X152" s="1533"/>
      <c r="Y152" s="1534"/>
      <c r="Z152" s="1529"/>
      <c r="AA152" s="1535"/>
      <c r="AB152" s="1529"/>
      <c r="AC152" s="1535"/>
      <c r="AD152" s="1529"/>
      <c r="AE152" s="1535"/>
      <c r="AF152" s="1529"/>
      <c r="AG152" s="1535"/>
      <c r="AH152" s="1529"/>
      <c r="AI152" s="1535"/>
      <c r="AJ152" s="1529"/>
      <c r="AK152" s="1535"/>
      <c r="AL152" s="1529"/>
      <c r="AM152" s="1536" t="str">
        <f>IFERROR(AVERAGE(Y152,AA152,AC152,AE152,AG152,AI152,AK152),"")</f>
        <v/>
      </c>
      <c r="AN152" s="1529">
        <f>IFERROR(AN148/AN16,"")</f>
        <v>0</v>
      </c>
      <c r="AO152" s="1537" t="str">
        <f t="shared" ref="AO152:AO153" si="401">IF(AM152&lt;&gt;0,IF(AN152&lt;AM152,"Не в плане","В плане"),)</f>
        <v/>
      </c>
      <c r="AP152" s="1130"/>
      <c r="AQ152" s="319"/>
      <c r="AR152" s="1529"/>
      <c r="AS152" s="319"/>
      <c r="AT152" s="1529"/>
      <c r="AU152" s="319"/>
      <c r="AV152" s="1529"/>
      <c r="AW152" s="319"/>
      <c r="AX152" s="1529"/>
      <c r="AY152" s="319"/>
      <c r="AZ152" s="1529"/>
      <c r="BA152" s="319"/>
      <c r="BB152" s="1529"/>
      <c r="BC152" s="319"/>
      <c r="BD152" s="1529"/>
      <c r="BE152" s="1536" t="str">
        <f>IFERROR(AVERAGE(AQ152,AS152,AU152,AW152,AY152,BA152,BC152),"")</f>
        <v/>
      </c>
      <c r="BF152" s="1529">
        <f>IFERROR(BF148/BF16,"")</f>
        <v>0</v>
      </c>
      <c r="BG152" s="1537" t="str">
        <f t="shared" ref="BG152:BG153" si="402">IF(BE152&lt;&gt;0,IF(BF152&lt;BE152,"Не в плане","В плане"),)</f>
        <v/>
      </c>
      <c r="BH152" s="1130"/>
      <c r="BI152" s="319"/>
      <c r="BJ152" s="1529"/>
      <c r="BK152" s="319"/>
      <c r="BL152" s="1529"/>
      <c r="BM152" s="319"/>
      <c r="BN152" s="1529"/>
      <c r="BO152" s="319"/>
      <c r="BP152" s="1529"/>
      <c r="BQ152" s="319"/>
      <c r="BR152" s="1529"/>
      <c r="BS152" s="319"/>
      <c r="BT152" s="1529"/>
      <c r="BU152" s="1528"/>
      <c r="BV152" s="1529"/>
      <c r="BW152" s="1536" t="str">
        <f>IFERROR(AVERAGE(BI152,BK152,BM152,BO152,BQ152,BS152,BU152),"")</f>
        <v/>
      </c>
      <c r="BX152" s="1529">
        <f>IFERROR(BX148/BX16,"")</f>
        <v>0</v>
      </c>
      <c r="BY152" s="1537" t="str">
        <f t="shared" ref="BY152:BY153" si="403">IF(BW152&lt;&gt;0,IF(BX152&lt;BW152,"Не в плане","В плане"),)</f>
        <v/>
      </c>
      <c r="BZ152" s="1130"/>
      <c r="CA152" s="1538"/>
      <c r="CB152" s="1529"/>
      <c r="CC152" s="319"/>
      <c r="CD152" s="1529"/>
      <c r="CE152" s="319"/>
      <c r="CF152" s="1529"/>
      <c r="CG152" s="319"/>
      <c r="CH152" s="1529"/>
      <c r="CI152" s="319"/>
      <c r="CJ152" s="1529"/>
      <c r="CK152" s="319"/>
      <c r="CL152" s="1529"/>
      <c r="CM152" s="319"/>
      <c r="CN152" s="1529"/>
      <c r="CO152" s="1539" t="str">
        <f>IFERROR(AVERAGE(CA152,CC152,CE152,CG152,CI152,CK152,CM152),"")</f>
        <v/>
      </c>
      <c r="CP152" s="1540">
        <f>IFERROR(CP148/CP16,"")</f>
        <v>0</v>
      </c>
      <c r="CQ152" s="1541" t="str">
        <f t="shared" ref="CQ152:CQ153" si="404">IF(CO152&lt;&gt;0,IF(CP152&lt;CO152,"Не в плане","В плане"),)</f>
        <v/>
      </c>
      <c r="CR152" s="1138"/>
      <c r="CS152" s="1542"/>
      <c r="CT152" s="1529"/>
      <c r="CU152" s="1528"/>
      <c r="CV152" s="1543"/>
      <c r="CW152" s="1528" t="str">
        <f>$J$152</f>
        <v/>
      </c>
      <c r="CX152" s="1543" t="str">
        <f>IFERROR(CX148/CX16,"")</f>
        <v/>
      </c>
      <c r="CY152" s="1528" t="str">
        <f>$J$152</f>
        <v/>
      </c>
      <c r="CZ152" s="1543" t="str">
        <f>IFERROR(CZ148/CZ16,"")</f>
        <v/>
      </c>
      <c r="DA152" s="1528" t="str">
        <f>$J$152</f>
        <v/>
      </c>
      <c r="DB152" s="1543" t="str">
        <f>IFERROR(DB148/DB16,"")</f>
        <v/>
      </c>
      <c r="DC152" s="1528" t="str">
        <f>$J$152</f>
        <v/>
      </c>
      <c r="DD152" s="1543" t="str">
        <f>IFERROR(DD148/DD16,"")</f>
        <v/>
      </c>
      <c r="DE152" s="1528" t="str">
        <f>$J$152</f>
        <v/>
      </c>
      <c r="DF152" s="1543" t="str">
        <f>IFERROR(DF148/DF16,"")</f>
        <v/>
      </c>
      <c r="DG152" s="1539" t="str">
        <f>IFERROR(AVERAGE(CS152,CU152,CW152,CY152,DA152,DC152,DE152),"")</f>
        <v/>
      </c>
      <c r="DH152" s="1540" t="str">
        <f>IFERROR(DH148/DH16,"")</f>
        <v/>
      </c>
      <c r="DI152" s="1544" t="str">
        <f t="shared" ref="DI152:DI153" si="405">IF(DH152&lt;&gt;0,IF(DI152&lt;DH152,"Не в плане","В плане"),)</f>
        <v/>
      </c>
      <c r="DJ152" s="72"/>
      <c r="DK152" s="1545"/>
      <c r="DL152" s="1545"/>
    </row>
    <row r="153" hidden="1">
      <c r="A153" s="1245"/>
      <c r="B153" s="1546" t="s">
        <v>83</v>
      </c>
      <c r="C153" s="967"/>
      <c r="D153" s="967"/>
      <c r="E153" s="1547"/>
      <c r="F153" s="1523" t="str">
        <f>$J$153</f>
        <v/>
      </c>
      <c r="G153" s="1548" t="str">
        <f>IFERROR(G148/G147,"")</f>
        <v/>
      </c>
      <c r="H153" s="1537" t="str">
        <f t="shared" si="399"/>
        <v/>
      </c>
      <c r="I153" s="546"/>
      <c r="J153" s="1549"/>
      <c r="K153" s="1550"/>
      <c r="L153" s="1551"/>
      <c r="M153" s="1552"/>
      <c r="N153" s="514"/>
      <c r="O153" s="1523"/>
      <c r="P153" s="1554"/>
      <c r="Q153" s="1523"/>
      <c r="R153" s="1554"/>
      <c r="S153" s="1523"/>
      <c r="T153" s="1555"/>
      <c r="U153" s="1556" t="str">
        <f>$J$153</f>
        <v/>
      </c>
      <c r="V153" s="1557" t="str">
        <f>IFERROR(V148/V147,"")</f>
        <v/>
      </c>
      <c r="W153" s="1532" t="str">
        <f t="shared" si="400"/>
        <v/>
      </c>
      <c r="X153" s="1533"/>
      <c r="Y153" s="1558"/>
      <c r="Z153" s="1553"/>
      <c r="AA153" s="1559"/>
      <c r="AB153" s="1553"/>
      <c r="AC153" s="1559"/>
      <c r="AD153" s="1553"/>
      <c r="AE153" s="1559"/>
      <c r="AF153" s="1554"/>
      <c r="AG153" s="1559"/>
      <c r="AH153" s="1553"/>
      <c r="AI153" s="1559"/>
      <c r="AJ153" s="1553"/>
      <c r="AK153" s="1559"/>
      <c r="AL153" s="1553"/>
      <c r="AM153" s="1523" t="str">
        <f>$J$153</f>
        <v/>
      </c>
      <c r="AN153" s="1553" t="str">
        <f>IFERROR(AN148/AN147,"")</f>
        <v/>
      </c>
      <c r="AO153" s="1525" t="str">
        <f t="shared" si="401"/>
        <v/>
      </c>
      <c r="AP153" s="1134"/>
      <c r="AQ153" s="1560"/>
      <c r="AR153" s="1561"/>
      <c r="AS153" s="1560"/>
      <c r="AT153" s="1561"/>
      <c r="AU153" s="1560"/>
      <c r="AV153" s="1561"/>
      <c r="AW153" s="1560"/>
      <c r="AX153" s="1527"/>
      <c r="AY153" s="1560"/>
      <c r="AZ153" s="1561"/>
      <c r="BA153" s="1560"/>
      <c r="BB153" s="1561"/>
      <c r="BC153" s="1560"/>
      <c r="BD153" s="1561"/>
      <c r="BE153" s="1523" t="str">
        <f>$J$153</f>
        <v/>
      </c>
      <c r="BF153" s="1553" t="str">
        <f>IFERROR(BF148/BF147,"")</f>
        <v/>
      </c>
      <c r="BG153" s="1525" t="str">
        <f t="shared" si="402"/>
        <v/>
      </c>
      <c r="BH153" s="1134"/>
      <c r="BI153" s="1560"/>
      <c r="BJ153" s="1561"/>
      <c r="BK153" s="1562"/>
      <c r="BL153" s="1561"/>
      <c r="BM153" s="1560"/>
      <c r="BN153" s="1561"/>
      <c r="BO153" s="1563"/>
      <c r="BP153" s="1527"/>
      <c r="BQ153" s="1560"/>
      <c r="BR153" s="1561"/>
      <c r="BS153" s="1560"/>
      <c r="BT153" s="1561"/>
      <c r="BU153" s="1523"/>
      <c r="BV153" s="1553"/>
      <c r="BW153" s="1523" t="str">
        <f>$J$153</f>
        <v/>
      </c>
      <c r="BX153" s="1553" t="str">
        <f>IFERROR(BX148/BX147,"")</f>
        <v/>
      </c>
      <c r="BY153" s="1525" t="str">
        <f t="shared" si="403"/>
        <v/>
      </c>
      <c r="BZ153" s="1134"/>
      <c r="CA153" s="1560"/>
      <c r="CB153" s="1561"/>
      <c r="CC153" s="1560"/>
      <c r="CD153" s="1561"/>
      <c r="CE153" s="1560"/>
      <c r="CF153" s="1561"/>
      <c r="CG153" s="1560"/>
      <c r="CH153" s="1527"/>
      <c r="CI153" s="1560"/>
      <c r="CJ153" s="1561"/>
      <c r="CK153" s="1560"/>
      <c r="CL153" s="1561"/>
      <c r="CM153" s="1560"/>
      <c r="CN153" s="1561"/>
      <c r="CO153" s="1564" t="str">
        <f>$J$153</f>
        <v/>
      </c>
      <c r="CP153" s="1565" t="str">
        <f>IFERROR(CP148/CP147,"")</f>
        <v/>
      </c>
      <c r="CQ153" s="1566" t="str">
        <f t="shared" si="404"/>
        <v/>
      </c>
      <c r="CR153" s="1567"/>
      <c r="CS153" s="1523"/>
      <c r="CT153" s="1553"/>
      <c r="CU153" s="1568"/>
      <c r="CV153" s="1553"/>
      <c r="CW153" s="1568" t="str">
        <f>$J$153</f>
        <v/>
      </c>
      <c r="CX153" s="1553" t="str">
        <f>IFERROR(CX148/CX147,"")</f>
        <v/>
      </c>
      <c r="CY153" s="1568" t="str">
        <f>$J$153</f>
        <v/>
      </c>
      <c r="CZ153" s="1553" t="str">
        <f>IFERROR(CZ148/CZ147,"")</f>
        <v/>
      </c>
      <c r="DA153" s="1568" t="str">
        <f>$J$153</f>
        <v/>
      </c>
      <c r="DB153" s="1553" t="str">
        <f>IFERROR(DB148/DB147,"")</f>
        <v/>
      </c>
      <c r="DC153" s="1568" t="str">
        <f>$J$153</f>
        <v/>
      </c>
      <c r="DD153" s="1553" t="str">
        <f>IFERROR(DD148/DD147,"")</f>
        <v/>
      </c>
      <c r="DE153" s="1569" t="str">
        <f>$J$153</f>
        <v/>
      </c>
      <c r="DF153" s="1553" t="str">
        <f>IFERROR(DF148/DF147,"")</f>
        <v/>
      </c>
      <c r="DG153" s="1564" t="str">
        <f>$J$153</f>
        <v/>
      </c>
      <c r="DH153" s="1565" t="str">
        <f>IFERROR(DH148/DH147,"")</f>
        <v/>
      </c>
      <c r="DI153" s="1570" t="str">
        <f t="shared" si="405"/>
        <v/>
      </c>
      <c r="DJ153" s="1571"/>
      <c r="DK153" s="1545"/>
      <c r="DL153" s="1545"/>
    </row>
    <row r="154" hidden="1">
      <c r="A154" s="1572"/>
      <c r="B154" s="1573" t="s">
        <v>84</v>
      </c>
      <c r="C154" s="1574"/>
      <c r="D154" s="1574"/>
      <c r="E154" s="1575"/>
      <c r="F154" s="1576" t="str">
        <f>J154</f>
        <v/>
      </c>
      <c r="G154" s="1577" t="str">
        <f>IFERROR(G150/G148,"")</f>
        <v/>
      </c>
      <c r="H154" s="1578" t="str">
        <f t="shared" si="399"/>
        <v/>
      </c>
      <c r="I154" s="1579"/>
      <c r="J154" s="1580"/>
      <c r="K154" s="1581"/>
      <c r="L154" s="1582"/>
      <c r="M154" s="1583"/>
      <c r="N154" s="1584"/>
      <c r="O154" s="1587"/>
      <c r="P154" s="1584"/>
      <c r="Q154" s="1587"/>
      <c r="R154" s="1584"/>
      <c r="S154" s="1587"/>
      <c r="T154" s="1588"/>
      <c r="U154" s="1587" t="str">
        <f>$J$154</f>
        <v/>
      </c>
      <c r="V154" s="1589" t="str">
        <f>IFERROR(V150/V148,"")</f>
        <v/>
      </c>
      <c r="W154" s="1590" t="str">
        <f>IFERROR(V154/U154,"")</f>
        <v/>
      </c>
      <c r="X154" s="1591" t="str">
        <f>IFERROR(__xludf.DUMMYFUNCTION("IFERROR(SPARKLINE(W154,{""charttype"",""bar"";""color1"",IF(W154&gt;='Май'!green_percent,'Май'!green,IF(W154&gt;='Май'!yellow_percent,'Май'!yellow,IF(W154&gt;='Май'!orange_percent,'Май'!orange,'Май'!red)));""max"",1}))"),"")</f>
        <v/>
      </c>
      <c r="Y154" s="1592"/>
      <c r="Z154" s="1593"/>
      <c r="AA154" s="1594"/>
      <c r="AB154" s="1593"/>
      <c r="AC154" s="1594"/>
      <c r="AD154" s="1593"/>
      <c r="AE154" s="1594"/>
      <c r="AF154" s="1593"/>
      <c r="AG154" s="1594"/>
      <c r="AH154" s="1593"/>
      <c r="AI154" s="1594"/>
      <c r="AJ154" s="1593" t="str">
        <f>IFERROR(AJ150/AJ148,"")</f>
        <v/>
      </c>
      <c r="AK154" s="1594"/>
      <c r="AL154" s="1593" t="str">
        <f>IFERROR(AL150/AL148,"")</f>
        <v/>
      </c>
      <c r="AM154" s="1587" t="str">
        <f>$J$154</f>
        <v/>
      </c>
      <c r="AN154" s="1584" t="str">
        <f>IFERROR(AN150/AN148,"")</f>
        <v/>
      </c>
      <c r="AO154" s="1595" t="str">
        <f>IFERROR(AN154/AM154,"")</f>
        <v/>
      </c>
      <c r="AP154" s="1596" t="str">
        <f>IFERROR(__xludf.DUMMYFUNCTION("IFERROR(SPARKLINE(AO154,{""charttype"",""bar"";""color1"",IF(AO154&gt;='Май'!green_percent,'Май'!green,IF(AO154&gt;='Май'!yellow_percent,'Май'!yellow,IF(AO154&gt;='Май'!orange_percent,'Май'!orange,'Май'!red)));""max"",1}))"),"")</f>
        <v/>
      </c>
      <c r="AQ154" s="1597"/>
      <c r="AR154" s="1593"/>
      <c r="AS154" s="1597"/>
      <c r="AT154" s="1593"/>
      <c r="AU154" s="1597"/>
      <c r="AV154" s="1593"/>
      <c r="AW154" s="1597"/>
      <c r="AX154" s="1593"/>
      <c r="AY154" s="1597"/>
      <c r="AZ154" s="1593"/>
      <c r="BA154" s="1597"/>
      <c r="BB154" s="1593"/>
      <c r="BC154" s="1597"/>
      <c r="BD154" s="1593"/>
      <c r="BE154" s="1587" t="str">
        <f>$J$154</f>
        <v/>
      </c>
      <c r="BF154" s="1584" t="str">
        <f>IFERROR(BF150/BF148,"")</f>
        <v/>
      </c>
      <c r="BG154" s="1595" t="str">
        <f>IFERROR(BF154/BE154,"")</f>
        <v/>
      </c>
      <c r="BH154" s="1596" t="str">
        <f>IFERROR(__xludf.DUMMYFUNCTION("IFERROR(SPARKLINE(BG154,{""charttype"",""bar"";""color1"",IF(BG154&gt;='Май'!green_percent,'Май'!green,IF(BG154&gt;='Май'!yellow_percent,'Май'!yellow,IF(BG154&gt;='Май'!orange_percent,'Май'!orange,'Май'!red)));""max"",1}))"),"")</f>
        <v/>
      </c>
      <c r="BI154" s="1597"/>
      <c r="BJ154" s="1593"/>
      <c r="BK154" s="1597"/>
      <c r="BL154" s="1593"/>
      <c r="BM154" s="1597"/>
      <c r="BN154" s="1593"/>
      <c r="BO154" s="1597"/>
      <c r="BP154" s="1593"/>
      <c r="BQ154" s="1597"/>
      <c r="BR154" s="1593"/>
      <c r="BS154" s="1597"/>
      <c r="BT154" s="1593"/>
      <c r="BU154" s="1597"/>
      <c r="BV154" s="1593"/>
      <c r="BW154" s="1587" t="str">
        <f>$J$154</f>
        <v/>
      </c>
      <c r="BX154" s="1584" t="str">
        <f>IFERROR(BX150/BX148,"")</f>
        <v/>
      </c>
      <c r="BY154" s="1595" t="str">
        <f>IFERROR(BX154/BW154,"")</f>
        <v/>
      </c>
      <c r="BZ154" s="1596" t="str">
        <f>IFERROR(__xludf.DUMMYFUNCTION("IFERROR(SPARKLINE(BY154,{""charttype"",""bar"";""color1"",IF(BY154&gt;='Май'!green_percent,'Май'!green,IF(BY154&gt;='Май'!yellow_percent,'Май'!yellow,IF(BY154&gt;='Май'!orange_percent,'Май'!orange,'Май'!red)));""max"",1}))"),"")</f>
        <v/>
      </c>
      <c r="CA154" s="1597"/>
      <c r="CB154" s="1593"/>
      <c r="CC154" s="1597"/>
      <c r="CD154" s="1593"/>
      <c r="CE154" s="1597"/>
      <c r="CF154" s="1593"/>
      <c r="CG154" s="1597"/>
      <c r="CH154" s="1593"/>
      <c r="CI154" s="1597"/>
      <c r="CJ154" s="1593"/>
      <c r="CK154" s="1597"/>
      <c r="CL154" s="1593"/>
      <c r="CM154" s="1597"/>
      <c r="CN154" s="1593"/>
      <c r="CO154" s="1598" t="str">
        <f>$J$154</f>
        <v/>
      </c>
      <c r="CP154" s="1599" t="str">
        <f>IFERROR(CP150/CP148,"")</f>
        <v/>
      </c>
      <c r="CQ154" s="1600" t="str">
        <f>IFERROR(CP154/CO154,"")</f>
        <v/>
      </c>
      <c r="CR154" s="1601" t="str">
        <f>IFERROR(__xludf.DUMMYFUNCTION("IFERROR(SPARKLINE(CQ154,{""charttype"",""bar"";""color1"",IF(CQ154&gt;='Май'!green_percent,'Май'!green,IF(CQ154&gt;='Май'!yellow_percent,'Май'!yellow,IF(CQ154&gt;='Май'!orange_percent,'Май'!orange,'Май'!red)));""max"",1}))"),"")</f>
        <v/>
      </c>
      <c r="CS154" s="1597"/>
      <c r="CT154" s="1593"/>
      <c r="CU154" s="1597"/>
      <c r="CV154" s="1602"/>
      <c r="CW154" s="1597" t="str">
        <f>$J$154</f>
        <v/>
      </c>
      <c r="CX154" s="1602" t="str">
        <f>IFERROR(CX150/CX148,"")</f>
        <v/>
      </c>
      <c r="CY154" s="1597" t="str">
        <f>$J$154</f>
        <v/>
      </c>
      <c r="CZ154" s="1602" t="str">
        <f>IFERROR(CZ150/CZ148,"")</f>
        <v/>
      </c>
      <c r="DA154" s="1597" t="str">
        <f>$J$154</f>
        <v/>
      </c>
      <c r="DB154" s="1602" t="str">
        <f>IFERROR(DB150/DB148,"")</f>
        <v/>
      </c>
      <c r="DC154" s="1597" t="str">
        <f>$J$154</f>
        <v/>
      </c>
      <c r="DD154" s="1602" t="str">
        <f>IFERROR(DD150/DD148,"")</f>
        <v/>
      </c>
      <c r="DE154" s="1597" t="str">
        <f>$J$154</f>
        <v/>
      </c>
      <c r="DF154" s="1593" t="str">
        <f>IFERROR(DF150/DF148,"")</f>
        <v/>
      </c>
      <c r="DG154" s="1598" t="str">
        <f>$J$154</f>
        <v/>
      </c>
      <c r="DH154" s="1599" t="str">
        <f>IFERROR(DH150/DH148,"")</f>
        <v/>
      </c>
      <c r="DI154" s="1600" t="str">
        <f>IFERROR(DH154/DG154,"")</f>
        <v/>
      </c>
      <c r="DJ154" s="1601" t="str">
        <f>IFERROR(__xludf.DUMMYFUNCTION("IFERROR(SPARKLINE(DI154,{""charttype"",""bar"";""color1"",IF(DI154&gt;='Май'!green_percent,'Май'!green,IF(DI154&gt;='Май'!yellow_percent,'Май'!yellow,IF(DI154&gt;='Май'!orange_percent,'Май'!orange,'Май'!red)));""max"",1}))"),"")</f>
        <v/>
      </c>
      <c r="DK154" s="1603"/>
      <c r="DL154" s="1603"/>
    </row>
    <row r="155" ht="26.25" customHeight="1">
      <c r="A155" s="1604"/>
      <c r="B155" s="1604"/>
      <c r="C155" s="1604"/>
      <c r="D155" s="1604"/>
      <c r="E155" s="1604"/>
      <c r="F155" s="1605"/>
      <c r="G155" s="1606"/>
      <c r="H155" s="1607"/>
      <c r="I155" s="1608"/>
      <c r="J155" s="1609"/>
      <c r="K155" s="1606"/>
      <c r="L155" s="1606"/>
      <c r="M155" s="1606"/>
      <c r="N155" s="1606"/>
      <c r="O155" s="1606"/>
      <c r="P155" s="1606"/>
      <c r="Q155" s="1606"/>
      <c r="R155" s="1606"/>
      <c r="S155" s="1606"/>
      <c r="T155" s="1606"/>
      <c r="U155" s="1606"/>
      <c r="V155" s="1606"/>
      <c r="W155" s="1607"/>
      <c r="X155" s="1608"/>
      <c r="Y155" s="1610"/>
      <c r="Z155" s="1606"/>
      <c r="AA155" s="1611"/>
      <c r="AB155" s="1606"/>
      <c r="AC155" s="1611"/>
      <c r="AD155" s="1606"/>
      <c r="AE155" s="1611"/>
      <c r="AF155" s="1606"/>
      <c r="AG155" s="1611"/>
      <c r="AH155" s="1606"/>
      <c r="AI155" s="1611"/>
      <c r="AJ155" s="1606"/>
      <c r="AK155" s="1611"/>
      <c r="AL155" s="1606"/>
      <c r="AM155" s="1612"/>
      <c r="AN155" s="1612"/>
      <c r="AO155" s="1613"/>
      <c r="AP155" s="1612"/>
      <c r="AQ155" s="1606"/>
      <c r="AR155" s="1606"/>
      <c r="AS155" s="1606"/>
      <c r="AT155" s="1606"/>
      <c r="AU155" s="1606"/>
      <c r="AV155" s="1606"/>
      <c r="AW155" s="1606"/>
      <c r="AX155" s="1606"/>
      <c r="AY155" s="1606"/>
      <c r="AZ155" s="1606"/>
      <c r="BA155" s="1606"/>
      <c r="BB155" s="1606"/>
      <c r="BC155" s="1606"/>
      <c r="BD155" s="1606"/>
      <c r="BE155" s="1612"/>
      <c r="BF155" s="1612"/>
      <c r="BG155" s="1613"/>
      <c r="BH155" s="1612"/>
      <c r="BI155" s="1612"/>
      <c r="BJ155" s="1612"/>
      <c r="BK155" s="1614"/>
      <c r="BL155" s="1614"/>
      <c r="BM155" s="1614"/>
      <c r="BN155" s="1614"/>
      <c r="BO155" s="1614"/>
      <c r="BP155" s="1614"/>
      <c r="BQ155" s="1614"/>
      <c r="BR155" s="1614"/>
      <c r="BS155" s="1614"/>
      <c r="BT155" s="1614"/>
      <c r="BU155" s="1614"/>
      <c r="BV155" s="1614"/>
      <c r="BW155" s="1612"/>
      <c r="BX155" s="1612"/>
      <c r="BY155" s="1613"/>
      <c r="BZ155" s="1612"/>
      <c r="CA155" s="1606"/>
      <c r="CB155" s="1606"/>
      <c r="CC155" s="1606"/>
      <c r="CD155" s="1606"/>
      <c r="CE155" s="1606"/>
      <c r="CF155" s="1606"/>
      <c r="CG155" s="1606"/>
      <c r="CH155" s="1606"/>
      <c r="CI155" s="1606"/>
      <c r="CJ155" s="1606"/>
      <c r="CK155" s="1606"/>
      <c r="CL155" s="1606"/>
      <c r="CM155" s="1606"/>
      <c r="CN155" s="1606"/>
      <c r="CO155" s="1615"/>
      <c r="CP155" s="1615"/>
      <c r="CQ155" s="1616"/>
      <c r="CR155" s="1615"/>
      <c r="CS155" s="1606"/>
      <c r="CT155" s="1606"/>
      <c r="CU155" s="1606"/>
      <c r="CV155" s="1606"/>
      <c r="CW155" s="1606"/>
      <c r="CX155" s="1606"/>
      <c r="CY155" s="1606"/>
      <c r="CZ155" s="1606"/>
      <c r="DA155" s="1606"/>
      <c r="DB155" s="1606"/>
      <c r="DC155" s="1606"/>
      <c r="DD155" s="1606"/>
      <c r="DE155" s="1606"/>
      <c r="DF155" s="1606"/>
      <c r="DG155" s="1615"/>
      <c r="DH155" s="1615"/>
      <c r="DI155" s="1616"/>
      <c r="DJ155" s="1615"/>
      <c r="DK155" s="1617"/>
      <c r="DL155" s="1617"/>
    </row>
    <row r="156" ht="26.25" customHeight="1">
      <c r="A156" s="1604"/>
      <c r="B156" s="1604"/>
      <c r="C156" s="1604"/>
      <c r="D156" s="1604"/>
      <c r="E156" s="1604"/>
      <c r="F156" s="1605"/>
      <c r="G156" s="1606"/>
      <c r="H156" s="1607"/>
      <c r="I156" s="1608"/>
      <c r="J156" s="1609"/>
      <c r="K156" s="1606"/>
      <c r="L156" s="1606"/>
      <c r="M156" s="1606"/>
      <c r="N156" s="1606"/>
      <c r="O156" s="1606"/>
      <c r="P156" s="1606"/>
      <c r="Q156" s="1606"/>
      <c r="R156" s="1606"/>
      <c r="S156" s="1606"/>
      <c r="T156" s="1606"/>
      <c r="U156" s="1606"/>
      <c r="V156" s="1606"/>
      <c r="W156" s="1607"/>
      <c r="X156" s="1608"/>
      <c r="Y156" s="1610"/>
      <c r="Z156" s="1606"/>
      <c r="AA156" s="1611"/>
      <c r="AB156" s="1606"/>
      <c r="AC156" s="1611"/>
      <c r="AD156" s="1606"/>
      <c r="AE156" s="1611"/>
      <c r="AF156" s="1606"/>
      <c r="AG156" s="1611"/>
      <c r="AH156" s="1606"/>
      <c r="AI156" s="1611"/>
      <c r="AJ156" s="1606"/>
      <c r="AK156" s="1611"/>
      <c r="AL156" s="1606"/>
      <c r="AM156" s="1612"/>
      <c r="AN156" s="1612"/>
      <c r="AO156" s="1613"/>
      <c r="AP156" s="1612"/>
      <c r="AQ156" s="1606"/>
      <c r="AR156" s="1606"/>
      <c r="AS156" s="1606"/>
      <c r="AT156" s="1606"/>
      <c r="AU156" s="1606"/>
      <c r="AV156" s="1606"/>
      <c r="AW156" s="1606"/>
      <c r="AX156" s="1606"/>
      <c r="AY156" s="1606"/>
      <c r="AZ156" s="1606"/>
      <c r="BA156" s="1606"/>
      <c r="BB156" s="1606"/>
      <c r="BC156" s="1606"/>
      <c r="BD156" s="1606"/>
      <c r="BE156" s="1612"/>
      <c r="BF156" s="1612"/>
      <c r="BG156" s="1613"/>
      <c r="BH156" s="1612"/>
      <c r="BI156" s="1612"/>
      <c r="BJ156" s="1612"/>
      <c r="BK156" s="1614"/>
      <c r="BL156" s="1614"/>
      <c r="BM156" s="1614"/>
      <c r="BN156" s="1614"/>
      <c r="BO156" s="1614"/>
      <c r="BP156" s="1614"/>
      <c r="BQ156" s="1614"/>
      <c r="BR156" s="1614"/>
      <c r="BS156" s="1614"/>
      <c r="BT156" s="1614"/>
      <c r="BU156" s="1614"/>
      <c r="BV156" s="1614"/>
      <c r="BW156" s="1612"/>
      <c r="BX156" s="1612"/>
      <c r="BY156" s="1613"/>
      <c r="BZ156" s="1612"/>
      <c r="CA156" s="1606"/>
      <c r="CB156" s="1606"/>
      <c r="CC156" s="1606"/>
      <c r="CD156" s="1606"/>
      <c r="CE156" s="1606"/>
      <c r="CF156" s="1606"/>
      <c r="CG156" s="1606"/>
      <c r="CH156" s="1606"/>
      <c r="CI156" s="1606"/>
      <c r="CJ156" s="1606"/>
      <c r="CK156" s="1606"/>
      <c r="CL156" s="1606"/>
      <c r="CM156" s="1606"/>
      <c r="CN156" s="1606"/>
      <c r="CO156" s="1615"/>
      <c r="CP156" s="1615"/>
      <c r="CQ156" s="1616"/>
      <c r="CR156" s="1615"/>
      <c r="CS156" s="1606"/>
      <c r="CT156" s="1606"/>
      <c r="CU156" s="1606"/>
      <c r="CV156" s="1606"/>
      <c r="CW156" s="1606"/>
      <c r="CX156" s="1606"/>
      <c r="CY156" s="1606"/>
      <c r="CZ156" s="1606"/>
      <c r="DA156" s="1606"/>
      <c r="DB156" s="1606"/>
      <c r="DC156" s="1606"/>
      <c r="DD156" s="1606"/>
      <c r="DE156" s="1606"/>
      <c r="DF156" s="1606"/>
      <c r="DG156" s="1615"/>
      <c r="DH156" s="1615"/>
      <c r="DI156" s="1616"/>
      <c r="DJ156" s="1615"/>
      <c r="DK156" s="1617"/>
      <c r="DL156" s="1617"/>
    </row>
    <row r="157" ht="26.25" customHeight="1">
      <c r="A157" s="1604"/>
      <c r="B157" s="1604"/>
      <c r="C157" s="1604"/>
      <c r="D157" s="1604"/>
      <c r="E157" s="1604"/>
      <c r="F157" s="1605"/>
      <c r="G157" s="1606"/>
      <c r="H157" s="1607"/>
      <c r="I157" s="1608"/>
      <c r="J157" s="1609"/>
      <c r="K157" s="1606"/>
      <c r="L157" s="1606"/>
      <c r="M157" s="1606"/>
      <c r="N157" s="1606"/>
      <c r="O157" s="1606"/>
      <c r="P157" s="1606"/>
      <c r="Q157" s="1606"/>
      <c r="R157" s="1606"/>
      <c r="S157" s="1606"/>
      <c r="T157" s="1606"/>
      <c r="U157" s="1606"/>
      <c r="V157" s="1606"/>
      <c r="W157" s="1607"/>
      <c r="X157" s="1608"/>
      <c r="Y157" s="1610"/>
      <c r="Z157" s="1606"/>
      <c r="AA157" s="1611"/>
      <c r="AB157" s="1606"/>
      <c r="AC157" s="1611"/>
      <c r="AD157" s="1606"/>
      <c r="AE157" s="1611"/>
      <c r="AF157" s="1606"/>
      <c r="AG157" s="1611"/>
      <c r="AH157" s="1606"/>
      <c r="AI157" s="1611"/>
      <c r="AJ157" s="1606"/>
      <c r="AK157" s="1611"/>
      <c r="AL157" s="1606"/>
      <c r="AM157" s="1612"/>
      <c r="AN157" s="1612"/>
      <c r="AO157" s="1613"/>
      <c r="AP157" s="1612"/>
      <c r="AQ157" s="1606"/>
      <c r="AR157" s="1606"/>
      <c r="AS157" s="1606"/>
      <c r="AT157" s="1606"/>
      <c r="AU157" s="1606"/>
      <c r="AV157" s="1606"/>
      <c r="AW157" s="1606"/>
      <c r="AX157" s="1606"/>
      <c r="AY157" s="1606"/>
      <c r="AZ157" s="1606"/>
      <c r="BA157" s="1606"/>
      <c r="BB157" s="1606"/>
      <c r="BC157" s="1606"/>
      <c r="BD157" s="1606"/>
      <c r="BE157" s="1612"/>
      <c r="BF157" s="1612"/>
      <c r="BG157" s="1613"/>
      <c r="BH157" s="1612"/>
      <c r="BI157" s="1612"/>
      <c r="BJ157" s="1612"/>
      <c r="BK157" s="1614"/>
      <c r="BL157" s="1614"/>
      <c r="BM157" s="1614"/>
      <c r="BN157" s="1614"/>
      <c r="BO157" s="1614"/>
      <c r="BP157" s="1614"/>
      <c r="BQ157" s="1614"/>
      <c r="BR157" s="1614"/>
      <c r="BS157" s="1614"/>
      <c r="BT157" s="1614"/>
      <c r="BU157" s="1614"/>
      <c r="BV157" s="1614"/>
      <c r="BW157" s="1612"/>
      <c r="BX157" s="1612"/>
      <c r="BY157" s="1613"/>
      <c r="BZ157" s="1612"/>
      <c r="CA157" s="1606"/>
      <c r="CB157" s="1606"/>
      <c r="CC157" s="1606"/>
      <c r="CD157" s="1606"/>
      <c r="CE157" s="1606"/>
      <c r="CF157" s="1606"/>
      <c r="CG157" s="1606"/>
      <c r="CH157" s="1606"/>
      <c r="CI157" s="1606"/>
      <c r="CJ157" s="1606"/>
      <c r="CK157" s="1606"/>
      <c r="CL157" s="1606"/>
      <c r="CM157" s="1606"/>
      <c r="CN157" s="1606"/>
      <c r="CO157" s="1615"/>
      <c r="CP157" s="1615"/>
      <c r="CQ157" s="1616"/>
      <c r="CR157" s="1615"/>
      <c r="CS157" s="1606"/>
      <c r="CT157" s="1606"/>
      <c r="CU157" s="1606"/>
      <c r="CV157" s="1606"/>
      <c r="CW157" s="1606"/>
      <c r="CX157" s="1606"/>
      <c r="CY157" s="1606"/>
      <c r="CZ157" s="1606"/>
      <c r="DA157" s="1606"/>
      <c r="DB157" s="1606"/>
      <c r="DC157" s="1606"/>
      <c r="DD157" s="1606"/>
      <c r="DE157" s="1606"/>
      <c r="DF157" s="1606"/>
      <c r="DG157" s="1615"/>
      <c r="DH157" s="1615"/>
      <c r="DI157" s="1616"/>
      <c r="DJ157" s="1615"/>
      <c r="DK157" s="1617"/>
      <c r="DL157" s="1617"/>
    </row>
    <row r="158" ht="26.25" customHeight="1">
      <c r="A158" s="1604"/>
      <c r="B158" s="1604"/>
      <c r="C158" s="1604"/>
      <c r="D158" s="1604"/>
      <c r="E158" s="1604"/>
      <c r="F158" s="1605"/>
      <c r="G158" s="1606"/>
      <c r="H158" s="1607"/>
      <c r="I158" s="1608"/>
      <c r="J158" s="1609"/>
      <c r="K158" s="1606"/>
      <c r="L158" s="1606"/>
      <c r="M158" s="1606"/>
      <c r="N158" s="1606"/>
      <c r="O158" s="1606"/>
      <c r="P158" s="1606"/>
      <c r="Q158" s="1606"/>
      <c r="R158" s="1606"/>
      <c r="S158" s="1606"/>
      <c r="T158" s="1606"/>
      <c r="U158" s="1606"/>
      <c r="V158" s="1606"/>
      <c r="W158" s="1607"/>
      <c r="X158" s="1608"/>
      <c r="Y158" s="1610"/>
      <c r="Z158" s="1606"/>
      <c r="AA158" s="1611"/>
      <c r="AB158" s="1606"/>
      <c r="AC158" s="1611"/>
      <c r="AD158" s="1606"/>
      <c r="AE158" s="1611"/>
      <c r="AF158" s="1606"/>
      <c r="AG158" s="1611"/>
      <c r="AH158" s="1606"/>
      <c r="AI158" s="1611"/>
      <c r="AJ158" s="1606"/>
      <c r="AK158" s="1611"/>
      <c r="AL158" s="1606"/>
      <c r="AM158" s="1612"/>
      <c r="AN158" s="1612"/>
      <c r="AO158" s="1613"/>
      <c r="AP158" s="1612"/>
      <c r="AQ158" s="1606"/>
      <c r="AR158" s="1606"/>
      <c r="AS158" s="1606"/>
      <c r="AT158" s="1606"/>
      <c r="AU158" s="1606"/>
      <c r="AV158" s="1606"/>
      <c r="AW158" s="1606"/>
      <c r="AX158" s="1606"/>
      <c r="AY158" s="1606"/>
      <c r="AZ158" s="1606"/>
      <c r="BA158" s="1606"/>
      <c r="BB158" s="1606"/>
      <c r="BC158" s="1606"/>
      <c r="BD158" s="1606"/>
      <c r="BE158" s="1612"/>
      <c r="BF158" s="1612"/>
      <c r="BG158" s="1613"/>
      <c r="BH158" s="1612"/>
      <c r="BI158" s="1612"/>
      <c r="BJ158" s="1612"/>
      <c r="BK158" s="1614"/>
      <c r="BL158" s="1614"/>
      <c r="BM158" s="1614"/>
      <c r="BN158" s="1614"/>
      <c r="BO158" s="1614"/>
      <c r="BP158" s="1614"/>
      <c r="BQ158" s="1614"/>
      <c r="BR158" s="1614"/>
      <c r="BS158" s="1614"/>
      <c r="BT158" s="1614"/>
      <c r="BU158" s="1614"/>
      <c r="BV158" s="1614"/>
      <c r="BW158" s="1612"/>
      <c r="BX158" s="1612"/>
      <c r="BY158" s="1613"/>
      <c r="BZ158" s="1612"/>
      <c r="CA158" s="1606"/>
      <c r="CB158" s="1606"/>
      <c r="CC158" s="1606"/>
      <c r="CD158" s="1606"/>
      <c r="CE158" s="1606"/>
      <c r="CF158" s="1606"/>
      <c r="CG158" s="1606"/>
      <c r="CH158" s="1606"/>
      <c r="CI158" s="1606"/>
      <c r="CJ158" s="1606"/>
      <c r="CK158" s="1606"/>
      <c r="CL158" s="1606"/>
      <c r="CM158" s="1606"/>
      <c r="CN158" s="1606"/>
      <c r="CO158" s="1615"/>
      <c r="CP158" s="1615"/>
      <c r="CQ158" s="1616"/>
      <c r="CR158" s="1615"/>
      <c r="CS158" s="1606"/>
      <c r="CT158" s="1606"/>
      <c r="CU158" s="1606"/>
      <c r="CV158" s="1606"/>
      <c r="CW158" s="1606"/>
      <c r="CX158" s="1606"/>
      <c r="CY158" s="1606"/>
      <c r="CZ158" s="1606"/>
      <c r="DA158" s="1606"/>
      <c r="DB158" s="1606"/>
      <c r="DC158" s="1606"/>
      <c r="DD158" s="1606"/>
      <c r="DE158" s="1606"/>
      <c r="DF158" s="1606"/>
      <c r="DG158" s="1615"/>
      <c r="DH158" s="1615"/>
      <c r="DI158" s="1616"/>
      <c r="DJ158" s="1615"/>
      <c r="DK158" s="1617"/>
      <c r="DL158" s="1617"/>
    </row>
    <row r="159" ht="26.25" customHeight="1">
      <c r="A159" s="1604"/>
      <c r="B159" s="1604"/>
      <c r="C159" s="1604"/>
      <c r="D159" s="1604"/>
      <c r="E159" s="1604"/>
      <c r="F159" s="1605"/>
      <c r="G159" s="1606"/>
      <c r="H159" s="1607"/>
      <c r="I159" s="1608"/>
      <c r="J159" s="1609"/>
      <c r="K159" s="1606"/>
      <c r="L159" s="1606"/>
      <c r="M159" s="1606"/>
      <c r="N159" s="1606"/>
      <c r="O159" s="1606"/>
      <c r="P159" s="1606"/>
      <c r="Q159" s="1606"/>
      <c r="R159" s="1606"/>
      <c r="S159" s="1606"/>
      <c r="T159" s="1606"/>
      <c r="U159" s="1606"/>
      <c r="V159" s="1606"/>
      <c r="W159" s="1607"/>
      <c r="X159" s="1608"/>
      <c r="Y159" s="1610"/>
      <c r="Z159" s="1606"/>
      <c r="AA159" s="1611"/>
      <c r="AB159" s="1606"/>
      <c r="AC159" s="1611"/>
      <c r="AD159" s="1606"/>
      <c r="AE159" s="1611"/>
      <c r="AF159" s="1606"/>
      <c r="AG159" s="1611"/>
      <c r="AH159" s="1606"/>
      <c r="AI159" s="1611"/>
      <c r="AJ159" s="1606"/>
      <c r="AK159" s="1611"/>
      <c r="AL159" s="1606"/>
      <c r="AM159" s="1612"/>
      <c r="AN159" s="1612"/>
      <c r="AO159" s="1613"/>
      <c r="AP159" s="1612"/>
      <c r="AQ159" s="1606"/>
      <c r="AR159" s="1606"/>
      <c r="AS159" s="1606"/>
      <c r="AT159" s="1606"/>
      <c r="AU159" s="1606"/>
      <c r="AV159" s="1606"/>
      <c r="AW159" s="1606"/>
      <c r="AX159" s="1606"/>
      <c r="AY159" s="1606"/>
      <c r="AZ159" s="1606"/>
      <c r="BA159" s="1606"/>
      <c r="BB159" s="1606"/>
      <c r="BC159" s="1606"/>
      <c r="BD159" s="1606"/>
      <c r="BE159" s="1612"/>
      <c r="BF159" s="1612"/>
      <c r="BG159" s="1613"/>
      <c r="BH159" s="1612"/>
      <c r="BI159" s="1612"/>
      <c r="BJ159" s="1612"/>
      <c r="BK159" s="1614"/>
      <c r="BL159" s="1614"/>
      <c r="BM159" s="1614"/>
      <c r="BN159" s="1614"/>
      <c r="BO159" s="1614"/>
      <c r="BP159" s="1614"/>
      <c r="BQ159" s="1614"/>
      <c r="BR159" s="1614"/>
      <c r="BS159" s="1614"/>
      <c r="BT159" s="1614"/>
      <c r="BU159" s="1614"/>
      <c r="BV159" s="1614"/>
      <c r="BW159" s="1612"/>
      <c r="BX159" s="1612"/>
      <c r="BY159" s="1613"/>
      <c r="BZ159" s="1612"/>
      <c r="CA159" s="1606"/>
      <c r="CB159" s="1606"/>
      <c r="CC159" s="1606"/>
      <c r="CD159" s="1606"/>
      <c r="CE159" s="1606"/>
      <c r="CF159" s="1606"/>
      <c r="CG159" s="1606"/>
      <c r="CH159" s="1606"/>
      <c r="CI159" s="1606"/>
      <c r="CJ159" s="1606"/>
      <c r="CK159" s="1606"/>
      <c r="CL159" s="1606"/>
      <c r="CM159" s="1606"/>
      <c r="CN159" s="1606"/>
      <c r="CO159" s="1615"/>
      <c r="CP159" s="1615"/>
      <c r="CQ159" s="1616"/>
      <c r="CR159" s="1615"/>
      <c r="CS159" s="1606"/>
      <c r="CT159" s="1606"/>
      <c r="CU159" s="1606"/>
      <c r="CV159" s="1606"/>
      <c r="CW159" s="1606"/>
      <c r="CX159" s="1606"/>
      <c r="CY159" s="1606"/>
      <c r="CZ159" s="1606"/>
      <c r="DA159" s="1606"/>
      <c r="DB159" s="1606"/>
      <c r="DC159" s="1606"/>
      <c r="DD159" s="1606"/>
      <c r="DE159" s="1606"/>
      <c r="DF159" s="1606"/>
      <c r="DG159" s="1615"/>
      <c r="DH159" s="1615"/>
      <c r="DI159" s="1616"/>
      <c r="DJ159" s="1615"/>
      <c r="DK159" s="1617"/>
      <c r="DL159" s="1617"/>
    </row>
    <row r="160" ht="26.25" customHeight="1">
      <c r="A160" s="1604"/>
      <c r="B160" s="1604"/>
      <c r="C160" s="1604"/>
      <c r="D160" s="1604"/>
      <c r="E160" s="1604"/>
      <c r="F160" s="1605"/>
      <c r="G160" s="1606"/>
      <c r="H160" s="1607"/>
      <c r="I160" s="1608"/>
      <c r="J160" s="1609"/>
      <c r="K160" s="1606"/>
      <c r="L160" s="1606"/>
      <c r="M160" s="1606"/>
      <c r="N160" s="1606"/>
      <c r="O160" s="1606"/>
      <c r="P160" s="1606"/>
      <c r="Q160" s="1606"/>
      <c r="R160" s="1606"/>
      <c r="S160" s="1606"/>
      <c r="T160" s="1606"/>
      <c r="U160" s="1606"/>
      <c r="V160" s="1606"/>
      <c r="W160" s="1607"/>
      <c r="X160" s="1608"/>
      <c r="Y160" s="1610"/>
      <c r="Z160" s="1606"/>
      <c r="AA160" s="1611"/>
      <c r="AB160" s="1606"/>
      <c r="AC160" s="1611"/>
      <c r="AD160" s="1606"/>
      <c r="AE160" s="1611"/>
      <c r="AF160" s="1606"/>
      <c r="AG160" s="1611"/>
      <c r="AH160" s="1606"/>
      <c r="AI160" s="1611"/>
      <c r="AJ160" s="1606"/>
      <c r="AK160" s="1611"/>
      <c r="AL160" s="1606"/>
      <c r="AM160" s="1612"/>
      <c r="AN160" s="1612"/>
      <c r="AO160" s="1613"/>
      <c r="AP160" s="1612"/>
      <c r="AQ160" s="1606"/>
      <c r="AR160" s="1606"/>
      <c r="AS160" s="1606"/>
      <c r="AT160" s="1606"/>
      <c r="AU160" s="1606"/>
      <c r="AV160" s="1606"/>
      <c r="AW160" s="1606"/>
      <c r="AX160" s="1606"/>
      <c r="AY160" s="1606"/>
      <c r="AZ160" s="1606"/>
      <c r="BA160" s="1606"/>
      <c r="BB160" s="1606"/>
      <c r="BC160" s="1606"/>
      <c r="BD160" s="1606"/>
      <c r="BE160" s="1612"/>
      <c r="BF160" s="1612"/>
      <c r="BG160" s="1613"/>
      <c r="BH160" s="1612"/>
      <c r="BI160" s="1612"/>
      <c r="BJ160" s="1612"/>
      <c r="BK160" s="1614"/>
      <c r="BL160" s="1614"/>
      <c r="BM160" s="1614"/>
      <c r="BN160" s="1614"/>
      <c r="BO160" s="1614"/>
      <c r="BP160" s="1614"/>
      <c r="BQ160" s="1614"/>
      <c r="BR160" s="1614"/>
      <c r="BS160" s="1614"/>
      <c r="BT160" s="1614"/>
      <c r="BU160" s="1614"/>
      <c r="BV160" s="1614"/>
      <c r="BW160" s="1612"/>
      <c r="BX160" s="1612"/>
      <c r="BY160" s="1613"/>
      <c r="BZ160" s="1612"/>
      <c r="CA160" s="1606"/>
      <c r="CB160" s="1606"/>
      <c r="CC160" s="1606"/>
      <c r="CD160" s="1606"/>
      <c r="CE160" s="1606"/>
      <c r="CF160" s="1606"/>
      <c r="CG160" s="1606"/>
      <c r="CH160" s="1606"/>
      <c r="CI160" s="1606"/>
      <c r="CJ160" s="1606"/>
      <c r="CK160" s="1606"/>
      <c r="CL160" s="1606"/>
      <c r="CM160" s="1606"/>
      <c r="CN160" s="1606"/>
      <c r="CO160" s="1615"/>
      <c r="CP160" s="1615"/>
      <c r="CQ160" s="1616"/>
      <c r="CR160" s="1615"/>
      <c r="CS160" s="1606"/>
      <c r="CT160" s="1606"/>
      <c r="CU160" s="1606"/>
      <c r="CV160" s="1606"/>
      <c r="CW160" s="1606"/>
      <c r="CX160" s="1606"/>
      <c r="CY160" s="1606"/>
      <c r="CZ160" s="1606"/>
      <c r="DA160" s="1606"/>
      <c r="DB160" s="1606"/>
      <c r="DC160" s="1606"/>
      <c r="DD160" s="1606"/>
      <c r="DE160" s="1606"/>
      <c r="DF160" s="1606"/>
      <c r="DG160" s="1615"/>
      <c r="DH160" s="1615"/>
      <c r="DI160" s="1616"/>
      <c r="DJ160" s="1615"/>
      <c r="DK160" s="1617"/>
      <c r="DL160" s="1617"/>
    </row>
    <row r="161" ht="26.25" customHeight="1">
      <c r="A161" s="1604"/>
      <c r="B161" s="1604"/>
      <c r="C161" s="1604"/>
      <c r="D161" s="1604"/>
      <c r="E161" s="1604"/>
      <c r="F161" s="1605"/>
      <c r="G161" s="1606"/>
      <c r="H161" s="1607"/>
      <c r="I161" s="1608"/>
      <c r="J161" s="1609"/>
      <c r="K161" s="1606"/>
      <c r="L161" s="1606"/>
      <c r="M161" s="1606"/>
      <c r="N161" s="1606"/>
      <c r="O161" s="1606"/>
      <c r="P161" s="1606"/>
      <c r="Q161" s="1606"/>
      <c r="R161" s="1606"/>
      <c r="S161" s="1606"/>
      <c r="T161" s="1606"/>
      <c r="U161" s="1606"/>
      <c r="V161" s="1606"/>
      <c r="W161" s="1607"/>
      <c r="X161" s="1608"/>
      <c r="Y161" s="1610"/>
      <c r="Z161" s="1606"/>
      <c r="AA161" s="1611"/>
      <c r="AB161" s="1606"/>
      <c r="AC161" s="1611"/>
      <c r="AD161" s="1606"/>
      <c r="AE161" s="1611"/>
      <c r="AF161" s="1606"/>
      <c r="AG161" s="1611"/>
      <c r="AH161" s="1606"/>
      <c r="AI161" s="1611"/>
      <c r="AJ161" s="1606"/>
      <c r="AK161" s="1611"/>
      <c r="AL161" s="1606"/>
      <c r="AM161" s="1612"/>
      <c r="AN161" s="1612"/>
      <c r="AO161" s="1613"/>
      <c r="AP161" s="1612"/>
      <c r="AQ161" s="1606"/>
      <c r="AR161" s="1606"/>
      <c r="AS161" s="1606"/>
      <c r="AT161" s="1606"/>
      <c r="AU161" s="1606"/>
      <c r="AV161" s="1606"/>
      <c r="AW161" s="1606"/>
      <c r="AX161" s="1606"/>
      <c r="AY161" s="1606"/>
      <c r="AZ161" s="1606"/>
      <c r="BA161" s="1606"/>
      <c r="BB161" s="1606"/>
      <c r="BC161" s="1606"/>
      <c r="BD161" s="1606"/>
      <c r="BE161" s="1612"/>
      <c r="BF161" s="1612"/>
      <c r="BG161" s="1613"/>
      <c r="BH161" s="1612"/>
      <c r="BI161" s="1612"/>
      <c r="BJ161" s="1612"/>
      <c r="BK161" s="1614"/>
      <c r="BL161" s="1614"/>
      <c r="BM161" s="1614"/>
      <c r="BN161" s="1614"/>
      <c r="BO161" s="1614"/>
      <c r="BP161" s="1614"/>
      <c r="BQ161" s="1614"/>
      <c r="BR161" s="1614"/>
      <c r="BS161" s="1614"/>
      <c r="BT161" s="1614"/>
      <c r="BU161" s="1614"/>
      <c r="BV161" s="1614"/>
      <c r="BW161" s="1612"/>
      <c r="BX161" s="1612"/>
      <c r="BY161" s="1613"/>
      <c r="BZ161" s="1612"/>
      <c r="CA161" s="1606"/>
      <c r="CB161" s="1606"/>
      <c r="CC161" s="1606"/>
      <c r="CD161" s="1606"/>
      <c r="CE161" s="1606"/>
      <c r="CF161" s="1606"/>
      <c r="CG161" s="1606"/>
      <c r="CH161" s="1606"/>
      <c r="CI161" s="1606"/>
      <c r="CJ161" s="1606"/>
      <c r="CK161" s="1606"/>
      <c r="CL161" s="1606"/>
      <c r="CM161" s="1606"/>
      <c r="CN161" s="1606"/>
      <c r="CO161" s="1615"/>
      <c r="CP161" s="1615"/>
      <c r="CQ161" s="1616"/>
      <c r="CR161" s="1615"/>
      <c r="CS161" s="1606"/>
      <c r="CT161" s="1606"/>
      <c r="CU161" s="1606"/>
      <c r="CV161" s="1606"/>
      <c r="CW161" s="1606"/>
      <c r="CX161" s="1606"/>
      <c r="CY161" s="1606"/>
      <c r="CZ161" s="1606"/>
      <c r="DA161" s="1606"/>
      <c r="DB161" s="1606"/>
      <c r="DC161" s="1606"/>
      <c r="DD161" s="1606"/>
      <c r="DE161" s="1606"/>
      <c r="DF161" s="1606"/>
      <c r="DG161" s="1615"/>
      <c r="DH161" s="1615"/>
      <c r="DI161" s="1616"/>
      <c r="DJ161" s="1615"/>
      <c r="DK161" s="1617"/>
      <c r="DL161" s="1617"/>
    </row>
    <row r="162" ht="26.25" customHeight="1">
      <c r="A162" s="1604"/>
      <c r="B162" s="1604"/>
      <c r="C162" s="1604"/>
      <c r="D162" s="1604"/>
      <c r="E162" s="1604"/>
      <c r="F162" s="1605"/>
      <c r="G162" s="1606"/>
      <c r="H162" s="1607"/>
      <c r="I162" s="1608"/>
      <c r="J162" s="1609"/>
      <c r="K162" s="1606"/>
      <c r="L162" s="1606"/>
      <c r="M162" s="1606"/>
      <c r="N162" s="1606"/>
      <c r="O162" s="1606"/>
      <c r="P162" s="1606"/>
      <c r="Q162" s="1606"/>
      <c r="R162" s="1606"/>
      <c r="S162" s="1606"/>
      <c r="T162" s="1606"/>
      <c r="U162" s="1606"/>
      <c r="V162" s="1606"/>
      <c r="W162" s="1607"/>
      <c r="X162" s="1608"/>
      <c r="Y162" s="1610"/>
      <c r="Z162" s="1606"/>
      <c r="AA162" s="1611"/>
      <c r="AB162" s="1606"/>
      <c r="AC162" s="1611"/>
      <c r="AD162" s="1606"/>
      <c r="AE162" s="1611"/>
      <c r="AF162" s="1606"/>
      <c r="AG162" s="1611"/>
      <c r="AH162" s="1606"/>
      <c r="AI162" s="1611"/>
      <c r="AJ162" s="1606"/>
      <c r="AK162" s="1611"/>
      <c r="AL162" s="1606"/>
      <c r="AM162" s="1612"/>
      <c r="AN162" s="1612"/>
      <c r="AO162" s="1613"/>
      <c r="AP162" s="1612"/>
      <c r="AQ162" s="1606"/>
      <c r="AR162" s="1606"/>
      <c r="AS162" s="1606"/>
      <c r="AT162" s="1606"/>
      <c r="AU162" s="1606"/>
      <c r="AV162" s="1606"/>
      <c r="AW162" s="1606"/>
      <c r="AX162" s="1606"/>
      <c r="AY162" s="1606"/>
      <c r="AZ162" s="1606"/>
      <c r="BA162" s="1606"/>
      <c r="BB162" s="1606"/>
      <c r="BC162" s="1606"/>
      <c r="BD162" s="1606"/>
      <c r="BE162" s="1612"/>
      <c r="BF162" s="1612"/>
      <c r="BG162" s="1613"/>
      <c r="BH162" s="1612"/>
      <c r="BI162" s="1612"/>
      <c r="BJ162" s="1612"/>
      <c r="BK162" s="1614"/>
      <c r="BL162" s="1614"/>
      <c r="BM162" s="1614"/>
      <c r="BN162" s="1614"/>
      <c r="BO162" s="1614"/>
      <c r="BP162" s="1614"/>
      <c r="BQ162" s="1614"/>
      <c r="BR162" s="1614"/>
      <c r="BS162" s="1614"/>
      <c r="BT162" s="1614"/>
      <c r="BU162" s="1614"/>
      <c r="BV162" s="1614"/>
      <c r="BW162" s="1612"/>
      <c r="BX162" s="1612"/>
      <c r="BY162" s="1613"/>
      <c r="BZ162" s="1612"/>
      <c r="CA162" s="1606"/>
      <c r="CB162" s="1606"/>
      <c r="CC162" s="1606"/>
      <c r="CD162" s="1606"/>
      <c r="CE162" s="1606"/>
      <c r="CF162" s="1606"/>
      <c r="CG162" s="1606"/>
      <c r="CH162" s="1606"/>
      <c r="CI162" s="1606"/>
      <c r="CJ162" s="1606"/>
      <c r="CK162" s="1606"/>
      <c r="CL162" s="1606"/>
      <c r="CM162" s="1606"/>
      <c r="CN162" s="1606"/>
      <c r="CO162" s="1615"/>
      <c r="CP162" s="1615"/>
      <c r="CQ162" s="1616"/>
      <c r="CR162" s="1615"/>
      <c r="CS162" s="1606"/>
      <c r="CT162" s="1606"/>
      <c r="CU162" s="1606"/>
      <c r="CV162" s="1606"/>
      <c r="CW162" s="1606"/>
      <c r="CX162" s="1606"/>
      <c r="CY162" s="1606"/>
      <c r="CZ162" s="1606"/>
      <c r="DA162" s="1606"/>
      <c r="DB162" s="1606"/>
      <c r="DC162" s="1606"/>
      <c r="DD162" s="1606"/>
      <c r="DE162" s="1606"/>
      <c r="DF162" s="1606"/>
      <c r="DG162" s="1615"/>
      <c r="DH162" s="1615"/>
      <c r="DI162" s="1616"/>
      <c r="DJ162" s="1615"/>
      <c r="DK162" s="1617"/>
      <c r="DL162" s="1617"/>
    </row>
    <row r="163" ht="26.25" customHeight="1">
      <c r="A163" s="1604"/>
      <c r="B163" s="1604"/>
      <c r="C163" s="1604"/>
      <c r="D163" s="1604"/>
      <c r="E163" s="1604"/>
      <c r="F163" s="1605"/>
      <c r="G163" s="1606"/>
      <c r="H163" s="1607"/>
      <c r="I163" s="1608"/>
      <c r="J163" s="1609"/>
      <c r="K163" s="1606"/>
      <c r="L163" s="1606"/>
      <c r="M163" s="1606"/>
      <c r="N163" s="1606"/>
      <c r="O163" s="1606"/>
      <c r="P163" s="1606"/>
      <c r="Q163" s="1606"/>
      <c r="R163" s="1606"/>
      <c r="S163" s="1606"/>
      <c r="T163" s="1606"/>
      <c r="U163" s="1606"/>
      <c r="V163" s="1606"/>
      <c r="W163" s="1607"/>
      <c r="X163" s="1608"/>
      <c r="Y163" s="1610"/>
      <c r="Z163" s="1606"/>
      <c r="AA163" s="1611"/>
      <c r="AB163" s="1606"/>
      <c r="AC163" s="1611"/>
      <c r="AD163" s="1606"/>
      <c r="AE163" s="1611"/>
      <c r="AF163" s="1606"/>
      <c r="AG163" s="1611"/>
      <c r="AH163" s="1606"/>
      <c r="AI163" s="1611"/>
      <c r="AJ163" s="1606"/>
      <c r="AK163" s="1611"/>
      <c r="AL163" s="1606"/>
      <c r="AM163" s="1612"/>
      <c r="AN163" s="1612"/>
      <c r="AO163" s="1613"/>
      <c r="AP163" s="1612"/>
      <c r="AQ163" s="1606"/>
      <c r="AR163" s="1606"/>
      <c r="AS163" s="1606"/>
      <c r="AT163" s="1606"/>
      <c r="AU163" s="1606"/>
      <c r="AV163" s="1606"/>
      <c r="AW163" s="1606"/>
      <c r="AX163" s="1606"/>
      <c r="AY163" s="1606"/>
      <c r="AZ163" s="1606"/>
      <c r="BA163" s="1606"/>
      <c r="BB163" s="1606"/>
      <c r="BC163" s="1606"/>
      <c r="BD163" s="1606"/>
      <c r="BE163" s="1612"/>
      <c r="BF163" s="1612"/>
      <c r="BG163" s="1613"/>
      <c r="BH163" s="1612"/>
      <c r="BI163" s="1612"/>
      <c r="BJ163" s="1612"/>
      <c r="BK163" s="1614"/>
      <c r="BL163" s="1614"/>
      <c r="BM163" s="1614"/>
      <c r="BN163" s="1614"/>
      <c r="BO163" s="1614"/>
      <c r="BP163" s="1614"/>
      <c r="BQ163" s="1614"/>
      <c r="BR163" s="1614"/>
      <c r="BS163" s="1614"/>
      <c r="BT163" s="1614"/>
      <c r="BU163" s="1614"/>
      <c r="BV163" s="1614"/>
      <c r="BW163" s="1612"/>
      <c r="BX163" s="1612"/>
      <c r="BY163" s="1613"/>
      <c r="BZ163" s="1612"/>
      <c r="CA163" s="1606"/>
      <c r="CB163" s="1606"/>
      <c r="CC163" s="1606"/>
      <c r="CD163" s="1606"/>
      <c r="CE163" s="1606"/>
      <c r="CF163" s="1606"/>
      <c r="CG163" s="1606"/>
      <c r="CH163" s="1606"/>
      <c r="CI163" s="1606"/>
      <c r="CJ163" s="1606"/>
      <c r="CK163" s="1606"/>
      <c r="CL163" s="1606"/>
      <c r="CM163" s="1606"/>
      <c r="CN163" s="1606"/>
      <c r="CO163" s="1615"/>
      <c r="CP163" s="1615"/>
      <c r="CQ163" s="1616"/>
      <c r="CR163" s="1615"/>
      <c r="CS163" s="1606"/>
      <c r="CT163" s="1606"/>
      <c r="CU163" s="1606"/>
      <c r="CV163" s="1606"/>
      <c r="CW163" s="1606"/>
      <c r="CX163" s="1606"/>
      <c r="CY163" s="1606"/>
      <c r="CZ163" s="1606"/>
      <c r="DA163" s="1606"/>
      <c r="DB163" s="1606"/>
      <c r="DC163" s="1606"/>
      <c r="DD163" s="1606"/>
      <c r="DE163" s="1606"/>
      <c r="DF163" s="1606"/>
      <c r="DG163" s="1615"/>
      <c r="DH163" s="1615"/>
      <c r="DI163" s="1616"/>
      <c r="DJ163" s="1615"/>
      <c r="DK163" s="1617"/>
      <c r="DL163" s="1617"/>
    </row>
    <row r="164" ht="26.25" customHeight="1">
      <c r="A164" s="1604"/>
      <c r="B164" s="1604"/>
      <c r="C164" s="1604"/>
      <c r="D164" s="1604"/>
      <c r="E164" s="1604"/>
      <c r="F164" s="1605"/>
      <c r="G164" s="1606"/>
      <c r="H164" s="1607"/>
      <c r="I164" s="1608"/>
      <c r="J164" s="1609"/>
      <c r="K164" s="1606"/>
      <c r="L164" s="1606"/>
      <c r="M164" s="1606"/>
      <c r="N164" s="1606"/>
      <c r="O164" s="1606"/>
      <c r="P164" s="1606"/>
      <c r="Q164" s="1606"/>
      <c r="R164" s="1606"/>
      <c r="S164" s="1606"/>
      <c r="T164" s="1606"/>
      <c r="U164" s="1606"/>
      <c r="V164" s="1606"/>
      <c r="W164" s="1607"/>
      <c r="X164" s="1608"/>
      <c r="Y164" s="1610"/>
      <c r="Z164" s="1606"/>
      <c r="AA164" s="1611"/>
      <c r="AB164" s="1606"/>
      <c r="AC164" s="1611"/>
      <c r="AD164" s="1606"/>
      <c r="AE164" s="1611"/>
      <c r="AF164" s="1606"/>
      <c r="AG164" s="1611"/>
      <c r="AH164" s="1606"/>
      <c r="AI164" s="1611"/>
      <c r="AJ164" s="1606"/>
      <c r="AK164" s="1611"/>
      <c r="AL164" s="1606"/>
      <c r="AM164" s="1612"/>
      <c r="AN164" s="1612"/>
      <c r="AO164" s="1613"/>
      <c r="AP164" s="1612"/>
      <c r="AQ164" s="1606"/>
      <c r="AR164" s="1606"/>
      <c r="AS164" s="1606"/>
      <c r="AT164" s="1606"/>
      <c r="AU164" s="1606"/>
      <c r="AV164" s="1606"/>
      <c r="AW164" s="1606"/>
      <c r="AX164" s="1606"/>
      <c r="AY164" s="1606"/>
      <c r="AZ164" s="1606"/>
      <c r="BA164" s="1606"/>
      <c r="BB164" s="1606"/>
      <c r="BC164" s="1606"/>
      <c r="BD164" s="1606"/>
      <c r="BE164" s="1612"/>
      <c r="BF164" s="1612"/>
      <c r="BG164" s="1613"/>
      <c r="BH164" s="1612"/>
      <c r="BI164" s="1612"/>
      <c r="BJ164" s="1612"/>
      <c r="BK164" s="1614"/>
      <c r="BL164" s="1614"/>
      <c r="BM164" s="1614"/>
      <c r="BN164" s="1614"/>
      <c r="BO164" s="1614"/>
      <c r="BP164" s="1614"/>
      <c r="BQ164" s="1614"/>
      <c r="BR164" s="1614"/>
      <c r="BS164" s="1614"/>
      <c r="BT164" s="1614"/>
      <c r="BU164" s="1614"/>
      <c r="BV164" s="1614"/>
      <c r="BW164" s="1612"/>
      <c r="BX164" s="1612"/>
      <c r="BY164" s="1613"/>
      <c r="BZ164" s="1612"/>
      <c r="CA164" s="1606"/>
      <c r="CB164" s="1606"/>
      <c r="CC164" s="1606"/>
      <c r="CD164" s="1606"/>
      <c r="CE164" s="1606"/>
      <c r="CF164" s="1606"/>
      <c r="CG164" s="1606"/>
      <c r="CH164" s="1606"/>
      <c r="CI164" s="1606"/>
      <c r="CJ164" s="1606"/>
      <c r="CK164" s="1606"/>
      <c r="CL164" s="1606"/>
      <c r="CM164" s="1606"/>
      <c r="CN164" s="1606"/>
      <c r="CO164" s="1615"/>
      <c r="CP164" s="1615"/>
      <c r="CQ164" s="1616"/>
      <c r="CR164" s="1615"/>
      <c r="CS164" s="1606"/>
      <c r="CT164" s="1606"/>
      <c r="CU164" s="1606"/>
      <c r="CV164" s="1606"/>
      <c r="CW164" s="1606"/>
      <c r="CX164" s="1606"/>
      <c r="CY164" s="1606"/>
      <c r="CZ164" s="1606"/>
      <c r="DA164" s="1606"/>
      <c r="DB164" s="1606"/>
      <c r="DC164" s="1606"/>
      <c r="DD164" s="1606"/>
      <c r="DE164" s="1606"/>
      <c r="DF164" s="1606"/>
      <c r="DG164" s="1615"/>
      <c r="DH164" s="1615"/>
      <c r="DI164" s="1616"/>
      <c r="DJ164" s="1615"/>
      <c r="DK164" s="1617"/>
      <c r="DL164" s="1617"/>
    </row>
    <row r="165" ht="26.25" customHeight="1">
      <c r="A165" s="1604"/>
      <c r="B165" s="1604"/>
      <c r="C165" s="1604"/>
      <c r="D165" s="1604"/>
      <c r="E165" s="1604"/>
      <c r="F165" s="1605"/>
      <c r="G165" s="1606"/>
      <c r="H165" s="1607"/>
      <c r="I165" s="1608"/>
      <c r="J165" s="1609"/>
      <c r="K165" s="1606"/>
      <c r="L165" s="1606"/>
      <c r="M165" s="1606"/>
      <c r="N165" s="1606"/>
      <c r="O165" s="1606"/>
      <c r="P165" s="1606"/>
      <c r="Q165" s="1606"/>
      <c r="R165" s="1606"/>
      <c r="S165" s="1606"/>
      <c r="T165" s="1606"/>
      <c r="U165" s="1606"/>
      <c r="V165" s="1606"/>
      <c r="W165" s="1607"/>
      <c r="X165" s="1608"/>
      <c r="Y165" s="1610"/>
      <c r="Z165" s="1606"/>
      <c r="AA165" s="1611"/>
      <c r="AB165" s="1606"/>
      <c r="AC165" s="1611"/>
      <c r="AD165" s="1606"/>
      <c r="AE165" s="1611"/>
      <c r="AF165" s="1606"/>
      <c r="AG165" s="1611"/>
      <c r="AH165" s="1606"/>
      <c r="AI165" s="1611"/>
      <c r="AJ165" s="1606"/>
      <c r="AK165" s="1611"/>
      <c r="AL165" s="1606"/>
      <c r="AM165" s="1612"/>
      <c r="AN165" s="1612"/>
      <c r="AO165" s="1613"/>
      <c r="AP165" s="1612"/>
      <c r="AQ165" s="1606"/>
      <c r="AR165" s="1606"/>
      <c r="AS165" s="1606"/>
      <c r="AT165" s="1606"/>
      <c r="AU165" s="1606"/>
      <c r="AV165" s="1606"/>
      <c r="AW165" s="1606"/>
      <c r="AX165" s="1606"/>
      <c r="AY165" s="1606"/>
      <c r="AZ165" s="1606"/>
      <c r="BA165" s="1606"/>
      <c r="BB165" s="1606"/>
      <c r="BC165" s="1606"/>
      <c r="BD165" s="1606"/>
      <c r="BE165" s="1612"/>
      <c r="BF165" s="1612"/>
      <c r="BG165" s="1613"/>
      <c r="BH165" s="1612"/>
      <c r="BI165" s="1612"/>
      <c r="BJ165" s="1612"/>
      <c r="BK165" s="1614"/>
      <c r="BL165" s="1614"/>
      <c r="BM165" s="1614"/>
      <c r="BN165" s="1614"/>
      <c r="BO165" s="1614"/>
      <c r="BP165" s="1614"/>
      <c r="BQ165" s="1614"/>
      <c r="BR165" s="1614"/>
      <c r="BS165" s="1614"/>
      <c r="BT165" s="1614"/>
      <c r="BU165" s="1614"/>
      <c r="BV165" s="1614"/>
      <c r="BW165" s="1612"/>
      <c r="BX165" s="1612"/>
      <c r="BY165" s="1613"/>
      <c r="BZ165" s="1612"/>
      <c r="CA165" s="1606"/>
      <c r="CB165" s="1606"/>
      <c r="CC165" s="1606"/>
      <c r="CD165" s="1606"/>
      <c r="CE165" s="1606"/>
      <c r="CF165" s="1606"/>
      <c r="CG165" s="1606"/>
      <c r="CH165" s="1606"/>
      <c r="CI165" s="1606"/>
      <c r="CJ165" s="1606"/>
      <c r="CK165" s="1606"/>
      <c r="CL165" s="1606"/>
      <c r="CM165" s="1606"/>
      <c r="CN165" s="1606"/>
      <c r="CO165" s="1615"/>
      <c r="CP165" s="1615"/>
      <c r="CQ165" s="1615"/>
      <c r="CR165" s="1615"/>
      <c r="CS165" s="1606"/>
      <c r="CT165" s="1606"/>
      <c r="CU165" s="1606"/>
      <c r="CV165" s="1606"/>
      <c r="CW165" s="1606"/>
      <c r="CX165" s="1606"/>
      <c r="CY165" s="1606"/>
      <c r="CZ165" s="1606"/>
      <c r="DA165" s="1606"/>
      <c r="DB165" s="1606"/>
      <c r="DC165" s="1606"/>
      <c r="DD165" s="1606"/>
      <c r="DE165" s="1606"/>
      <c r="DF165" s="1606"/>
      <c r="DG165" s="1615"/>
      <c r="DH165" s="1615"/>
      <c r="DI165" s="1615"/>
      <c r="DJ165" s="1615"/>
      <c r="DK165" s="1617"/>
      <c r="DL165" s="1617"/>
    </row>
    <row r="166" ht="26.25" customHeight="1">
      <c r="A166" s="1604"/>
      <c r="B166" s="1604"/>
      <c r="C166" s="1604"/>
      <c r="D166" s="1604"/>
      <c r="E166" s="1604"/>
      <c r="F166" s="1605"/>
      <c r="G166" s="1606"/>
      <c r="H166" s="1607"/>
      <c r="I166" s="1608"/>
      <c r="J166" s="1609"/>
      <c r="K166" s="1606"/>
      <c r="L166" s="1606"/>
      <c r="M166" s="1606"/>
      <c r="N166" s="1606"/>
      <c r="O166" s="1606"/>
      <c r="P166" s="1606"/>
      <c r="Q166" s="1606"/>
      <c r="R166" s="1606"/>
      <c r="S166" s="1606"/>
      <c r="T166" s="1606"/>
      <c r="U166" s="1606"/>
      <c r="V166" s="1606"/>
      <c r="W166" s="1607"/>
      <c r="X166" s="1608"/>
      <c r="Y166" s="1610"/>
      <c r="Z166" s="1606"/>
      <c r="AA166" s="1611"/>
      <c r="AB166" s="1606"/>
      <c r="AC166" s="1611"/>
      <c r="AD166" s="1606"/>
      <c r="AE166" s="1611"/>
      <c r="AF166" s="1606"/>
      <c r="AG166" s="1611"/>
      <c r="AH166" s="1606"/>
      <c r="AI166" s="1611"/>
      <c r="AJ166" s="1606"/>
      <c r="AK166" s="1611"/>
      <c r="AL166" s="1606"/>
      <c r="AM166" s="1612"/>
      <c r="AN166" s="1612"/>
      <c r="AO166" s="1613"/>
      <c r="AP166" s="1612"/>
      <c r="AQ166" s="1606"/>
      <c r="AR166" s="1606"/>
      <c r="AS166" s="1606"/>
      <c r="AT166" s="1606"/>
      <c r="AU166" s="1606"/>
      <c r="AV166" s="1606"/>
      <c r="AW166" s="1606"/>
      <c r="AX166" s="1606"/>
      <c r="AY166" s="1606"/>
      <c r="AZ166" s="1606"/>
      <c r="BA166" s="1606"/>
      <c r="BB166" s="1606"/>
      <c r="BC166" s="1606"/>
      <c r="BD166" s="1606"/>
      <c r="BE166" s="1612"/>
      <c r="BF166" s="1612"/>
      <c r="BG166" s="1613"/>
      <c r="BH166" s="1612"/>
      <c r="BI166" s="1612"/>
      <c r="BJ166" s="1612"/>
      <c r="BK166" s="1614"/>
      <c r="BL166" s="1614"/>
      <c r="BM166" s="1614"/>
      <c r="BN166" s="1614"/>
      <c r="BO166" s="1614"/>
      <c r="BP166" s="1614"/>
      <c r="BQ166" s="1614"/>
      <c r="BR166" s="1614"/>
      <c r="BS166" s="1614"/>
      <c r="BT166" s="1614"/>
      <c r="BU166" s="1614"/>
      <c r="BV166" s="1614"/>
      <c r="BW166" s="1612"/>
      <c r="BX166" s="1612"/>
      <c r="BY166" s="1613"/>
      <c r="BZ166" s="1612"/>
      <c r="CA166" s="1606"/>
      <c r="CB166" s="1606"/>
      <c r="CC166" s="1606"/>
      <c r="CD166" s="1606"/>
      <c r="CE166" s="1606"/>
      <c r="CF166" s="1606"/>
      <c r="CG166" s="1606"/>
      <c r="CH166" s="1606"/>
      <c r="CI166" s="1606"/>
      <c r="CJ166" s="1606"/>
      <c r="CK166" s="1606"/>
      <c r="CL166" s="1606"/>
      <c r="CM166" s="1606"/>
      <c r="CN166" s="1606"/>
      <c r="CO166" s="1615"/>
      <c r="CP166" s="1615"/>
      <c r="CQ166" s="1615"/>
      <c r="CR166" s="1615"/>
      <c r="CS166" s="1606"/>
      <c r="CT166" s="1606"/>
      <c r="CU166" s="1606"/>
      <c r="CV166" s="1606"/>
      <c r="CW166" s="1606"/>
      <c r="CX166" s="1606"/>
      <c r="CY166" s="1606"/>
      <c r="CZ166" s="1606"/>
      <c r="DA166" s="1606"/>
      <c r="DB166" s="1606"/>
      <c r="DC166" s="1606"/>
      <c r="DD166" s="1606"/>
      <c r="DE166" s="1606"/>
      <c r="DF166" s="1606"/>
      <c r="DG166" s="1615"/>
      <c r="DH166" s="1615"/>
      <c r="DI166" s="1615"/>
      <c r="DJ166" s="1615"/>
      <c r="DK166" s="1617"/>
      <c r="DL166" s="1617"/>
    </row>
    <row r="167" ht="26.25" customHeight="1">
      <c r="A167" s="1604"/>
      <c r="B167" s="1604"/>
      <c r="C167" s="1604"/>
      <c r="D167" s="1604"/>
      <c r="E167" s="1604"/>
      <c r="F167" s="1605"/>
      <c r="G167" s="1606"/>
      <c r="H167" s="1607"/>
      <c r="I167" s="1608"/>
      <c r="J167" s="1609"/>
      <c r="K167" s="1606"/>
      <c r="L167" s="1606"/>
      <c r="M167" s="1606"/>
      <c r="N167" s="1606"/>
      <c r="O167" s="1606"/>
      <c r="P167" s="1606"/>
      <c r="Q167" s="1606"/>
      <c r="R167" s="1606"/>
      <c r="S167" s="1606"/>
      <c r="T167" s="1606"/>
      <c r="U167" s="1606"/>
      <c r="V167" s="1606"/>
      <c r="W167" s="1607"/>
      <c r="X167" s="1608"/>
      <c r="Y167" s="1610"/>
      <c r="Z167" s="1606"/>
      <c r="AA167" s="1611"/>
      <c r="AB167" s="1606"/>
      <c r="AC167" s="1611"/>
      <c r="AD167" s="1606"/>
      <c r="AE167" s="1611"/>
      <c r="AF167" s="1606"/>
      <c r="AG167" s="1611"/>
      <c r="AH167" s="1606"/>
      <c r="AI167" s="1611"/>
      <c r="AJ167" s="1606"/>
      <c r="AK167" s="1611"/>
      <c r="AL167" s="1606"/>
      <c r="AM167" s="1612"/>
      <c r="AN167" s="1612"/>
      <c r="AO167" s="1613"/>
      <c r="AP167" s="1612"/>
      <c r="AQ167" s="1606"/>
      <c r="AR167" s="1606"/>
      <c r="AS167" s="1606"/>
      <c r="AT167" s="1606"/>
      <c r="AU167" s="1606"/>
      <c r="AV167" s="1606"/>
      <c r="AW167" s="1606"/>
      <c r="AX167" s="1606"/>
      <c r="AY167" s="1606"/>
      <c r="AZ167" s="1606"/>
      <c r="BA167" s="1606"/>
      <c r="BB167" s="1606"/>
      <c r="BC167" s="1606"/>
      <c r="BD167" s="1606"/>
      <c r="BE167" s="1612"/>
      <c r="BF167" s="1612"/>
      <c r="BG167" s="1613"/>
      <c r="BH167" s="1612"/>
      <c r="BI167" s="1612"/>
      <c r="BJ167" s="1612"/>
      <c r="BK167" s="1614"/>
      <c r="BL167" s="1614"/>
      <c r="BM167" s="1614"/>
      <c r="BN167" s="1614"/>
      <c r="BO167" s="1614"/>
      <c r="BP167" s="1614"/>
      <c r="BQ167" s="1614"/>
      <c r="BR167" s="1614"/>
      <c r="BS167" s="1614"/>
      <c r="BT167" s="1614"/>
      <c r="BU167" s="1614"/>
      <c r="BV167" s="1614"/>
      <c r="BW167" s="1612"/>
      <c r="BX167" s="1612"/>
      <c r="BY167" s="1613"/>
      <c r="BZ167" s="1612"/>
      <c r="CA167" s="1606"/>
      <c r="CB167" s="1606"/>
      <c r="CC167" s="1606"/>
      <c r="CD167" s="1606"/>
      <c r="CE167" s="1606"/>
      <c r="CF167" s="1606"/>
      <c r="CG167" s="1606"/>
      <c r="CH167" s="1606"/>
      <c r="CI167" s="1606"/>
      <c r="CJ167" s="1606"/>
      <c r="CK167" s="1606"/>
      <c r="CL167" s="1606"/>
      <c r="CM167" s="1606"/>
      <c r="CN167" s="1606"/>
      <c r="CO167" s="1615"/>
      <c r="CP167" s="1615"/>
      <c r="CQ167" s="1615"/>
      <c r="CR167" s="1615"/>
      <c r="CS167" s="1606"/>
      <c r="CT167" s="1606"/>
      <c r="CU167" s="1606"/>
      <c r="CV167" s="1606"/>
      <c r="CW167" s="1606"/>
      <c r="CX167" s="1606"/>
      <c r="CY167" s="1606"/>
      <c r="CZ167" s="1606"/>
      <c r="DA167" s="1606"/>
      <c r="DB167" s="1606"/>
      <c r="DC167" s="1606"/>
      <c r="DD167" s="1606"/>
      <c r="DE167" s="1606"/>
      <c r="DF167" s="1606"/>
      <c r="DG167" s="1615"/>
      <c r="DH167" s="1615"/>
      <c r="DI167" s="1615"/>
      <c r="DJ167" s="1615"/>
      <c r="DK167" s="1617"/>
      <c r="DL167" s="1617"/>
    </row>
    <row r="168" ht="26.25" customHeight="1">
      <c r="A168" s="1604"/>
      <c r="B168" s="1604"/>
      <c r="C168" s="1604"/>
      <c r="D168" s="1604"/>
      <c r="E168" s="1604"/>
      <c r="F168" s="1605"/>
      <c r="G168" s="1606"/>
      <c r="H168" s="1607"/>
      <c r="I168" s="1608"/>
      <c r="J168" s="1609"/>
      <c r="K168" s="1606"/>
      <c r="L168" s="1606"/>
      <c r="M168" s="1606"/>
      <c r="N168" s="1606"/>
      <c r="O168" s="1606"/>
      <c r="P168" s="1606"/>
      <c r="Q168" s="1606"/>
      <c r="R168" s="1606"/>
      <c r="S168" s="1606"/>
      <c r="T168" s="1606"/>
      <c r="U168" s="1606"/>
      <c r="V168" s="1606"/>
      <c r="W168" s="1607"/>
      <c r="X168" s="1608"/>
      <c r="Y168" s="1610"/>
      <c r="Z168" s="1606"/>
      <c r="AA168" s="1611"/>
      <c r="AB168" s="1606"/>
      <c r="AC168" s="1611"/>
      <c r="AD168" s="1606"/>
      <c r="AE168" s="1611"/>
      <c r="AF168" s="1606"/>
      <c r="AG168" s="1611"/>
      <c r="AH168" s="1606"/>
      <c r="AI168" s="1611"/>
      <c r="AJ168" s="1606"/>
      <c r="AK168" s="1611"/>
      <c r="AL168" s="1606"/>
      <c r="AM168" s="1612"/>
      <c r="AN168" s="1612"/>
      <c r="AO168" s="1613"/>
      <c r="AP168" s="1612"/>
      <c r="AQ168" s="1606"/>
      <c r="AR168" s="1606"/>
      <c r="AS168" s="1606"/>
      <c r="AT168" s="1606"/>
      <c r="AU168" s="1606"/>
      <c r="AV168" s="1606"/>
      <c r="AW168" s="1606"/>
      <c r="AX168" s="1606"/>
      <c r="AY168" s="1606"/>
      <c r="AZ168" s="1606"/>
      <c r="BA168" s="1606"/>
      <c r="BB168" s="1606"/>
      <c r="BC168" s="1606"/>
      <c r="BD168" s="1606"/>
      <c r="BE168" s="1612"/>
      <c r="BF168" s="1612"/>
      <c r="BG168" s="1613"/>
      <c r="BH168" s="1612"/>
      <c r="BI168" s="1612"/>
      <c r="BJ168" s="1612"/>
      <c r="BK168" s="1614"/>
      <c r="BL168" s="1614"/>
      <c r="BM168" s="1614"/>
      <c r="BN168" s="1614"/>
      <c r="BO168" s="1614"/>
      <c r="BP168" s="1614"/>
      <c r="BQ168" s="1614"/>
      <c r="BR168" s="1614"/>
      <c r="BS168" s="1614"/>
      <c r="BT168" s="1614"/>
      <c r="BU168" s="1614"/>
      <c r="BV168" s="1614"/>
      <c r="BW168" s="1612"/>
      <c r="BX168" s="1612"/>
      <c r="BY168" s="1613"/>
      <c r="BZ168" s="1612"/>
      <c r="CA168" s="1606"/>
      <c r="CB168" s="1606"/>
      <c r="CC168" s="1606"/>
      <c r="CD168" s="1606"/>
      <c r="CE168" s="1606"/>
      <c r="CF168" s="1606"/>
      <c r="CG168" s="1606"/>
      <c r="CH168" s="1606"/>
      <c r="CI168" s="1606"/>
      <c r="CJ168" s="1606"/>
      <c r="CK168" s="1606"/>
      <c r="CL168" s="1606"/>
      <c r="CM168" s="1606"/>
      <c r="CN168" s="1606"/>
      <c r="CO168" s="1615"/>
      <c r="CP168" s="1615"/>
      <c r="CQ168" s="1615"/>
      <c r="CR168" s="1615"/>
      <c r="CS168" s="1606"/>
      <c r="CT168" s="1606"/>
      <c r="CU168" s="1606"/>
      <c r="CV168" s="1606"/>
      <c r="CW168" s="1606"/>
      <c r="CX168" s="1606"/>
      <c r="CY168" s="1606"/>
      <c r="CZ168" s="1606"/>
      <c r="DA168" s="1606"/>
      <c r="DB168" s="1606"/>
      <c r="DC168" s="1606"/>
      <c r="DD168" s="1606"/>
      <c r="DE168" s="1606"/>
      <c r="DF168" s="1606"/>
      <c r="DG168" s="1615"/>
      <c r="DH168" s="1615"/>
      <c r="DI168" s="1615"/>
      <c r="DJ168" s="1615"/>
      <c r="DK168" s="1617"/>
      <c r="DL168" s="1617"/>
    </row>
    <row r="169" ht="26.25" customHeight="1">
      <c r="A169" s="1604"/>
      <c r="B169" s="1604"/>
      <c r="C169" s="1604"/>
      <c r="D169" s="1604"/>
      <c r="E169" s="1604"/>
      <c r="F169" s="1605"/>
      <c r="G169" s="1606"/>
      <c r="H169" s="1607"/>
      <c r="I169" s="1608"/>
      <c r="J169" s="1609"/>
      <c r="K169" s="1606"/>
      <c r="L169" s="1606"/>
      <c r="M169" s="1606"/>
      <c r="N169" s="1606"/>
      <c r="O169" s="1606"/>
      <c r="P169" s="1606"/>
      <c r="Q169" s="1606"/>
      <c r="R169" s="1606"/>
      <c r="S169" s="1606"/>
      <c r="T169" s="1606"/>
      <c r="U169" s="1606"/>
      <c r="V169" s="1606"/>
      <c r="W169" s="1607"/>
      <c r="X169" s="1608"/>
      <c r="Y169" s="1610"/>
      <c r="Z169" s="1606"/>
      <c r="AA169" s="1611"/>
      <c r="AB169" s="1606"/>
      <c r="AC169" s="1611"/>
      <c r="AD169" s="1606"/>
      <c r="AE169" s="1611"/>
      <c r="AF169" s="1606"/>
      <c r="AG169" s="1611"/>
      <c r="AH169" s="1606"/>
      <c r="AI169" s="1611"/>
      <c r="AJ169" s="1606"/>
      <c r="AK169" s="1611"/>
      <c r="AL169" s="1606"/>
      <c r="AM169" s="1612"/>
      <c r="AN169" s="1612"/>
      <c r="AO169" s="1613"/>
      <c r="AP169" s="1612"/>
      <c r="AQ169" s="1606"/>
      <c r="AR169" s="1606"/>
      <c r="AS169" s="1606"/>
      <c r="AT169" s="1606"/>
      <c r="AU169" s="1606"/>
      <c r="AV169" s="1606"/>
      <c r="AW169" s="1606"/>
      <c r="AX169" s="1606"/>
      <c r="AY169" s="1606"/>
      <c r="AZ169" s="1606"/>
      <c r="BA169" s="1606"/>
      <c r="BB169" s="1606"/>
      <c r="BC169" s="1606"/>
      <c r="BD169" s="1606"/>
      <c r="BE169" s="1612"/>
      <c r="BF169" s="1612"/>
      <c r="BG169" s="1613"/>
      <c r="BH169" s="1612"/>
      <c r="BI169" s="1612"/>
      <c r="BJ169" s="1612"/>
      <c r="BK169" s="1614"/>
      <c r="BL169" s="1614"/>
      <c r="BM169" s="1614"/>
      <c r="BN169" s="1614"/>
      <c r="BO169" s="1614"/>
      <c r="BP169" s="1614"/>
      <c r="BQ169" s="1614"/>
      <c r="BR169" s="1614"/>
      <c r="BS169" s="1614"/>
      <c r="BT169" s="1614"/>
      <c r="BU169" s="1614"/>
      <c r="BV169" s="1614"/>
      <c r="BW169" s="1612"/>
      <c r="BX169" s="1612"/>
      <c r="BY169" s="1613"/>
      <c r="BZ169" s="1612"/>
      <c r="CA169" s="1606"/>
      <c r="CB169" s="1606"/>
      <c r="CC169" s="1606"/>
      <c r="CD169" s="1606"/>
      <c r="CE169" s="1606"/>
      <c r="CF169" s="1606"/>
      <c r="CG169" s="1606"/>
      <c r="CH169" s="1606"/>
      <c r="CI169" s="1606"/>
      <c r="CJ169" s="1606"/>
      <c r="CK169" s="1606"/>
      <c r="CL169" s="1606"/>
      <c r="CM169" s="1606"/>
      <c r="CN169" s="1606"/>
      <c r="CO169" s="1615"/>
      <c r="CP169" s="1615"/>
      <c r="CQ169" s="1615"/>
      <c r="CR169" s="1615"/>
      <c r="CS169" s="1606"/>
      <c r="CT169" s="1606"/>
      <c r="CU169" s="1606"/>
      <c r="CV169" s="1606"/>
      <c r="CW169" s="1606"/>
      <c r="CX169" s="1606"/>
      <c r="CY169" s="1606"/>
      <c r="CZ169" s="1606"/>
      <c r="DA169" s="1606"/>
      <c r="DB169" s="1606"/>
      <c r="DC169" s="1606"/>
      <c r="DD169" s="1606"/>
      <c r="DE169" s="1606"/>
      <c r="DF169" s="1606"/>
      <c r="DG169" s="1615"/>
      <c r="DH169" s="1615"/>
      <c r="DI169" s="1615"/>
      <c r="DJ169" s="1615"/>
      <c r="DK169" s="1617"/>
      <c r="DL169" s="1617"/>
    </row>
    <row r="170" ht="26.25" customHeight="1">
      <c r="A170" s="1604"/>
      <c r="B170" s="1604"/>
      <c r="C170" s="1604"/>
      <c r="D170" s="1604"/>
      <c r="E170" s="1604"/>
      <c r="F170" s="1605"/>
      <c r="G170" s="1606"/>
      <c r="H170" s="1607"/>
      <c r="I170" s="1608"/>
      <c r="J170" s="1609"/>
      <c r="K170" s="1606"/>
      <c r="L170" s="1606"/>
      <c r="M170" s="1606"/>
      <c r="N170" s="1606"/>
      <c r="O170" s="1606"/>
      <c r="P170" s="1606"/>
      <c r="Q170" s="1606"/>
      <c r="R170" s="1606"/>
      <c r="S170" s="1606"/>
      <c r="T170" s="1606"/>
      <c r="U170" s="1606"/>
      <c r="V170" s="1606"/>
      <c r="W170" s="1607"/>
      <c r="X170" s="1608"/>
      <c r="Y170" s="1610"/>
      <c r="Z170" s="1606"/>
      <c r="AA170" s="1611"/>
      <c r="AB170" s="1606"/>
      <c r="AC170" s="1611"/>
      <c r="AD170" s="1606"/>
      <c r="AE170" s="1611"/>
      <c r="AF170" s="1606"/>
      <c r="AG170" s="1611"/>
      <c r="AH170" s="1606"/>
      <c r="AI170" s="1611"/>
      <c r="AJ170" s="1606"/>
      <c r="AK170" s="1611"/>
      <c r="AL170" s="1606"/>
      <c r="AM170" s="1612"/>
      <c r="AN170" s="1612"/>
      <c r="AO170" s="1613"/>
      <c r="AP170" s="1612"/>
      <c r="AQ170" s="1606"/>
      <c r="AR170" s="1606"/>
      <c r="AS170" s="1606"/>
      <c r="AT170" s="1606"/>
      <c r="AU170" s="1606"/>
      <c r="AV170" s="1606"/>
      <c r="AW170" s="1606"/>
      <c r="AX170" s="1606"/>
      <c r="AY170" s="1606"/>
      <c r="AZ170" s="1606"/>
      <c r="BA170" s="1606"/>
      <c r="BB170" s="1606"/>
      <c r="BC170" s="1606"/>
      <c r="BD170" s="1606"/>
      <c r="BE170" s="1612"/>
      <c r="BF170" s="1612"/>
      <c r="BG170" s="1613"/>
      <c r="BH170" s="1612"/>
      <c r="BI170" s="1612"/>
      <c r="BJ170" s="1612"/>
      <c r="BK170" s="1614"/>
      <c r="BL170" s="1614"/>
      <c r="BM170" s="1614"/>
      <c r="BN170" s="1614"/>
      <c r="BO170" s="1614"/>
      <c r="BP170" s="1614"/>
      <c r="BQ170" s="1614"/>
      <c r="BR170" s="1614"/>
      <c r="BS170" s="1614"/>
      <c r="BT170" s="1614"/>
      <c r="BU170" s="1614"/>
      <c r="BV170" s="1614"/>
      <c r="BW170" s="1612"/>
      <c r="BX170" s="1612"/>
      <c r="BY170" s="1613"/>
      <c r="BZ170" s="1612"/>
      <c r="CA170" s="1606"/>
      <c r="CB170" s="1606"/>
      <c r="CC170" s="1606"/>
      <c r="CD170" s="1606"/>
      <c r="CE170" s="1606"/>
      <c r="CF170" s="1606"/>
      <c r="CG170" s="1606"/>
      <c r="CH170" s="1606"/>
      <c r="CI170" s="1606"/>
      <c r="CJ170" s="1606"/>
      <c r="CK170" s="1606"/>
      <c r="CL170" s="1606"/>
      <c r="CM170" s="1606"/>
      <c r="CN170" s="1606"/>
      <c r="CO170" s="1615"/>
      <c r="CP170" s="1615"/>
      <c r="CQ170" s="1615"/>
      <c r="CR170" s="1615"/>
      <c r="CS170" s="1606"/>
      <c r="CT170" s="1606"/>
      <c r="CU170" s="1606"/>
      <c r="CV170" s="1606"/>
      <c r="CW170" s="1606"/>
      <c r="CX170" s="1606"/>
      <c r="CY170" s="1606"/>
      <c r="CZ170" s="1606"/>
      <c r="DA170" s="1606"/>
      <c r="DB170" s="1606"/>
      <c r="DC170" s="1606"/>
      <c r="DD170" s="1606"/>
      <c r="DE170" s="1606"/>
      <c r="DF170" s="1606"/>
      <c r="DG170" s="1615"/>
      <c r="DH170" s="1615"/>
      <c r="DI170" s="1615"/>
      <c r="DJ170" s="1615"/>
      <c r="DK170" s="1617"/>
      <c r="DL170" s="1617"/>
    </row>
    <row r="171" ht="26.25" customHeight="1">
      <c r="A171" s="1604"/>
      <c r="B171" s="1604"/>
      <c r="C171" s="1604"/>
      <c r="D171" s="1604"/>
      <c r="E171" s="1604"/>
      <c r="F171" s="1605"/>
      <c r="G171" s="1606"/>
      <c r="H171" s="1607"/>
      <c r="I171" s="1608"/>
      <c r="J171" s="1609"/>
      <c r="K171" s="1606"/>
      <c r="L171" s="1606"/>
      <c r="M171" s="1606"/>
      <c r="N171" s="1606"/>
      <c r="O171" s="1606"/>
      <c r="P171" s="1606"/>
      <c r="Q171" s="1606"/>
      <c r="R171" s="1606"/>
      <c r="S171" s="1606"/>
      <c r="T171" s="1606"/>
      <c r="U171" s="1606"/>
      <c r="V171" s="1606"/>
      <c r="W171" s="1607"/>
      <c r="X171" s="1608"/>
      <c r="Y171" s="1610"/>
      <c r="Z171" s="1606"/>
      <c r="AA171" s="1611"/>
      <c r="AB171" s="1606"/>
      <c r="AC171" s="1611"/>
      <c r="AD171" s="1606"/>
      <c r="AE171" s="1611"/>
      <c r="AF171" s="1606"/>
      <c r="AG171" s="1611"/>
      <c r="AH171" s="1606"/>
      <c r="AI171" s="1611"/>
      <c r="AJ171" s="1606"/>
      <c r="AK171" s="1611"/>
      <c r="AL171" s="1606"/>
      <c r="AM171" s="1612"/>
      <c r="AN171" s="1612"/>
      <c r="AO171" s="1613"/>
      <c r="AP171" s="1612"/>
      <c r="AQ171" s="1606"/>
      <c r="AR171" s="1606"/>
      <c r="AS171" s="1606"/>
      <c r="AT171" s="1606"/>
      <c r="AU171" s="1606"/>
      <c r="AV171" s="1606"/>
      <c r="AW171" s="1606"/>
      <c r="AX171" s="1606"/>
      <c r="AY171" s="1606"/>
      <c r="AZ171" s="1606"/>
      <c r="BA171" s="1606"/>
      <c r="BB171" s="1606"/>
      <c r="BC171" s="1606"/>
      <c r="BD171" s="1606"/>
      <c r="BE171" s="1612"/>
      <c r="BF171" s="1612"/>
      <c r="BG171" s="1613"/>
      <c r="BH171" s="1612"/>
      <c r="BI171" s="1612"/>
      <c r="BJ171" s="1612"/>
      <c r="BK171" s="1614"/>
      <c r="BL171" s="1614"/>
      <c r="BM171" s="1614"/>
      <c r="BN171" s="1614"/>
      <c r="BO171" s="1614"/>
      <c r="BP171" s="1614"/>
      <c r="BQ171" s="1614"/>
      <c r="BR171" s="1614"/>
      <c r="BS171" s="1614"/>
      <c r="BT171" s="1614"/>
      <c r="BU171" s="1614"/>
      <c r="BV171" s="1614"/>
      <c r="BW171" s="1612"/>
      <c r="BX171" s="1612"/>
      <c r="BY171" s="1613"/>
      <c r="BZ171" s="1612"/>
      <c r="CA171" s="1606"/>
      <c r="CB171" s="1606"/>
      <c r="CC171" s="1606"/>
      <c r="CD171" s="1606"/>
      <c r="CE171" s="1606"/>
      <c r="CF171" s="1606"/>
      <c r="CG171" s="1606"/>
      <c r="CH171" s="1606"/>
      <c r="CI171" s="1606"/>
      <c r="CJ171" s="1606"/>
      <c r="CK171" s="1606"/>
      <c r="CL171" s="1606"/>
      <c r="CM171" s="1606"/>
      <c r="CN171" s="1606"/>
      <c r="CO171" s="1615"/>
      <c r="CP171" s="1615"/>
      <c r="CQ171" s="1615"/>
      <c r="CR171" s="1615"/>
      <c r="CS171" s="1606"/>
      <c r="CT171" s="1606"/>
      <c r="CU171" s="1606"/>
      <c r="CV171" s="1606"/>
      <c r="CW171" s="1606"/>
      <c r="CX171" s="1606"/>
      <c r="CY171" s="1606"/>
      <c r="CZ171" s="1606"/>
      <c r="DA171" s="1606"/>
      <c r="DB171" s="1606"/>
      <c r="DC171" s="1606"/>
      <c r="DD171" s="1606"/>
      <c r="DE171" s="1606"/>
      <c r="DF171" s="1606"/>
      <c r="DG171" s="1615"/>
      <c r="DH171" s="1615"/>
      <c r="DI171" s="1615"/>
      <c r="DJ171" s="1615"/>
      <c r="DK171" s="1617"/>
      <c r="DL171" s="1617"/>
    </row>
    <row r="172" ht="26.25" customHeight="1">
      <c r="A172" s="1604"/>
      <c r="B172" s="1604"/>
      <c r="C172" s="1604"/>
      <c r="D172" s="1604"/>
      <c r="E172" s="1604"/>
      <c r="F172" s="1605"/>
      <c r="G172" s="1606"/>
      <c r="H172" s="1607"/>
      <c r="I172" s="1608"/>
      <c r="J172" s="1609"/>
      <c r="K172" s="1606"/>
      <c r="L172" s="1606"/>
      <c r="M172" s="1606"/>
      <c r="N172" s="1606"/>
      <c r="O172" s="1606"/>
      <c r="P172" s="1606"/>
      <c r="Q172" s="1606"/>
      <c r="R172" s="1606"/>
      <c r="S172" s="1606"/>
      <c r="T172" s="1606"/>
      <c r="U172" s="1606"/>
      <c r="V172" s="1606"/>
      <c r="W172" s="1607"/>
      <c r="X172" s="1608"/>
      <c r="Y172" s="1610"/>
      <c r="Z172" s="1606"/>
      <c r="AA172" s="1611"/>
      <c r="AB172" s="1606"/>
      <c r="AC172" s="1611"/>
      <c r="AD172" s="1606"/>
      <c r="AE172" s="1611"/>
      <c r="AF172" s="1606"/>
      <c r="AG172" s="1611"/>
      <c r="AH172" s="1606"/>
      <c r="AI172" s="1611"/>
      <c r="AJ172" s="1606"/>
      <c r="AK172" s="1611"/>
      <c r="AL172" s="1606"/>
      <c r="AM172" s="1612"/>
      <c r="AN172" s="1612"/>
      <c r="AO172" s="1613"/>
      <c r="AP172" s="1612"/>
      <c r="AQ172" s="1606"/>
      <c r="AR172" s="1606"/>
      <c r="AS172" s="1606"/>
      <c r="AT172" s="1606"/>
      <c r="AU172" s="1606"/>
      <c r="AV172" s="1606"/>
      <c r="AW172" s="1606"/>
      <c r="AX172" s="1606"/>
      <c r="AY172" s="1606"/>
      <c r="AZ172" s="1606"/>
      <c r="BA172" s="1606"/>
      <c r="BB172" s="1606"/>
      <c r="BC172" s="1606"/>
      <c r="BD172" s="1606"/>
      <c r="BE172" s="1612"/>
      <c r="BF172" s="1612"/>
      <c r="BG172" s="1613"/>
      <c r="BH172" s="1612"/>
      <c r="BI172" s="1612"/>
      <c r="BJ172" s="1612"/>
      <c r="BK172" s="1614"/>
      <c r="BL172" s="1614"/>
      <c r="BM172" s="1614"/>
      <c r="BN172" s="1614"/>
      <c r="BO172" s="1614"/>
      <c r="BP172" s="1614"/>
      <c r="BQ172" s="1614"/>
      <c r="BR172" s="1614"/>
      <c r="BS172" s="1614"/>
      <c r="BT172" s="1614"/>
      <c r="BU172" s="1614"/>
      <c r="BV172" s="1614"/>
      <c r="BW172" s="1612"/>
      <c r="BX172" s="1612"/>
      <c r="BY172" s="1613"/>
      <c r="BZ172" s="1612"/>
      <c r="CA172" s="1606"/>
      <c r="CB172" s="1606"/>
      <c r="CC172" s="1606"/>
      <c r="CD172" s="1606"/>
      <c r="CE172" s="1606"/>
      <c r="CF172" s="1606"/>
      <c r="CG172" s="1606"/>
      <c r="CH172" s="1606"/>
      <c r="CI172" s="1606"/>
      <c r="CJ172" s="1606"/>
      <c r="CK172" s="1606"/>
      <c r="CL172" s="1606"/>
      <c r="CM172" s="1606"/>
      <c r="CN172" s="1606"/>
      <c r="CO172" s="1615"/>
      <c r="CP172" s="1615"/>
      <c r="CQ172" s="1615"/>
      <c r="CR172" s="1615"/>
      <c r="CS172" s="1606"/>
      <c r="CT172" s="1606"/>
      <c r="CU172" s="1606"/>
      <c r="CV172" s="1606"/>
      <c r="CW172" s="1606"/>
      <c r="CX172" s="1606"/>
      <c r="CY172" s="1606"/>
      <c r="CZ172" s="1606"/>
      <c r="DA172" s="1606"/>
      <c r="DB172" s="1606"/>
      <c r="DC172" s="1606"/>
      <c r="DD172" s="1606"/>
      <c r="DE172" s="1606"/>
      <c r="DF172" s="1606"/>
      <c r="DG172" s="1615"/>
      <c r="DH172" s="1615"/>
      <c r="DI172" s="1615"/>
      <c r="DJ172" s="1615"/>
      <c r="DK172" s="1617"/>
      <c r="DL172" s="1617"/>
    </row>
    <row r="173" ht="26.25" customHeight="1">
      <c r="A173" s="1604"/>
      <c r="B173" s="1604"/>
      <c r="C173" s="1604"/>
      <c r="D173" s="1604"/>
      <c r="E173" s="1604"/>
      <c r="F173" s="1605"/>
      <c r="G173" s="1606"/>
      <c r="H173" s="1607"/>
      <c r="I173" s="1608"/>
      <c r="J173" s="1609"/>
      <c r="K173" s="1606"/>
      <c r="L173" s="1606"/>
      <c r="M173" s="1606"/>
      <c r="N173" s="1606"/>
      <c r="O173" s="1606"/>
      <c r="P173" s="1606"/>
      <c r="Q173" s="1606"/>
      <c r="R173" s="1606"/>
      <c r="S173" s="1606"/>
      <c r="T173" s="1606"/>
      <c r="U173" s="1606"/>
      <c r="V173" s="1606"/>
      <c r="W173" s="1607"/>
      <c r="X173" s="1608"/>
      <c r="Y173" s="1610"/>
      <c r="Z173" s="1606"/>
      <c r="AA173" s="1611"/>
      <c r="AB173" s="1606"/>
      <c r="AC173" s="1611"/>
      <c r="AD173" s="1606"/>
      <c r="AE173" s="1611"/>
      <c r="AF173" s="1606"/>
      <c r="AG173" s="1611"/>
      <c r="AH173" s="1606"/>
      <c r="AI173" s="1611"/>
      <c r="AJ173" s="1606"/>
      <c r="AK173" s="1611"/>
      <c r="AL173" s="1606"/>
      <c r="AM173" s="1612"/>
      <c r="AN173" s="1612"/>
      <c r="AO173" s="1613"/>
      <c r="AP173" s="1612"/>
      <c r="AQ173" s="1606"/>
      <c r="AR173" s="1606"/>
      <c r="AS173" s="1606"/>
      <c r="AT173" s="1606"/>
      <c r="AU173" s="1606"/>
      <c r="AV173" s="1606"/>
      <c r="AW173" s="1606"/>
      <c r="AX173" s="1606"/>
      <c r="AY173" s="1606"/>
      <c r="AZ173" s="1606"/>
      <c r="BA173" s="1606"/>
      <c r="BB173" s="1606"/>
      <c r="BC173" s="1606"/>
      <c r="BD173" s="1606"/>
      <c r="BE173" s="1612"/>
      <c r="BF173" s="1612"/>
      <c r="BG173" s="1613"/>
      <c r="BH173" s="1612"/>
      <c r="BI173" s="1612"/>
      <c r="BJ173" s="1612"/>
      <c r="BK173" s="1614"/>
      <c r="BL173" s="1614"/>
      <c r="BM173" s="1614"/>
      <c r="BN173" s="1614"/>
      <c r="BO173" s="1614"/>
      <c r="BP173" s="1614"/>
      <c r="BQ173" s="1614"/>
      <c r="BR173" s="1614"/>
      <c r="BS173" s="1614"/>
      <c r="BT173" s="1614"/>
      <c r="BU173" s="1614"/>
      <c r="BV173" s="1614"/>
      <c r="BW173" s="1612"/>
      <c r="BX173" s="1612"/>
      <c r="BY173" s="1613"/>
      <c r="BZ173" s="1612"/>
      <c r="CA173" s="1606"/>
      <c r="CB173" s="1606"/>
      <c r="CC173" s="1606"/>
      <c r="CD173" s="1606"/>
      <c r="CE173" s="1606"/>
      <c r="CF173" s="1606"/>
      <c r="CG173" s="1606"/>
      <c r="CH173" s="1606"/>
      <c r="CI173" s="1606"/>
      <c r="CJ173" s="1606"/>
      <c r="CK173" s="1606"/>
      <c r="CL173" s="1606"/>
      <c r="CM173" s="1606"/>
      <c r="CN173" s="1606"/>
      <c r="CO173" s="1615"/>
      <c r="CP173" s="1615"/>
      <c r="CQ173" s="1615"/>
      <c r="CR173" s="1615"/>
      <c r="CS173" s="1606"/>
      <c r="CT173" s="1606"/>
      <c r="CU173" s="1606"/>
      <c r="CV173" s="1606"/>
      <c r="CW173" s="1606"/>
      <c r="CX173" s="1606"/>
      <c r="CY173" s="1606"/>
      <c r="CZ173" s="1606"/>
      <c r="DA173" s="1606"/>
      <c r="DB173" s="1606"/>
      <c r="DC173" s="1606"/>
      <c r="DD173" s="1606"/>
      <c r="DE173" s="1606"/>
      <c r="DF173" s="1606"/>
      <c r="DG173" s="1615"/>
      <c r="DH173" s="1615"/>
      <c r="DI173" s="1615"/>
      <c r="DJ173" s="1615"/>
      <c r="DK173" s="1617"/>
      <c r="DL173" s="1617"/>
    </row>
    <row r="174" ht="26.25" customHeight="1">
      <c r="A174" s="1604"/>
      <c r="B174" s="1604"/>
      <c r="C174" s="1604"/>
      <c r="D174" s="1604"/>
      <c r="E174" s="1604"/>
      <c r="F174" s="1605"/>
      <c r="G174" s="1606"/>
      <c r="H174" s="1607"/>
      <c r="I174" s="1608"/>
      <c r="J174" s="1609"/>
      <c r="K174" s="1606"/>
      <c r="L174" s="1606"/>
      <c r="M174" s="1606"/>
      <c r="N174" s="1606"/>
      <c r="O174" s="1606"/>
      <c r="P174" s="1606"/>
      <c r="Q174" s="1606"/>
      <c r="R174" s="1606"/>
      <c r="S174" s="1606"/>
      <c r="T174" s="1606"/>
      <c r="U174" s="1606"/>
      <c r="V174" s="1606"/>
      <c r="W174" s="1607"/>
      <c r="X174" s="1608"/>
      <c r="Y174" s="1610"/>
      <c r="Z174" s="1606"/>
      <c r="AA174" s="1611"/>
      <c r="AB174" s="1606"/>
      <c r="AC174" s="1611"/>
      <c r="AD174" s="1606"/>
      <c r="AE174" s="1611"/>
      <c r="AF174" s="1606"/>
      <c r="AG174" s="1611"/>
      <c r="AH174" s="1606"/>
      <c r="AI174" s="1611"/>
      <c r="AJ174" s="1606"/>
      <c r="AK174" s="1611"/>
      <c r="AL174" s="1606"/>
      <c r="AM174" s="1612"/>
      <c r="AN174" s="1612"/>
      <c r="AO174" s="1613"/>
      <c r="AP174" s="1612"/>
      <c r="AQ174" s="1606"/>
      <c r="AR174" s="1606"/>
      <c r="AS174" s="1606"/>
      <c r="AT174" s="1606"/>
      <c r="AU174" s="1606"/>
      <c r="AV174" s="1606"/>
      <c r="AW174" s="1606"/>
      <c r="AX174" s="1606"/>
      <c r="AY174" s="1606"/>
      <c r="AZ174" s="1606"/>
      <c r="BA174" s="1606"/>
      <c r="BB174" s="1606"/>
      <c r="BC174" s="1606"/>
      <c r="BD174" s="1606"/>
      <c r="BE174" s="1612"/>
      <c r="BF174" s="1612"/>
      <c r="BG174" s="1613"/>
      <c r="BH174" s="1612"/>
      <c r="BI174" s="1612"/>
      <c r="BJ174" s="1612"/>
      <c r="BK174" s="1614"/>
      <c r="BL174" s="1614"/>
      <c r="BM174" s="1614"/>
      <c r="BN174" s="1614"/>
      <c r="BO174" s="1614"/>
      <c r="BP174" s="1614"/>
      <c r="BQ174" s="1614"/>
      <c r="BR174" s="1614"/>
      <c r="BS174" s="1614"/>
      <c r="BT174" s="1614"/>
      <c r="BU174" s="1614"/>
      <c r="BV174" s="1614"/>
      <c r="BW174" s="1612"/>
      <c r="BX174" s="1612"/>
      <c r="BY174" s="1613"/>
      <c r="BZ174" s="1612"/>
      <c r="CA174" s="1606"/>
      <c r="CB174" s="1606"/>
      <c r="CC174" s="1606"/>
      <c r="CD174" s="1606"/>
      <c r="CE174" s="1606"/>
      <c r="CF174" s="1606"/>
      <c r="CG174" s="1606"/>
      <c r="CH174" s="1606"/>
      <c r="CI174" s="1606"/>
      <c r="CJ174" s="1606"/>
      <c r="CK174" s="1606"/>
      <c r="CL174" s="1606"/>
      <c r="CM174" s="1606"/>
      <c r="CN174" s="1606"/>
      <c r="CO174" s="1615"/>
      <c r="CP174" s="1615"/>
      <c r="CQ174" s="1615"/>
      <c r="CR174" s="1615"/>
      <c r="CS174" s="1606"/>
      <c r="CT174" s="1606"/>
      <c r="CU174" s="1606"/>
      <c r="CV174" s="1606"/>
      <c r="CW174" s="1606"/>
      <c r="CX174" s="1606"/>
      <c r="CY174" s="1606"/>
      <c r="CZ174" s="1606"/>
      <c r="DA174" s="1606"/>
      <c r="DB174" s="1606"/>
      <c r="DC174" s="1606"/>
      <c r="DD174" s="1606"/>
      <c r="DE174" s="1606"/>
      <c r="DF174" s="1606"/>
      <c r="DG174" s="1615"/>
      <c r="DH174" s="1615"/>
      <c r="DI174" s="1615"/>
      <c r="DJ174" s="1615"/>
      <c r="DK174" s="1617"/>
      <c r="DL174" s="1617"/>
    </row>
    <row r="175" ht="26.25" customHeight="1">
      <c r="A175" s="1604"/>
      <c r="B175" s="1604"/>
      <c r="C175" s="1604"/>
      <c r="D175" s="1604"/>
      <c r="E175" s="1604"/>
      <c r="F175" s="1605"/>
      <c r="G175" s="1606"/>
      <c r="H175" s="1607"/>
      <c r="I175" s="1608"/>
      <c r="J175" s="1609"/>
      <c r="K175" s="1606"/>
      <c r="L175" s="1606"/>
      <c r="M175" s="1606"/>
      <c r="N175" s="1606"/>
      <c r="O175" s="1606"/>
      <c r="P175" s="1606"/>
      <c r="Q175" s="1606"/>
      <c r="R175" s="1606"/>
      <c r="S175" s="1606"/>
      <c r="T175" s="1606"/>
      <c r="U175" s="1606"/>
      <c r="V175" s="1606"/>
      <c r="W175" s="1607"/>
      <c r="X175" s="1608"/>
      <c r="Y175" s="1610"/>
      <c r="Z175" s="1606"/>
      <c r="AA175" s="1611"/>
      <c r="AB175" s="1606"/>
      <c r="AC175" s="1611"/>
      <c r="AD175" s="1606"/>
      <c r="AE175" s="1611"/>
      <c r="AF175" s="1606"/>
      <c r="AG175" s="1611"/>
      <c r="AH175" s="1606"/>
      <c r="AI175" s="1611"/>
      <c r="AJ175" s="1606"/>
      <c r="AK175" s="1611"/>
      <c r="AL175" s="1606"/>
      <c r="AM175" s="1612"/>
      <c r="AN175" s="1612"/>
      <c r="AO175" s="1613"/>
      <c r="AP175" s="1612"/>
      <c r="AQ175" s="1606"/>
      <c r="AR175" s="1606"/>
      <c r="AS175" s="1606"/>
      <c r="AT175" s="1606"/>
      <c r="AU175" s="1606"/>
      <c r="AV175" s="1606"/>
      <c r="AW175" s="1606"/>
      <c r="AX175" s="1606"/>
      <c r="AY175" s="1606"/>
      <c r="AZ175" s="1606"/>
      <c r="BA175" s="1606"/>
      <c r="BB175" s="1606"/>
      <c r="BC175" s="1606"/>
      <c r="BD175" s="1606"/>
      <c r="BE175" s="1612"/>
      <c r="BF175" s="1612"/>
      <c r="BG175" s="1613"/>
      <c r="BH175" s="1612"/>
      <c r="BI175" s="1612"/>
      <c r="BJ175" s="1612"/>
      <c r="BK175" s="1614"/>
      <c r="BL175" s="1614"/>
      <c r="BM175" s="1614"/>
      <c r="BN175" s="1614"/>
      <c r="BO175" s="1614"/>
      <c r="BP175" s="1614"/>
      <c r="BQ175" s="1614"/>
      <c r="BR175" s="1614"/>
      <c r="BS175" s="1614"/>
      <c r="BT175" s="1614"/>
      <c r="BU175" s="1614"/>
      <c r="BV175" s="1614"/>
      <c r="BW175" s="1612"/>
      <c r="BX175" s="1612"/>
      <c r="BY175" s="1613"/>
      <c r="BZ175" s="1612"/>
      <c r="CA175" s="1606"/>
      <c r="CB175" s="1606"/>
      <c r="CC175" s="1606"/>
      <c r="CD175" s="1606"/>
      <c r="CE175" s="1606"/>
      <c r="CF175" s="1606"/>
      <c r="CG175" s="1606"/>
      <c r="CH175" s="1606"/>
      <c r="CI175" s="1606"/>
      <c r="CJ175" s="1606"/>
      <c r="CK175" s="1606"/>
      <c r="CL175" s="1606"/>
      <c r="CM175" s="1606"/>
      <c r="CN175" s="1606"/>
      <c r="CO175" s="1615"/>
      <c r="CP175" s="1615"/>
      <c r="CQ175" s="1615"/>
      <c r="CR175" s="1615"/>
      <c r="CS175" s="1606"/>
      <c r="CT175" s="1606"/>
      <c r="CU175" s="1606"/>
      <c r="CV175" s="1606"/>
      <c r="CW175" s="1606"/>
      <c r="CX175" s="1606"/>
      <c r="CY175" s="1606"/>
      <c r="CZ175" s="1606"/>
      <c r="DA175" s="1606"/>
      <c r="DB175" s="1606"/>
      <c r="DC175" s="1606"/>
      <c r="DD175" s="1606"/>
      <c r="DE175" s="1606"/>
      <c r="DF175" s="1606"/>
      <c r="DG175" s="1615"/>
      <c r="DH175" s="1615"/>
      <c r="DI175" s="1615"/>
      <c r="DJ175" s="1615"/>
      <c r="DK175" s="1617"/>
      <c r="DL175" s="1617"/>
    </row>
    <row r="176" ht="26.25" customHeight="1">
      <c r="A176" s="1604"/>
      <c r="B176" s="1604"/>
      <c r="C176" s="1604"/>
      <c r="D176" s="1604"/>
      <c r="E176" s="1604"/>
      <c r="F176" s="1605"/>
      <c r="G176" s="1606"/>
      <c r="H176" s="1607"/>
      <c r="I176" s="1608"/>
      <c r="J176" s="1609"/>
      <c r="K176" s="1606"/>
      <c r="L176" s="1606"/>
      <c r="M176" s="1606"/>
      <c r="N176" s="1606"/>
      <c r="O176" s="1606"/>
      <c r="P176" s="1606"/>
      <c r="Q176" s="1606"/>
      <c r="R176" s="1606"/>
      <c r="S176" s="1606"/>
      <c r="T176" s="1606"/>
      <c r="U176" s="1606"/>
      <c r="V176" s="1606"/>
      <c r="W176" s="1607"/>
      <c r="X176" s="1608"/>
      <c r="Y176" s="1610"/>
      <c r="Z176" s="1606"/>
      <c r="AA176" s="1611"/>
      <c r="AB176" s="1606"/>
      <c r="AC176" s="1611"/>
      <c r="AD176" s="1606"/>
      <c r="AE176" s="1611"/>
      <c r="AF176" s="1606"/>
      <c r="AG176" s="1611"/>
      <c r="AH176" s="1606"/>
      <c r="AI176" s="1611"/>
      <c r="AJ176" s="1606"/>
      <c r="AK176" s="1611"/>
      <c r="AL176" s="1606"/>
      <c r="AM176" s="1612"/>
      <c r="AN176" s="1612"/>
      <c r="AO176" s="1613"/>
      <c r="AP176" s="1612"/>
      <c r="AQ176" s="1606"/>
      <c r="AR176" s="1606"/>
      <c r="AS176" s="1606"/>
      <c r="AT176" s="1606"/>
      <c r="AU176" s="1606"/>
      <c r="AV176" s="1606"/>
      <c r="AW176" s="1606"/>
      <c r="AX176" s="1606"/>
      <c r="AY176" s="1606"/>
      <c r="AZ176" s="1606"/>
      <c r="BA176" s="1606"/>
      <c r="BB176" s="1606"/>
      <c r="BC176" s="1606"/>
      <c r="BD176" s="1606"/>
      <c r="BE176" s="1612"/>
      <c r="BF176" s="1612"/>
      <c r="BG176" s="1613"/>
      <c r="BH176" s="1612"/>
      <c r="BI176" s="1612"/>
      <c r="BJ176" s="1612"/>
      <c r="BK176" s="1614"/>
      <c r="BL176" s="1614"/>
      <c r="BM176" s="1614"/>
      <c r="BN176" s="1614"/>
      <c r="BO176" s="1614"/>
      <c r="BP176" s="1614"/>
      <c r="BQ176" s="1614"/>
      <c r="BR176" s="1614"/>
      <c r="BS176" s="1614"/>
      <c r="BT176" s="1614"/>
      <c r="BU176" s="1614"/>
      <c r="BV176" s="1614"/>
      <c r="BW176" s="1612"/>
      <c r="BX176" s="1612"/>
      <c r="BY176" s="1613"/>
      <c r="BZ176" s="1612"/>
      <c r="CA176" s="1606"/>
      <c r="CB176" s="1606"/>
      <c r="CC176" s="1606"/>
      <c r="CD176" s="1606"/>
      <c r="CE176" s="1606"/>
      <c r="CF176" s="1606"/>
      <c r="CG176" s="1606"/>
      <c r="CH176" s="1606"/>
      <c r="CI176" s="1606"/>
      <c r="CJ176" s="1606"/>
      <c r="CK176" s="1606"/>
      <c r="CL176" s="1606"/>
      <c r="CM176" s="1606"/>
      <c r="CN176" s="1606"/>
      <c r="CO176" s="1615"/>
      <c r="CP176" s="1615"/>
      <c r="CQ176" s="1616"/>
      <c r="CR176" s="1615"/>
      <c r="CS176" s="1606"/>
      <c r="CT176" s="1606"/>
      <c r="CU176" s="1606"/>
      <c r="CV176" s="1606"/>
      <c r="CW176" s="1606"/>
      <c r="CX176" s="1606"/>
      <c r="CY176" s="1606"/>
      <c r="CZ176" s="1606"/>
      <c r="DA176" s="1606"/>
      <c r="DB176" s="1606"/>
      <c r="DC176" s="1606"/>
      <c r="DD176" s="1606"/>
      <c r="DE176" s="1606"/>
      <c r="DF176" s="1606"/>
      <c r="DG176" s="1615"/>
      <c r="DH176" s="1615"/>
      <c r="DI176" s="1616"/>
      <c r="DJ176" s="1615"/>
      <c r="DK176" s="1617"/>
      <c r="DL176" s="1617"/>
    </row>
    <row r="177" ht="26.25" customHeight="1">
      <c r="A177" s="1604"/>
      <c r="B177" s="1604"/>
      <c r="C177" s="1604"/>
      <c r="D177" s="1604"/>
      <c r="E177" s="1604"/>
      <c r="F177" s="1605"/>
      <c r="G177" s="1606"/>
      <c r="H177" s="1607"/>
      <c r="I177" s="1608"/>
      <c r="J177" s="1609"/>
      <c r="K177" s="1606"/>
      <c r="L177" s="1606"/>
      <c r="M177" s="1606"/>
      <c r="N177" s="1606"/>
      <c r="O177" s="1606"/>
      <c r="P177" s="1606"/>
      <c r="Q177" s="1606"/>
      <c r="R177" s="1606"/>
      <c r="S177" s="1606"/>
      <c r="T177" s="1606"/>
      <c r="U177" s="1606"/>
      <c r="V177" s="1606"/>
      <c r="W177" s="1607"/>
      <c r="X177" s="1608"/>
      <c r="Y177" s="1610"/>
      <c r="Z177" s="1606"/>
      <c r="AA177" s="1611"/>
      <c r="AB177" s="1606"/>
      <c r="AC177" s="1611"/>
      <c r="AD177" s="1606"/>
      <c r="AE177" s="1611"/>
      <c r="AF177" s="1606"/>
      <c r="AG177" s="1611"/>
      <c r="AH177" s="1606"/>
      <c r="AI177" s="1611"/>
      <c r="AJ177" s="1606"/>
      <c r="AK177" s="1611"/>
      <c r="AL177" s="1606"/>
      <c r="AM177" s="1612"/>
      <c r="AN177" s="1612"/>
      <c r="AO177" s="1613"/>
      <c r="AP177" s="1612"/>
      <c r="AQ177" s="1606"/>
      <c r="AR177" s="1606"/>
      <c r="AS177" s="1606"/>
      <c r="AT177" s="1606"/>
      <c r="AU177" s="1606"/>
      <c r="AV177" s="1606"/>
      <c r="AW177" s="1606"/>
      <c r="AX177" s="1606"/>
      <c r="AY177" s="1606"/>
      <c r="AZ177" s="1606"/>
      <c r="BA177" s="1606"/>
      <c r="BB177" s="1606"/>
      <c r="BC177" s="1606"/>
      <c r="BD177" s="1606"/>
      <c r="BE177" s="1612"/>
      <c r="BF177" s="1612"/>
      <c r="BG177" s="1613"/>
      <c r="BH177" s="1612"/>
      <c r="BI177" s="1612"/>
      <c r="BJ177" s="1612"/>
      <c r="BK177" s="1614"/>
      <c r="BL177" s="1614"/>
      <c r="BM177" s="1614"/>
      <c r="BN177" s="1614"/>
      <c r="BO177" s="1614"/>
      <c r="BP177" s="1614"/>
      <c r="BQ177" s="1614"/>
      <c r="BR177" s="1614"/>
      <c r="BS177" s="1614"/>
      <c r="BT177" s="1614"/>
      <c r="BU177" s="1614"/>
      <c r="BV177" s="1614"/>
      <c r="BW177" s="1612"/>
      <c r="BX177" s="1612"/>
      <c r="BY177" s="1613"/>
      <c r="BZ177" s="1612"/>
      <c r="CA177" s="1606"/>
      <c r="CB177" s="1606"/>
      <c r="CC177" s="1606"/>
      <c r="CD177" s="1606"/>
      <c r="CE177" s="1606"/>
      <c r="CF177" s="1606"/>
      <c r="CG177" s="1606"/>
      <c r="CH177" s="1606"/>
      <c r="CI177" s="1606"/>
      <c r="CJ177" s="1606"/>
      <c r="CK177" s="1606"/>
      <c r="CL177" s="1606"/>
      <c r="CM177" s="1606"/>
      <c r="CN177" s="1606"/>
      <c r="CO177" s="1615"/>
      <c r="CP177" s="1615"/>
      <c r="CQ177" s="1616"/>
      <c r="CR177" s="1615"/>
      <c r="CS177" s="1606"/>
      <c r="CT177" s="1606"/>
      <c r="CU177" s="1606"/>
      <c r="CV177" s="1606"/>
      <c r="CW177" s="1606"/>
      <c r="CX177" s="1606"/>
      <c r="CY177" s="1606"/>
      <c r="CZ177" s="1606"/>
      <c r="DA177" s="1606"/>
      <c r="DB177" s="1606"/>
      <c r="DC177" s="1606"/>
      <c r="DD177" s="1606"/>
      <c r="DE177" s="1606"/>
      <c r="DF177" s="1606"/>
      <c r="DG177" s="1615"/>
      <c r="DH177" s="1615"/>
      <c r="DI177" s="1616"/>
      <c r="DJ177" s="1615"/>
      <c r="DK177" s="1617"/>
      <c r="DL177" s="1617"/>
    </row>
    <row r="178" ht="26.25" customHeight="1">
      <c r="A178" s="1604"/>
      <c r="B178" s="1604"/>
      <c r="C178" s="1604"/>
      <c r="D178" s="1604"/>
      <c r="E178" s="1604"/>
      <c r="F178" s="1605"/>
      <c r="G178" s="1606"/>
      <c r="H178" s="1607"/>
      <c r="I178" s="1608"/>
      <c r="J178" s="1609"/>
      <c r="K178" s="1606"/>
      <c r="L178" s="1606"/>
      <c r="M178" s="1606"/>
      <c r="N178" s="1606"/>
      <c r="O178" s="1606"/>
      <c r="P178" s="1606"/>
      <c r="Q178" s="1606"/>
      <c r="R178" s="1606"/>
      <c r="S178" s="1606"/>
      <c r="T178" s="1606"/>
      <c r="U178" s="1606"/>
      <c r="V178" s="1606"/>
      <c r="W178" s="1607"/>
      <c r="X178" s="1608"/>
      <c r="Y178" s="1610"/>
      <c r="Z178" s="1606"/>
      <c r="AA178" s="1611"/>
      <c r="AB178" s="1606"/>
      <c r="AC178" s="1611"/>
      <c r="AD178" s="1606"/>
      <c r="AE178" s="1611"/>
      <c r="AF178" s="1606"/>
      <c r="AG178" s="1611"/>
      <c r="AH178" s="1606"/>
      <c r="AI178" s="1611"/>
      <c r="AJ178" s="1606"/>
      <c r="AK178" s="1611"/>
      <c r="AL178" s="1606"/>
      <c r="AM178" s="1612"/>
      <c r="AN178" s="1612"/>
      <c r="AO178" s="1613"/>
      <c r="AP178" s="1612"/>
      <c r="AQ178" s="1606"/>
      <c r="AR178" s="1606"/>
      <c r="AS178" s="1606"/>
      <c r="AT178" s="1606"/>
      <c r="AU178" s="1606"/>
      <c r="AV178" s="1606"/>
      <c r="AW178" s="1606"/>
      <c r="AX178" s="1606"/>
      <c r="AY178" s="1606"/>
      <c r="AZ178" s="1606"/>
      <c r="BA178" s="1606"/>
      <c r="BB178" s="1606"/>
      <c r="BC178" s="1606"/>
      <c r="BD178" s="1606"/>
      <c r="BE178" s="1612"/>
      <c r="BF178" s="1612"/>
      <c r="BG178" s="1613"/>
      <c r="BH178" s="1612"/>
      <c r="BI178" s="1612"/>
      <c r="BJ178" s="1612"/>
      <c r="BK178" s="1614"/>
      <c r="BL178" s="1614"/>
      <c r="BM178" s="1614"/>
      <c r="BN178" s="1614"/>
      <c r="BO178" s="1614"/>
      <c r="BP178" s="1614"/>
      <c r="BQ178" s="1614"/>
      <c r="BR178" s="1614"/>
      <c r="BS178" s="1614"/>
      <c r="BT178" s="1614"/>
      <c r="BU178" s="1614"/>
      <c r="BV178" s="1614"/>
      <c r="BW178" s="1612"/>
      <c r="BX178" s="1612"/>
      <c r="BY178" s="1613"/>
      <c r="BZ178" s="1612"/>
      <c r="CA178" s="1606"/>
      <c r="CB178" s="1606"/>
      <c r="CC178" s="1606"/>
      <c r="CD178" s="1606"/>
      <c r="CE178" s="1606"/>
      <c r="CF178" s="1606"/>
      <c r="CG178" s="1606"/>
      <c r="CH178" s="1606"/>
      <c r="CI178" s="1606"/>
      <c r="CJ178" s="1606"/>
      <c r="CK178" s="1606"/>
      <c r="CL178" s="1606"/>
      <c r="CM178" s="1606"/>
      <c r="CN178" s="1606"/>
      <c r="CO178" s="1615"/>
      <c r="CP178" s="1615"/>
      <c r="CQ178" s="1616"/>
      <c r="CR178" s="1615"/>
      <c r="CS178" s="1606"/>
      <c r="CT178" s="1606"/>
      <c r="CU178" s="1606"/>
      <c r="CV178" s="1606"/>
      <c r="CW178" s="1606"/>
      <c r="CX178" s="1606"/>
      <c r="CY178" s="1606"/>
      <c r="CZ178" s="1606"/>
      <c r="DA178" s="1606"/>
      <c r="DB178" s="1606"/>
      <c r="DC178" s="1606"/>
      <c r="DD178" s="1606"/>
      <c r="DE178" s="1606"/>
      <c r="DF178" s="1606"/>
      <c r="DG178" s="1615"/>
      <c r="DH178" s="1615"/>
      <c r="DI178" s="1616"/>
      <c r="DJ178" s="1615"/>
      <c r="DK178" s="1617"/>
      <c r="DL178" s="1617"/>
    </row>
    <row r="179" ht="26.25" customHeight="1">
      <c r="A179" s="1604"/>
      <c r="B179" s="1604"/>
      <c r="C179" s="1604"/>
      <c r="D179" s="1604"/>
      <c r="E179" s="1604"/>
      <c r="F179" s="1605"/>
      <c r="G179" s="1606"/>
      <c r="H179" s="1607"/>
      <c r="I179" s="1608"/>
      <c r="J179" s="1609"/>
      <c r="K179" s="1606"/>
      <c r="L179" s="1606"/>
      <c r="M179" s="1606"/>
      <c r="N179" s="1606"/>
      <c r="O179" s="1606"/>
      <c r="P179" s="1606"/>
      <c r="Q179" s="1606"/>
      <c r="R179" s="1606"/>
      <c r="S179" s="1606"/>
      <c r="T179" s="1606"/>
      <c r="U179" s="1606"/>
      <c r="V179" s="1606"/>
      <c r="W179" s="1607"/>
      <c r="X179" s="1608"/>
      <c r="Y179" s="1610"/>
      <c r="Z179" s="1606"/>
      <c r="AA179" s="1611"/>
      <c r="AB179" s="1606"/>
      <c r="AC179" s="1611"/>
      <c r="AD179" s="1606"/>
      <c r="AE179" s="1611"/>
      <c r="AF179" s="1606"/>
      <c r="AG179" s="1611"/>
      <c r="AH179" s="1606"/>
      <c r="AI179" s="1611"/>
      <c r="AJ179" s="1606"/>
      <c r="AK179" s="1611"/>
      <c r="AL179" s="1606"/>
      <c r="AM179" s="1612"/>
      <c r="AN179" s="1612"/>
      <c r="AO179" s="1613"/>
      <c r="AP179" s="1612"/>
      <c r="AQ179" s="1606"/>
      <c r="AR179" s="1606"/>
      <c r="AS179" s="1606"/>
      <c r="AT179" s="1606"/>
      <c r="AU179" s="1606"/>
      <c r="AV179" s="1606"/>
      <c r="AW179" s="1606"/>
      <c r="AX179" s="1606"/>
      <c r="AY179" s="1606"/>
      <c r="AZ179" s="1606"/>
      <c r="BA179" s="1606"/>
      <c r="BB179" s="1606"/>
      <c r="BC179" s="1606"/>
      <c r="BD179" s="1606"/>
      <c r="BE179" s="1612"/>
      <c r="BF179" s="1612"/>
      <c r="BG179" s="1613"/>
      <c r="BH179" s="1612"/>
      <c r="BI179" s="1612"/>
      <c r="BJ179" s="1612"/>
      <c r="BK179" s="1614"/>
      <c r="BL179" s="1614"/>
      <c r="BM179" s="1614"/>
      <c r="BN179" s="1614"/>
      <c r="BO179" s="1614"/>
      <c r="BP179" s="1614"/>
      <c r="BQ179" s="1614"/>
      <c r="BR179" s="1614"/>
      <c r="BS179" s="1614"/>
      <c r="BT179" s="1614"/>
      <c r="BU179" s="1614"/>
      <c r="BV179" s="1614"/>
      <c r="BW179" s="1612"/>
      <c r="BX179" s="1612"/>
      <c r="BY179" s="1613"/>
      <c r="BZ179" s="1612"/>
      <c r="CA179" s="1606"/>
      <c r="CB179" s="1606"/>
      <c r="CC179" s="1606"/>
      <c r="CD179" s="1606"/>
      <c r="CE179" s="1606"/>
      <c r="CF179" s="1606"/>
      <c r="CG179" s="1606"/>
      <c r="CH179" s="1606"/>
      <c r="CI179" s="1606"/>
      <c r="CJ179" s="1606"/>
      <c r="CK179" s="1606"/>
      <c r="CL179" s="1606"/>
      <c r="CM179" s="1606"/>
      <c r="CN179" s="1606"/>
      <c r="CO179" s="1615"/>
      <c r="CP179" s="1615"/>
      <c r="CQ179" s="1616"/>
      <c r="CR179" s="1615"/>
      <c r="CS179" s="1606"/>
      <c r="CT179" s="1606"/>
      <c r="CU179" s="1606"/>
      <c r="CV179" s="1606"/>
      <c r="CW179" s="1606"/>
      <c r="CX179" s="1606"/>
      <c r="CY179" s="1606"/>
      <c r="CZ179" s="1606"/>
      <c r="DA179" s="1606"/>
      <c r="DB179" s="1606"/>
      <c r="DC179" s="1606"/>
      <c r="DD179" s="1606"/>
      <c r="DE179" s="1606"/>
      <c r="DF179" s="1606"/>
      <c r="DG179" s="1615"/>
      <c r="DH179" s="1615"/>
      <c r="DI179" s="1616"/>
      <c r="DJ179" s="1615"/>
      <c r="DK179" s="1617"/>
      <c r="DL179" s="1617"/>
    </row>
    <row r="180" ht="26.25" customHeight="1">
      <c r="A180" s="1604"/>
      <c r="B180" s="1604"/>
      <c r="C180" s="1604"/>
      <c r="D180" s="1604"/>
      <c r="E180" s="1604"/>
      <c r="F180" s="1605"/>
      <c r="G180" s="1606"/>
      <c r="H180" s="1607"/>
      <c r="I180" s="1608"/>
      <c r="J180" s="1609"/>
      <c r="K180" s="1606"/>
      <c r="L180" s="1606"/>
      <c r="M180" s="1606"/>
      <c r="N180" s="1606"/>
      <c r="O180" s="1606"/>
      <c r="P180" s="1606"/>
      <c r="Q180" s="1606"/>
      <c r="R180" s="1606"/>
      <c r="S180" s="1606"/>
      <c r="T180" s="1606"/>
      <c r="U180" s="1606"/>
      <c r="V180" s="1606"/>
      <c r="W180" s="1607"/>
      <c r="X180" s="1608"/>
      <c r="Y180" s="1610"/>
      <c r="Z180" s="1606"/>
      <c r="AA180" s="1611"/>
      <c r="AB180" s="1606"/>
      <c r="AC180" s="1611"/>
      <c r="AD180" s="1606"/>
      <c r="AE180" s="1611"/>
      <c r="AF180" s="1606"/>
      <c r="AG180" s="1611"/>
      <c r="AH180" s="1606"/>
      <c r="AI180" s="1611"/>
      <c r="AJ180" s="1606"/>
      <c r="AK180" s="1611"/>
      <c r="AL180" s="1606"/>
      <c r="AM180" s="1612"/>
      <c r="AN180" s="1612"/>
      <c r="AO180" s="1613"/>
      <c r="AP180" s="1612"/>
      <c r="AQ180" s="1606"/>
      <c r="AR180" s="1606"/>
      <c r="AS180" s="1606"/>
      <c r="AT180" s="1606"/>
      <c r="AU180" s="1606"/>
      <c r="AV180" s="1606"/>
      <c r="AW180" s="1606"/>
      <c r="AX180" s="1606"/>
      <c r="AY180" s="1606"/>
      <c r="AZ180" s="1606"/>
      <c r="BA180" s="1606"/>
      <c r="BB180" s="1606"/>
      <c r="BC180" s="1606"/>
      <c r="BD180" s="1606"/>
      <c r="BE180" s="1612"/>
      <c r="BF180" s="1612"/>
      <c r="BG180" s="1613"/>
      <c r="BH180" s="1612"/>
      <c r="BI180" s="1612"/>
      <c r="BJ180" s="1612"/>
      <c r="BK180" s="1614"/>
      <c r="BL180" s="1614"/>
      <c r="BM180" s="1614"/>
      <c r="BN180" s="1614"/>
      <c r="BO180" s="1614"/>
      <c r="BP180" s="1614"/>
      <c r="BQ180" s="1614"/>
      <c r="BR180" s="1614"/>
      <c r="BS180" s="1614"/>
      <c r="BT180" s="1614"/>
      <c r="BU180" s="1614"/>
      <c r="BV180" s="1614"/>
      <c r="BW180" s="1612"/>
      <c r="BX180" s="1612"/>
      <c r="BY180" s="1613"/>
      <c r="BZ180" s="1612"/>
      <c r="CA180" s="1606"/>
      <c r="CB180" s="1606"/>
      <c r="CC180" s="1606"/>
      <c r="CD180" s="1606"/>
      <c r="CE180" s="1606"/>
      <c r="CF180" s="1606"/>
      <c r="CG180" s="1606"/>
      <c r="CH180" s="1606"/>
      <c r="CI180" s="1606"/>
      <c r="CJ180" s="1606"/>
      <c r="CK180" s="1606"/>
      <c r="CL180" s="1606"/>
      <c r="CM180" s="1606"/>
      <c r="CN180" s="1606"/>
      <c r="CO180" s="1615"/>
      <c r="CP180" s="1615"/>
      <c r="CQ180" s="1616"/>
      <c r="CR180" s="1615"/>
      <c r="CS180" s="1606"/>
      <c r="CT180" s="1606"/>
      <c r="CU180" s="1606"/>
      <c r="CV180" s="1606"/>
      <c r="CW180" s="1606"/>
      <c r="CX180" s="1606"/>
      <c r="CY180" s="1606"/>
      <c r="CZ180" s="1606"/>
      <c r="DA180" s="1606"/>
      <c r="DB180" s="1606"/>
      <c r="DC180" s="1606"/>
      <c r="DD180" s="1606"/>
      <c r="DE180" s="1606"/>
      <c r="DF180" s="1606"/>
      <c r="DG180" s="1615"/>
      <c r="DH180" s="1615"/>
      <c r="DI180" s="1616"/>
      <c r="DJ180" s="1615"/>
      <c r="DK180" s="1617"/>
      <c r="DL180" s="1617"/>
    </row>
    <row r="181" ht="26.25" customHeight="1">
      <c r="A181" s="1604"/>
      <c r="B181" s="1604"/>
      <c r="C181" s="1604"/>
      <c r="D181" s="1604"/>
      <c r="E181" s="1604"/>
      <c r="F181" s="1605"/>
      <c r="G181" s="1606"/>
      <c r="H181" s="1607"/>
      <c r="I181" s="1608"/>
      <c r="J181" s="1609"/>
      <c r="K181" s="1606"/>
      <c r="L181" s="1606"/>
      <c r="M181" s="1606"/>
      <c r="N181" s="1606"/>
      <c r="O181" s="1606"/>
      <c r="P181" s="1606"/>
      <c r="Q181" s="1606"/>
      <c r="R181" s="1606"/>
      <c r="S181" s="1606"/>
      <c r="T181" s="1606"/>
      <c r="U181" s="1606"/>
      <c r="V181" s="1606"/>
      <c r="W181" s="1607"/>
      <c r="X181" s="1608"/>
      <c r="Y181" s="1610"/>
      <c r="Z181" s="1606"/>
      <c r="AA181" s="1611"/>
      <c r="AB181" s="1606"/>
      <c r="AC181" s="1611"/>
      <c r="AD181" s="1606"/>
      <c r="AE181" s="1611"/>
      <c r="AF181" s="1606"/>
      <c r="AG181" s="1611"/>
      <c r="AH181" s="1606"/>
      <c r="AI181" s="1611"/>
      <c r="AJ181" s="1606"/>
      <c r="AK181" s="1611"/>
      <c r="AL181" s="1606"/>
      <c r="AM181" s="1612"/>
      <c r="AN181" s="1612"/>
      <c r="AO181" s="1613"/>
      <c r="AP181" s="1612"/>
      <c r="AQ181" s="1606"/>
      <c r="AR181" s="1606"/>
      <c r="AS181" s="1606"/>
      <c r="AT181" s="1606"/>
      <c r="AU181" s="1606"/>
      <c r="AV181" s="1606"/>
      <c r="AW181" s="1606"/>
      <c r="AX181" s="1606"/>
      <c r="AY181" s="1606"/>
      <c r="AZ181" s="1606"/>
      <c r="BA181" s="1606"/>
      <c r="BB181" s="1606"/>
      <c r="BC181" s="1606"/>
      <c r="BD181" s="1606"/>
      <c r="BE181" s="1612"/>
      <c r="BF181" s="1612"/>
      <c r="BG181" s="1613"/>
      <c r="BH181" s="1612"/>
      <c r="BI181" s="1612"/>
      <c r="BJ181" s="1612"/>
      <c r="BK181" s="1614"/>
      <c r="BL181" s="1614"/>
      <c r="BM181" s="1614"/>
      <c r="BN181" s="1614"/>
      <c r="BO181" s="1614"/>
      <c r="BP181" s="1614"/>
      <c r="BQ181" s="1614"/>
      <c r="BR181" s="1614"/>
      <c r="BS181" s="1614"/>
      <c r="BT181" s="1614"/>
      <c r="BU181" s="1614"/>
      <c r="BV181" s="1614"/>
      <c r="BW181" s="1612"/>
      <c r="BX181" s="1612"/>
      <c r="BY181" s="1613"/>
      <c r="BZ181" s="1612"/>
      <c r="CA181" s="1606"/>
      <c r="CB181" s="1606"/>
      <c r="CC181" s="1606"/>
      <c r="CD181" s="1606"/>
      <c r="CE181" s="1606"/>
      <c r="CF181" s="1606"/>
      <c r="CG181" s="1606"/>
      <c r="CH181" s="1606"/>
      <c r="CI181" s="1606"/>
      <c r="CJ181" s="1606"/>
      <c r="CK181" s="1606"/>
      <c r="CL181" s="1606"/>
      <c r="CM181" s="1606"/>
      <c r="CN181" s="1606"/>
      <c r="CO181" s="1615"/>
      <c r="CP181" s="1615"/>
      <c r="CQ181" s="1616"/>
      <c r="CR181" s="1615"/>
      <c r="CS181" s="1606"/>
      <c r="CT181" s="1606"/>
      <c r="CU181" s="1606"/>
      <c r="CV181" s="1606"/>
      <c r="CW181" s="1606"/>
      <c r="CX181" s="1606"/>
      <c r="CY181" s="1606"/>
      <c r="CZ181" s="1606"/>
      <c r="DA181" s="1606"/>
      <c r="DB181" s="1606"/>
      <c r="DC181" s="1606"/>
      <c r="DD181" s="1606"/>
      <c r="DE181" s="1606"/>
      <c r="DF181" s="1606"/>
      <c r="DG181" s="1615"/>
      <c r="DH181" s="1615"/>
      <c r="DI181" s="1616"/>
      <c r="DJ181" s="1615"/>
      <c r="DK181" s="1617"/>
      <c r="DL181" s="1617"/>
    </row>
    <row r="182" ht="26.25" customHeight="1">
      <c r="A182" s="1604"/>
      <c r="B182" s="1604"/>
      <c r="C182" s="1604"/>
      <c r="D182" s="1604"/>
      <c r="E182" s="1604"/>
      <c r="F182" s="1605"/>
      <c r="G182" s="1606"/>
      <c r="H182" s="1607"/>
      <c r="I182" s="1608"/>
      <c r="J182" s="1609"/>
      <c r="K182" s="1606"/>
      <c r="L182" s="1606"/>
      <c r="M182" s="1606"/>
      <c r="N182" s="1606"/>
      <c r="O182" s="1606"/>
      <c r="P182" s="1606"/>
      <c r="Q182" s="1606"/>
      <c r="R182" s="1606"/>
      <c r="S182" s="1606"/>
      <c r="T182" s="1606"/>
      <c r="U182" s="1606"/>
      <c r="V182" s="1606"/>
      <c r="W182" s="1607"/>
      <c r="X182" s="1608"/>
      <c r="Y182" s="1610"/>
      <c r="Z182" s="1606"/>
      <c r="AA182" s="1611"/>
      <c r="AB182" s="1606"/>
      <c r="AC182" s="1611"/>
      <c r="AD182" s="1606"/>
      <c r="AE182" s="1611"/>
      <c r="AF182" s="1606"/>
      <c r="AG182" s="1611"/>
      <c r="AH182" s="1606"/>
      <c r="AI182" s="1611"/>
      <c r="AJ182" s="1606"/>
      <c r="AK182" s="1611"/>
      <c r="AL182" s="1606"/>
      <c r="AM182" s="1612"/>
      <c r="AN182" s="1612"/>
      <c r="AO182" s="1613"/>
      <c r="AP182" s="1612"/>
      <c r="AQ182" s="1606"/>
      <c r="AR182" s="1606"/>
      <c r="AS182" s="1606"/>
      <c r="AT182" s="1606"/>
      <c r="AU182" s="1606"/>
      <c r="AV182" s="1606"/>
      <c r="AW182" s="1606"/>
      <c r="AX182" s="1606"/>
      <c r="AY182" s="1606"/>
      <c r="AZ182" s="1606"/>
      <c r="BA182" s="1606"/>
      <c r="BB182" s="1606"/>
      <c r="BC182" s="1606"/>
      <c r="BD182" s="1606"/>
      <c r="BE182" s="1612"/>
      <c r="BF182" s="1612"/>
      <c r="BG182" s="1613"/>
      <c r="BH182" s="1612"/>
      <c r="BI182" s="1612"/>
      <c r="BJ182" s="1612"/>
      <c r="BK182" s="1614"/>
      <c r="BL182" s="1614"/>
      <c r="BM182" s="1614"/>
      <c r="BN182" s="1614"/>
      <c r="BO182" s="1614"/>
      <c r="BP182" s="1614"/>
      <c r="BQ182" s="1614"/>
      <c r="BR182" s="1614"/>
      <c r="BS182" s="1614"/>
      <c r="BT182" s="1614"/>
      <c r="BU182" s="1614"/>
      <c r="BV182" s="1614"/>
      <c r="BW182" s="1612"/>
      <c r="BX182" s="1612"/>
      <c r="BY182" s="1613"/>
      <c r="BZ182" s="1612"/>
      <c r="CA182" s="1606"/>
      <c r="CB182" s="1606"/>
      <c r="CC182" s="1606"/>
      <c r="CD182" s="1606"/>
      <c r="CE182" s="1606"/>
      <c r="CF182" s="1606"/>
      <c r="CG182" s="1606"/>
      <c r="CH182" s="1606"/>
      <c r="CI182" s="1606"/>
      <c r="CJ182" s="1606"/>
      <c r="CK182" s="1606"/>
      <c r="CL182" s="1606"/>
      <c r="CM182" s="1606"/>
      <c r="CN182" s="1606"/>
      <c r="CO182" s="1615"/>
      <c r="CP182" s="1615"/>
      <c r="CQ182" s="1616"/>
      <c r="CR182" s="1615"/>
      <c r="CS182" s="1606"/>
      <c r="CT182" s="1606"/>
      <c r="CU182" s="1606"/>
      <c r="CV182" s="1606"/>
      <c r="CW182" s="1606"/>
      <c r="CX182" s="1606"/>
      <c r="CY182" s="1606"/>
      <c r="CZ182" s="1606"/>
      <c r="DA182" s="1606"/>
      <c r="DB182" s="1606"/>
      <c r="DC182" s="1606"/>
      <c r="DD182" s="1606"/>
      <c r="DE182" s="1606"/>
      <c r="DF182" s="1606"/>
      <c r="DG182" s="1615"/>
      <c r="DH182" s="1615"/>
      <c r="DI182" s="1616"/>
      <c r="DJ182" s="1615"/>
      <c r="DK182" s="1617"/>
      <c r="DL182" s="1617"/>
    </row>
    <row r="183" ht="26.25" customHeight="1">
      <c r="A183" s="1604"/>
      <c r="B183" s="1604"/>
      <c r="C183" s="1604"/>
      <c r="D183" s="1604"/>
      <c r="E183" s="1604"/>
      <c r="F183" s="1605"/>
      <c r="G183" s="1606"/>
      <c r="H183" s="1607"/>
      <c r="I183" s="1608"/>
      <c r="J183" s="1609"/>
      <c r="K183" s="1606"/>
      <c r="L183" s="1606"/>
      <c r="M183" s="1606"/>
      <c r="N183" s="1606"/>
      <c r="O183" s="1606"/>
      <c r="P183" s="1606"/>
      <c r="Q183" s="1606"/>
      <c r="R183" s="1606"/>
      <c r="S183" s="1606"/>
      <c r="T183" s="1606"/>
      <c r="U183" s="1606"/>
      <c r="V183" s="1606"/>
      <c r="W183" s="1607"/>
      <c r="X183" s="1608"/>
      <c r="Y183" s="1610"/>
      <c r="Z183" s="1606"/>
      <c r="AA183" s="1611"/>
      <c r="AB183" s="1606"/>
      <c r="AC183" s="1611"/>
      <c r="AD183" s="1606"/>
      <c r="AE183" s="1611"/>
      <c r="AF183" s="1606"/>
      <c r="AG183" s="1611"/>
      <c r="AH183" s="1606"/>
      <c r="AI183" s="1611"/>
      <c r="AJ183" s="1606"/>
      <c r="AK183" s="1611"/>
      <c r="AL183" s="1606"/>
      <c r="AM183" s="1612"/>
      <c r="AN183" s="1612"/>
      <c r="AO183" s="1613"/>
      <c r="AP183" s="1612"/>
      <c r="AQ183" s="1606"/>
      <c r="AR183" s="1606"/>
      <c r="AS183" s="1606"/>
      <c r="AT183" s="1606"/>
      <c r="AU183" s="1606"/>
      <c r="AV183" s="1606"/>
      <c r="AW183" s="1606"/>
      <c r="AX183" s="1606"/>
      <c r="AY183" s="1606"/>
      <c r="AZ183" s="1606"/>
      <c r="BA183" s="1606"/>
      <c r="BB183" s="1606"/>
      <c r="BC183" s="1606"/>
      <c r="BD183" s="1606"/>
      <c r="BE183" s="1612"/>
      <c r="BF183" s="1612"/>
      <c r="BG183" s="1613"/>
      <c r="BH183" s="1612"/>
      <c r="BI183" s="1612"/>
      <c r="BJ183" s="1612"/>
      <c r="BK183" s="1614"/>
      <c r="BL183" s="1614"/>
      <c r="BM183" s="1614"/>
      <c r="BN183" s="1614"/>
      <c r="BO183" s="1614"/>
      <c r="BP183" s="1614"/>
      <c r="BQ183" s="1614"/>
      <c r="BR183" s="1614"/>
      <c r="BS183" s="1614"/>
      <c r="BT183" s="1614"/>
      <c r="BU183" s="1614"/>
      <c r="BV183" s="1614"/>
      <c r="BW183" s="1612"/>
      <c r="BX183" s="1612"/>
      <c r="BY183" s="1613"/>
      <c r="BZ183" s="1612"/>
      <c r="CA183" s="1606"/>
      <c r="CB183" s="1606"/>
      <c r="CC183" s="1606"/>
      <c r="CD183" s="1606"/>
      <c r="CE183" s="1606"/>
      <c r="CF183" s="1606"/>
      <c r="CG183" s="1606"/>
      <c r="CH183" s="1606"/>
      <c r="CI183" s="1606"/>
      <c r="CJ183" s="1606"/>
      <c r="CK183" s="1606"/>
      <c r="CL183" s="1606"/>
      <c r="CM183" s="1606"/>
      <c r="CN183" s="1606"/>
      <c r="CO183" s="1615"/>
      <c r="CP183" s="1615"/>
      <c r="CQ183" s="1616"/>
      <c r="CR183" s="1615"/>
      <c r="CS183" s="1606"/>
      <c r="CT183" s="1606"/>
      <c r="CU183" s="1606"/>
      <c r="CV183" s="1606"/>
      <c r="CW183" s="1606"/>
      <c r="CX183" s="1606"/>
      <c r="CY183" s="1606"/>
      <c r="CZ183" s="1606"/>
      <c r="DA183" s="1606"/>
      <c r="DB183" s="1606"/>
      <c r="DC183" s="1606"/>
      <c r="DD183" s="1606"/>
      <c r="DE183" s="1606"/>
      <c r="DF183" s="1606"/>
      <c r="DG183" s="1615"/>
      <c r="DH183" s="1615"/>
      <c r="DI183" s="1616"/>
      <c r="DJ183" s="1615"/>
      <c r="DK183" s="1617"/>
      <c r="DL183" s="1617"/>
    </row>
    <row r="184" ht="26.25" customHeight="1">
      <c r="A184" s="1604"/>
      <c r="B184" s="1604"/>
      <c r="C184" s="1604"/>
      <c r="D184" s="1604"/>
      <c r="E184" s="1604"/>
      <c r="F184" s="1605"/>
      <c r="G184" s="1606"/>
      <c r="H184" s="1607"/>
      <c r="I184" s="1608"/>
      <c r="J184" s="1609"/>
      <c r="K184" s="1606"/>
      <c r="L184" s="1606"/>
      <c r="M184" s="1606"/>
      <c r="N184" s="1606"/>
      <c r="O184" s="1606"/>
      <c r="P184" s="1606"/>
      <c r="Q184" s="1606"/>
      <c r="R184" s="1606"/>
      <c r="S184" s="1606"/>
      <c r="T184" s="1606"/>
      <c r="U184" s="1606"/>
      <c r="V184" s="1606"/>
      <c r="W184" s="1607"/>
      <c r="X184" s="1608"/>
      <c r="Y184" s="1607">
        <v>1.6350159999999998</v>
      </c>
      <c r="Z184" s="1606"/>
      <c r="AA184" s="1618">
        <v>1.6350159999999998</v>
      </c>
      <c r="AB184" s="1606"/>
      <c r="AC184" s="1618">
        <v>1.6350159999999998</v>
      </c>
      <c r="AD184" s="1606"/>
      <c r="AE184" s="1618">
        <v>1.6350159999999998</v>
      </c>
      <c r="AF184" s="1606"/>
      <c r="AG184" s="1618">
        <v>1.6350159999999998</v>
      </c>
      <c r="AH184" s="1606"/>
      <c r="AI184" s="1618">
        <v>1.6350159999999998</v>
      </c>
      <c r="AJ184" s="1606"/>
      <c r="AK184" s="1618">
        <v>1.6350159999999998</v>
      </c>
      <c r="AL184" s="1606"/>
      <c r="AM184" s="1612"/>
      <c r="AN184" s="1612"/>
      <c r="AO184" s="1613"/>
      <c r="AP184" s="1612"/>
      <c r="AQ184" s="1606"/>
      <c r="AR184" s="1606"/>
      <c r="AS184" s="1606"/>
      <c r="AT184" s="1606"/>
      <c r="AU184" s="1606"/>
      <c r="AV184" s="1606"/>
      <c r="AW184" s="1606"/>
      <c r="AX184" s="1606"/>
      <c r="AY184" s="1606"/>
      <c r="AZ184" s="1606"/>
      <c r="BA184" s="1606"/>
      <c r="BB184" s="1606"/>
      <c r="BC184" s="1606"/>
      <c r="BD184" s="1606"/>
      <c r="BE184" s="1612"/>
      <c r="BF184" s="1612"/>
      <c r="BG184" s="1613"/>
      <c r="BH184" s="1612"/>
      <c r="BI184" s="1612"/>
      <c r="BJ184" s="1612"/>
      <c r="BK184" s="1614"/>
      <c r="BL184" s="1614"/>
      <c r="BM184" s="1614"/>
      <c r="BN184" s="1614"/>
      <c r="BO184" s="1614"/>
      <c r="BP184" s="1614"/>
      <c r="BQ184" s="1614"/>
      <c r="BR184" s="1614"/>
      <c r="BS184" s="1614"/>
      <c r="BT184" s="1614"/>
      <c r="BU184" s="1614"/>
      <c r="BV184" s="1614"/>
      <c r="BW184" s="1612"/>
      <c r="BX184" s="1612"/>
      <c r="BY184" s="1613"/>
      <c r="BZ184" s="1612"/>
      <c r="CA184" s="1606"/>
      <c r="CB184" s="1606"/>
      <c r="CC184" s="1606"/>
      <c r="CD184" s="1606"/>
      <c r="CE184" s="1606"/>
      <c r="CF184" s="1606"/>
      <c r="CG184" s="1606"/>
      <c r="CH184" s="1606"/>
      <c r="CI184" s="1606"/>
      <c r="CJ184" s="1606"/>
      <c r="CK184" s="1606"/>
      <c r="CL184" s="1606"/>
      <c r="CM184" s="1606"/>
      <c r="CN184" s="1606"/>
      <c r="CO184" s="1615"/>
      <c r="CP184" s="1615"/>
      <c r="CQ184" s="1615"/>
      <c r="CR184" s="1615"/>
      <c r="CS184" s="1606"/>
      <c r="CT184" s="1606"/>
      <c r="CU184" s="1606"/>
      <c r="CV184" s="1606"/>
      <c r="CW184" s="1606"/>
      <c r="CX184" s="1606"/>
      <c r="CY184" s="1606"/>
      <c r="CZ184" s="1606"/>
      <c r="DA184" s="1606"/>
      <c r="DB184" s="1606"/>
      <c r="DC184" s="1606"/>
      <c r="DD184" s="1606"/>
      <c r="DE184" s="1606"/>
      <c r="DF184" s="1606"/>
      <c r="DG184" s="1615"/>
      <c r="DH184" s="1615"/>
      <c r="DI184" s="1615"/>
      <c r="DJ184" s="1615"/>
      <c r="DK184" s="1617"/>
      <c r="DL184" s="1617"/>
    </row>
    <row r="185" ht="26.25" customHeight="1">
      <c r="A185" s="1604"/>
      <c r="B185" s="1604"/>
      <c r="C185" s="1604"/>
      <c r="D185" s="1604"/>
      <c r="E185" s="1604"/>
      <c r="F185" s="1605"/>
      <c r="G185" s="1606"/>
      <c r="H185" s="1607"/>
      <c r="I185" s="1608"/>
      <c r="J185" s="1609"/>
      <c r="K185" s="1606"/>
      <c r="L185" s="1606"/>
      <c r="M185" s="1606"/>
      <c r="N185" s="1606"/>
      <c r="O185" s="1606"/>
      <c r="P185" s="1606"/>
      <c r="Q185" s="1606"/>
      <c r="R185" s="1606"/>
      <c r="S185" s="1606"/>
      <c r="T185" s="1606"/>
      <c r="U185" s="1606"/>
      <c r="V185" s="1606"/>
      <c r="W185" s="1607"/>
      <c r="X185" s="1608"/>
      <c r="Y185" s="1619">
        <v>54500.53333333333</v>
      </c>
      <c r="Z185" s="1606"/>
      <c r="AA185" s="1620">
        <v>54500.53333333333</v>
      </c>
      <c r="AB185" s="1606"/>
      <c r="AC185" s="1620">
        <v>54500.53333333333</v>
      </c>
      <c r="AD185" s="1606"/>
      <c r="AE185" s="1620">
        <v>54500.53333333333</v>
      </c>
      <c r="AF185" s="1606"/>
      <c r="AG185" s="1620">
        <v>54500.53333333333</v>
      </c>
      <c r="AH185" s="1606"/>
      <c r="AI185" s="1620">
        <v>54500.53333333333</v>
      </c>
      <c r="AJ185" s="1606"/>
      <c r="AK185" s="1620">
        <v>54500.53333333333</v>
      </c>
      <c r="AL185" s="1606"/>
      <c r="AM185" s="1612"/>
      <c r="AN185" s="1612"/>
      <c r="AO185" s="1613"/>
      <c r="AP185" s="1612"/>
      <c r="AQ185" s="1606"/>
      <c r="AR185" s="1606"/>
      <c r="AS185" s="1606"/>
      <c r="AT185" s="1606"/>
      <c r="AU185" s="1606"/>
      <c r="AV185" s="1606"/>
      <c r="AW185" s="1606"/>
      <c r="AX185" s="1606"/>
      <c r="AY185" s="1606"/>
      <c r="AZ185" s="1606"/>
      <c r="BA185" s="1606"/>
      <c r="BB185" s="1606"/>
      <c r="BC185" s="1606"/>
      <c r="BD185" s="1606"/>
      <c r="BE185" s="1612"/>
      <c r="BF185" s="1612"/>
      <c r="BG185" s="1613"/>
      <c r="BH185" s="1612"/>
      <c r="BI185" s="1612"/>
      <c r="BJ185" s="1612"/>
      <c r="BK185" s="1614"/>
      <c r="BL185" s="1614"/>
      <c r="BM185" s="1614"/>
      <c r="BN185" s="1614"/>
      <c r="BO185" s="1614"/>
      <c r="BP185" s="1614"/>
      <c r="BQ185" s="1614"/>
      <c r="BR185" s="1614"/>
      <c r="BS185" s="1614"/>
      <c r="BT185" s="1614"/>
      <c r="BU185" s="1614"/>
      <c r="BV185" s="1614"/>
      <c r="BW185" s="1612"/>
      <c r="BX185" s="1612"/>
      <c r="BY185" s="1613"/>
      <c r="BZ185" s="1612"/>
      <c r="CA185" s="1606"/>
      <c r="CB185" s="1606"/>
      <c r="CC185" s="1606"/>
      <c r="CD185" s="1606"/>
      <c r="CE185" s="1606"/>
      <c r="CF185" s="1606"/>
      <c r="CG185" s="1606"/>
      <c r="CH185" s="1606"/>
      <c r="CI185" s="1606"/>
      <c r="CJ185" s="1606"/>
      <c r="CK185" s="1606"/>
      <c r="CL185" s="1606"/>
      <c r="CM185" s="1606"/>
      <c r="CN185" s="1606"/>
      <c r="CO185" s="1615"/>
      <c r="CP185" s="1615"/>
      <c r="CQ185" s="1616"/>
      <c r="CR185" s="1615"/>
      <c r="CS185" s="1606"/>
      <c r="CT185" s="1606"/>
      <c r="CU185" s="1606"/>
      <c r="CV185" s="1606"/>
      <c r="CW185" s="1606"/>
      <c r="CX185" s="1606"/>
      <c r="CY185" s="1606"/>
      <c r="CZ185" s="1606"/>
      <c r="DA185" s="1606"/>
      <c r="DB185" s="1606"/>
      <c r="DC185" s="1606"/>
      <c r="DD185" s="1606"/>
      <c r="DE185" s="1606"/>
      <c r="DF185" s="1606"/>
      <c r="DG185" s="1615"/>
      <c r="DH185" s="1615"/>
      <c r="DI185" s="1616"/>
      <c r="DJ185" s="1615"/>
      <c r="DK185" s="1617"/>
      <c r="DL185" s="1617"/>
    </row>
    <row r="186" ht="26.25" customHeight="1">
      <c r="A186" s="1604"/>
      <c r="B186" s="1604"/>
      <c r="C186" s="1604"/>
      <c r="D186" s="1604"/>
      <c r="E186" s="1604"/>
      <c r="F186" s="1605"/>
      <c r="G186" s="1606"/>
      <c r="H186" s="1607"/>
      <c r="I186" s="1608"/>
      <c r="J186" s="1609"/>
      <c r="K186" s="1606"/>
      <c r="L186" s="1606"/>
      <c r="M186" s="1606"/>
      <c r="N186" s="1606"/>
      <c r="O186" s="1606"/>
      <c r="P186" s="1606"/>
      <c r="Q186" s="1606"/>
      <c r="R186" s="1606"/>
      <c r="S186" s="1606"/>
      <c r="T186" s="1606"/>
      <c r="U186" s="1606"/>
      <c r="V186" s="1606"/>
      <c r="W186" s="1607"/>
      <c r="X186" s="1608"/>
      <c r="Y186" s="1621">
        <v>0.8333333333333334</v>
      </c>
      <c r="Z186" s="1606"/>
      <c r="AA186" s="1622">
        <v>0.8333333333333334</v>
      </c>
      <c r="AB186" s="1606"/>
      <c r="AC186" s="1622">
        <v>0.8333333333333334</v>
      </c>
      <c r="AD186" s="1606"/>
      <c r="AE186" s="1622">
        <v>0.8333333333333334</v>
      </c>
      <c r="AF186" s="1606"/>
      <c r="AG186" s="1622">
        <v>0.8333333333333334</v>
      </c>
      <c r="AH186" s="1606"/>
      <c r="AI186" s="1622">
        <v>0.8333333333333334</v>
      </c>
      <c r="AJ186" s="1606"/>
      <c r="AK186" s="1622">
        <v>0.8333333333333334</v>
      </c>
      <c r="AL186" s="1606"/>
      <c r="AM186" s="1612"/>
      <c r="AN186" s="1612"/>
      <c r="AO186" s="1613"/>
      <c r="AP186" s="1612"/>
      <c r="AQ186" s="1606"/>
      <c r="AR186" s="1606"/>
      <c r="AS186" s="1606"/>
      <c r="AT186" s="1606"/>
      <c r="AU186" s="1606"/>
      <c r="AV186" s="1606"/>
      <c r="AW186" s="1606"/>
      <c r="AX186" s="1606"/>
      <c r="AY186" s="1606"/>
      <c r="AZ186" s="1606"/>
      <c r="BA186" s="1606"/>
      <c r="BB186" s="1606"/>
      <c r="BC186" s="1606"/>
      <c r="BD186" s="1606"/>
      <c r="BE186" s="1612"/>
      <c r="BF186" s="1612"/>
      <c r="BG186" s="1613"/>
      <c r="BH186" s="1612"/>
      <c r="BI186" s="1612"/>
      <c r="BJ186" s="1612"/>
      <c r="BK186" s="1614"/>
      <c r="BL186" s="1614"/>
      <c r="BM186" s="1614"/>
      <c r="BN186" s="1614"/>
      <c r="BO186" s="1614"/>
      <c r="BP186" s="1614"/>
      <c r="BQ186" s="1614"/>
      <c r="BR186" s="1614"/>
      <c r="BS186" s="1614"/>
      <c r="BT186" s="1614"/>
      <c r="BU186" s="1614"/>
      <c r="BV186" s="1614"/>
      <c r="BW186" s="1612"/>
      <c r="BX186" s="1612"/>
      <c r="BY186" s="1613"/>
      <c r="BZ186" s="1612"/>
      <c r="CA186" s="1606"/>
      <c r="CB186" s="1606"/>
      <c r="CC186" s="1606"/>
      <c r="CD186" s="1606"/>
      <c r="CE186" s="1606"/>
      <c r="CF186" s="1606"/>
      <c r="CG186" s="1606"/>
      <c r="CH186" s="1606"/>
      <c r="CI186" s="1606"/>
      <c r="CJ186" s="1606"/>
      <c r="CK186" s="1606"/>
      <c r="CL186" s="1606"/>
      <c r="CM186" s="1606"/>
      <c r="CN186" s="1606"/>
      <c r="CO186" s="1615"/>
      <c r="CP186" s="1615"/>
      <c r="CQ186" s="1616"/>
      <c r="CR186" s="1615"/>
      <c r="CS186" s="1606"/>
      <c r="CT186" s="1606"/>
      <c r="CU186" s="1606"/>
      <c r="CV186" s="1606"/>
      <c r="CW186" s="1606"/>
      <c r="CX186" s="1606"/>
      <c r="CY186" s="1606"/>
      <c r="CZ186" s="1606"/>
      <c r="DA186" s="1606"/>
      <c r="DB186" s="1606"/>
      <c r="DC186" s="1606"/>
      <c r="DD186" s="1606"/>
      <c r="DE186" s="1606"/>
      <c r="DF186" s="1606"/>
      <c r="DG186" s="1615"/>
      <c r="DH186" s="1615"/>
      <c r="DI186" s="1616"/>
      <c r="DJ186" s="1615"/>
      <c r="DK186" s="1617"/>
      <c r="DL186" s="1617"/>
    </row>
    <row r="187" ht="26.25" customHeight="1">
      <c r="A187" s="1604"/>
      <c r="B187" s="1604"/>
      <c r="C187" s="1604"/>
      <c r="D187" s="1604"/>
      <c r="E187" s="1604"/>
      <c r="F187" s="1605"/>
      <c r="G187" s="1606"/>
      <c r="H187" s="1607"/>
      <c r="I187" s="1608"/>
      <c r="J187" s="1609"/>
      <c r="K187" s="1606"/>
      <c r="L187" s="1606"/>
      <c r="M187" s="1606"/>
      <c r="N187" s="1606"/>
      <c r="O187" s="1606"/>
      <c r="P187" s="1606"/>
      <c r="Q187" s="1606"/>
      <c r="R187" s="1606"/>
      <c r="S187" s="1606"/>
      <c r="T187" s="1606"/>
      <c r="U187" s="1606"/>
      <c r="V187" s="1606"/>
      <c r="W187" s="1607"/>
      <c r="X187" s="1608"/>
      <c r="Y187" s="1619">
        <v>65400.64</v>
      </c>
      <c r="Z187" s="1606"/>
      <c r="AA187" s="1620">
        <v>65400.64</v>
      </c>
      <c r="AB187" s="1606"/>
      <c r="AC187" s="1620">
        <v>65400.64</v>
      </c>
      <c r="AD187" s="1606"/>
      <c r="AE187" s="1620">
        <v>65400.64</v>
      </c>
      <c r="AF187" s="1606"/>
      <c r="AG187" s="1620">
        <v>65400.64</v>
      </c>
      <c r="AH187" s="1606"/>
      <c r="AI187" s="1620">
        <v>65400.64</v>
      </c>
      <c r="AJ187" s="1606"/>
      <c r="AK187" s="1620">
        <v>65400.64</v>
      </c>
      <c r="AL187" s="1606"/>
      <c r="AM187" s="1612"/>
      <c r="AN187" s="1612"/>
      <c r="AO187" s="1613"/>
      <c r="AP187" s="1612"/>
      <c r="AQ187" s="1606"/>
      <c r="AR187" s="1606"/>
      <c r="AS187" s="1606"/>
      <c r="AT187" s="1606"/>
      <c r="AU187" s="1606"/>
      <c r="AV187" s="1606"/>
      <c r="AW187" s="1606"/>
      <c r="AX187" s="1606"/>
      <c r="AY187" s="1606"/>
      <c r="AZ187" s="1606"/>
      <c r="BA187" s="1606"/>
      <c r="BB187" s="1606"/>
      <c r="BC187" s="1606"/>
      <c r="BD187" s="1606"/>
      <c r="BE187" s="1612"/>
      <c r="BF187" s="1612"/>
      <c r="BG187" s="1613"/>
      <c r="BH187" s="1612"/>
      <c r="BI187" s="1612"/>
      <c r="BJ187" s="1612"/>
      <c r="BK187" s="1614"/>
      <c r="BL187" s="1614"/>
      <c r="BM187" s="1614"/>
      <c r="BN187" s="1614"/>
      <c r="BO187" s="1614"/>
      <c r="BP187" s="1614"/>
      <c r="BQ187" s="1614"/>
      <c r="BR187" s="1614"/>
      <c r="BS187" s="1614"/>
      <c r="BT187" s="1614"/>
      <c r="BU187" s="1614"/>
      <c r="BV187" s="1614"/>
      <c r="BW187" s="1612"/>
      <c r="BX187" s="1612"/>
      <c r="BY187" s="1613"/>
      <c r="BZ187" s="1612"/>
      <c r="CA187" s="1606"/>
      <c r="CB187" s="1606"/>
      <c r="CC187" s="1606"/>
      <c r="CD187" s="1606"/>
      <c r="CE187" s="1606"/>
      <c r="CF187" s="1606"/>
      <c r="CG187" s="1606"/>
      <c r="CH187" s="1606"/>
      <c r="CI187" s="1606"/>
      <c r="CJ187" s="1606"/>
      <c r="CK187" s="1606"/>
      <c r="CL187" s="1606"/>
      <c r="CM187" s="1606"/>
      <c r="CN187" s="1606"/>
      <c r="CO187" s="1615"/>
      <c r="CP187" s="1615"/>
      <c r="CQ187" s="1616"/>
      <c r="CR187" s="1615"/>
      <c r="CS187" s="1606"/>
      <c r="CT187" s="1606"/>
      <c r="CU187" s="1606"/>
      <c r="CV187" s="1606"/>
      <c r="CW187" s="1606"/>
      <c r="CX187" s="1606"/>
      <c r="CY187" s="1606"/>
      <c r="CZ187" s="1606"/>
      <c r="DA187" s="1606"/>
      <c r="DB187" s="1606"/>
      <c r="DC187" s="1606"/>
      <c r="DD187" s="1606"/>
      <c r="DE187" s="1606"/>
      <c r="DF187" s="1606"/>
      <c r="DG187" s="1615"/>
      <c r="DH187" s="1615"/>
      <c r="DI187" s="1616"/>
      <c r="DJ187" s="1615"/>
      <c r="DK187" s="1617"/>
      <c r="DL187" s="1617"/>
    </row>
    <row r="188" ht="26.25" customHeight="1">
      <c r="A188" s="1604"/>
      <c r="B188" s="1604"/>
      <c r="C188" s="1604"/>
      <c r="D188" s="1604"/>
      <c r="E188" s="1604"/>
      <c r="F188" s="1605"/>
      <c r="G188" s="1606"/>
      <c r="H188" s="1607"/>
      <c r="I188" s="1608"/>
      <c r="J188" s="1609"/>
      <c r="K188" s="1606"/>
      <c r="L188" s="1606"/>
      <c r="M188" s="1606"/>
      <c r="N188" s="1606"/>
      <c r="O188" s="1606"/>
      <c r="P188" s="1606"/>
      <c r="Q188" s="1606"/>
      <c r="R188" s="1606"/>
      <c r="S188" s="1606"/>
      <c r="T188" s="1606"/>
      <c r="U188" s="1606"/>
      <c r="V188" s="1606"/>
      <c r="W188" s="1607"/>
      <c r="X188" s="1608"/>
      <c r="Y188" s="1621">
        <v>0.6333333333333333</v>
      </c>
      <c r="Z188" s="1606"/>
      <c r="AA188" s="1622">
        <v>0.6333333333333333</v>
      </c>
      <c r="AB188" s="1606"/>
      <c r="AC188" s="1622">
        <v>0.6333333333333333</v>
      </c>
      <c r="AD188" s="1606"/>
      <c r="AE188" s="1622">
        <v>0.6333333333333333</v>
      </c>
      <c r="AF188" s="1606"/>
      <c r="AG188" s="1622">
        <v>0.6333333333333333</v>
      </c>
      <c r="AH188" s="1606"/>
      <c r="AI188" s="1622">
        <v>0.6333333333333333</v>
      </c>
      <c r="AJ188" s="1606"/>
      <c r="AK188" s="1622">
        <v>0.6333333333333333</v>
      </c>
      <c r="AL188" s="1606"/>
      <c r="AM188" s="1612"/>
      <c r="AN188" s="1612"/>
      <c r="AO188" s="1613"/>
      <c r="AP188" s="1612"/>
      <c r="AQ188" s="1606"/>
      <c r="AR188" s="1606"/>
      <c r="AS188" s="1606"/>
      <c r="AT188" s="1606"/>
      <c r="AU188" s="1606"/>
      <c r="AV188" s="1606"/>
      <c r="AW188" s="1606"/>
      <c r="AX188" s="1606"/>
      <c r="AY188" s="1606"/>
      <c r="AZ188" s="1606"/>
      <c r="BA188" s="1606"/>
      <c r="BB188" s="1606"/>
      <c r="BC188" s="1606"/>
      <c r="BD188" s="1606"/>
      <c r="BE188" s="1612"/>
      <c r="BF188" s="1612"/>
      <c r="BG188" s="1613"/>
      <c r="BH188" s="1612"/>
      <c r="BI188" s="1612"/>
      <c r="BJ188" s="1612"/>
      <c r="BK188" s="1614"/>
      <c r="BL188" s="1614"/>
      <c r="BM188" s="1614"/>
      <c r="BN188" s="1614"/>
      <c r="BO188" s="1614"/>
      <c r="BP188" s="1614"/>
      <c r="BQ188" s="1614"/>
      <c r="BR188" s="1614"/>
      <c r="BS188" s="1614"/>
      <c r="BT188" s="1614"/>
      <c r="BU188" s="1614"/>
      <c r="BV188" s="1614"/>
      <c r="BW188" s="1612"/>
      <c r="BX188" s="1612"/>
      <c r="BY188" s="1613"/>
      <c r="BZ188" s="1612"/>
      <c r="CA188" s="1606"/>
      <c r="CB188" s="1606"/>
      <c r="CC188" s="1606"/>
      <c r="CD188" s="1606"/>
      <c r="CE188" s="1606"/>
      <c r="CF188" s="1606"/>
      <c r="CG188" s="1606"/>
      <c r="CH188" s="1606"/>
      <c r="CI188" s="1606"/>
      <c r="CJ188" s="1606"/>
      <c r="CK188" s="1606"/>
      <c r="CL188" s="1606"/>
      <c r="CM188" s="1606"/>
      <c r="CN188" s="1606"/>
      <c r="CO188" s="1615"/>
      <c r="CP188" s="1615"/>
      <c r="CQ188" s="1616"/>
      <c r="CR188" s="1615"/>
      <c r="CS188" s="1606"/>
      <c r="CT188" s="1606"/>
      <c r="CU188" s="1606"/>
      <c r="CV188" s="1606"/>
      <c r="CW188" s="1606"/>
      <c r="CX188" s="1606"/>
      <c r="CY188" s="1606"/>
      <c r="CZ188" s="1606"/>
      <c r="DA188" s="1606"/>
      <c r="DB188" s="1606"/>
      <c r="DC188" s="1606"/>
      <c r="DD188" s="1606"/>
      <c r="DE188" s="1606"/>
      <c r="DF188" s="1606"/>
      <c r="DG188" s="1615"/>
      <c r="DH188" s="1615"/>
      <c r="DI188" s="1616"/>
      <c r="DJ188" s="1615"/>
      <c r="DK188" s="1617"/>
      <c r="DL188" s="1617"/>
    </row>
    <row r="189" ht="26.25" customHeight="1">
      <c r="A189" s="1604"/>
      <c r="B189" s="1604"/>
      <c r="C189" s="1604"/>
      <c r="D189" s="1604"/>
      <c r="E189" s="1604"/>
      <c r="F189" s="1605"/>
      <c r="G189" s="1606"/>
      <c r="H189" s="1607"/>
      <c r="I189" s="1608"/>
      <c r="J189" s="1609"/>
      <c r="K189" s="1606"/>
      <c r="L189" s="1606"/>
      <c r="M189" s="1606"/>
      <c r="N189" s="1606"/>
      <c r="O189" s="1606"/>
      <c r="P189" s="1606"/>
      <c r="Q189" s="1606"/>
      <c r="R189" s="1606"/>
      <c r="S189" s="1606"/>
      <c r="T189" s="1606"/>
      <c r="U189" s="1606"/>
      <c r="V189" s="1606"/>
      <c r="W189" s="1607"/>
      <c r="X189" s="1608"/>
      <c r="Y189" s="1607">
        <v>0.7599999999999999</v>
      </c>
      <c r="Z189" s="1606"/>
      <c r="AA189" s="1618">
        <v>0.7599999999999999</v>
      </c>
      <c r="AB189" s="1606"/>
      <c r="AC189" s="1618">
        <v>0.7599999999999999</v>
      </c>
      <c r="AD189" s="1606"/>
      <c r="AE189" s="1618">
        <v>0.7599999999999999</v>
      </c>
      <c r="AF189" s="1606"/>
      <c r="AG189" s="1618">
        <v>0.7599999999999999</v>
      </c>
      <c r="AH189" s="1606"/>
      <c r="AI189" s="1618">
        <v>0.7599999999999999</v>
      </c>
      <c r="AJ189" s="1606"/>
      <c r="AK189" s="1618">
        <v>0.7599999999999999</v>
      </c>
      <c r="AL189" s="1606"/>
      <c r="AM189" s="1612"/>
      <c r="AN189" s="1612"/>
      <c r="AO189" s="1613"/>
      <c r="AP189" s="1612"/>
      <c r="AQ189" s="1606"/>
      <c r="AR189" s="1606"/>
      <c r="AS189" s="1606"/>
      <c r="AT189" s="1606"/>
      <c r="AU189" s="1606"/>
      <c r="AV189" s="1606"/>
      <c r="AW189" s="1606"/>
      <c r="AX189" s="1606"/>
      <c r="AY189" s="1606"/>
      <c r="AZ189" s="1606"/>
      <c r="BA189" s="1606"/>
      <c r="BB189" s="1606"/>
      <c r="BC189" s="1606"/>
      <c r="BD189" s="1606"/>
      <c r="BE189" s="1612"/>
      <c r="BF189" s="1612"/>
      <c r="BG189" s="1613"/>
      <c r="BH189" s="1612"/>
      <c r="BI189" s="1612"/>
      <c r="BJ189" s="1612"/>
      <c r="BK189" s="1614"/>
      <c r="BL189" s="1614"/>
      <c r="BM189" s="1614"/>
      <c r="BN189" s="1614"/>
      <c r="BO189" s="1614"/>
      <c r="BP189" s="1614"/>
      <c r="BQ189" s="1614"/>
      <c r="BR189" s="1614"/>
      <c r="BS189" s="1614"/>
      <c r="BT189" s="1614"/>
      <c r="BU189" s="1614"/>
      <c r="BV189" s="1614"/>
      <c r="BW189" s="1612"/>
      <c r="BX189" s="1612"/>
      <c r="BY189" s="1613"/>
      <c r="BZ189" s="1612"/>
      <c r="CA189" s="1606"/>
      <c r="CB189" s="1606"/>
      <c r="CC189" s="1606"/>
      <c r="CD189" s="1606"/>
      <c r="CE189" s="1606"/>
      <c r="CF189" s="1606"/>
      <c r="CG189" s="1606"/>
      <c r="CH189" s="1606"/>
      <c r="CI189" s="1606"/>
      <c r="CJ189" s="1606"/>
      <c r="CK189" s="1606"/>
      <c r="CL189" s="1606"/>
      <c r="CM189" s="1606"/>
      <c r="CN189" s="1606"/>
      <c r="CO189" s="1615"/>
      <c r="CP189" s="1615"/>
      <c r="CQ189" s="1616"/>
      <c r="CR189" s="1615"/>
      <c r="CS189" s="1606"/>
      <c r="CT189" s="1606"/>
      <c r="CU189" s="1606"/>
      <c r="CV189" s="1606"/>
      <c r="CW189" s="1606"/>
      <c r="CX189" s="1606"/>
      <c r="CY189" s="1606"/>
      <c r="CZ189" s="1606"/>
      <c r="DA189" s="1606"/>
      <c r="DB189" s="1606"/>
      <c r="DC189" s="1606"/>
      <c r="DD189" s="1606"/>
      <c r="DE189" s="1606"/>
      <c r="DF189" s="1606"/>
      <c r="DG189" s="1615"/>
      <c r="DH189" s="1615"/>
      <c r="DI189" s="1616"/>
      <c r="DJ189" s="1615"/>
      <c r="DK189" s="1617"/>
      <c r="DL189" s="1617"/>
    </row>
    <row r="190" ht="26.25" customHeight="1">
      <c r="A190" s="1604"/>
      <c r="B190" s="1604"/>
      <c r="C190" s="1604"/>
      <c r="D190" s="1604"/>
      <c r="E190" s="1604"/>
      <c r="F190" s="1605"/>
      <c r="G190" s="1606"/>
      <c r="H190" s="1607"/>
      <c r="I190" s="1608"/>
      <c r="J190" s="1609"/>
      <c r="K190" s="1606"/>
      <c r="L190" s="1606"/>
      <c r="M190" s="1606"/>
      <c r="N190" s="1606"/>
      <c r="O190" s="1606"/>
      <c r="P190" s="1606"/>
      <c r="Q190" s="1606"/>
      <c r="R190" s="1606"/>
      <c r="S190" s="1606"/>
      <c r="T190" s="1606"/>
      <c r="U190" s="1606"/>
      <c r="V190" s="1606"/>
      <c r="W190" s="1607"/>
      <c r="X190" s="1608"/>
      <c r="Y190" s="1619">
        <v>86053.47368421053</v>
      </c>
      <c r="Z190" s="1606"/>
      <c r="AA190" s="1620">
        <v>86053.47368421053</v>
      </c>
      <c r="AB190" s="1606"/>
      <c r="AC190" s="1620">
        <v>86053.47368421053</v>
      </c>
      <c r="AD190" s="1606"/>
      <c r="AE190" s="1620">
        <v>86053.47368421053</v>
      </c>
      <c r="AF190" s="1606"/>
      <c r="AG190" s="1620">
        <v>86053.47368421053</v>
      </c>
      <c r="AH190" s="1606"/>
      <c r="AI190" s="1620">
        <v>86053.47368421053</v>
      </c>
      <c r="AJ190" s="1606"/>
      <c r="AK190" s="1620">
        <v>86053.47368421053</v>
      </c>
      <c r="AL190" s="1606"/>
      <c r="AM190" s="1612"/>
      <c r="AN190" s="1612"/>
      <c r="AO190" s="1613"/>
      <c r="AP190" s="1612"/>
      <c r="AQ190" s="1606"/>
      <c r="AR190" s="1606"/>
      <c r="AS190" s="1606"/>
      <c r="AT190" s="1606"/>
      <c r="AU190" s="1606"/>
      <c r="AV190" s="1606"/>
      <c r="AW190" s="1606"/>
      <c r="AX190" s="1606"/>
      <c r="AY190" s="1606"/>
      <c r="AZ190" s="1606"/>
      <c r="BA190" s="1606"/>
      <c r="BB190" s="1606"/>
      <c r="BC190" s="1606"/>
      <c r="BD190" s="1606"/>
      <c r="BE190" s="1612"/>
      <c r="BF190" s="1612"/>
      <c r="BG190" s="1613"/>
      <c r="BH190" s="1612"/>
      <c r="BI190" s="1612"/>
      <c r="BJ190" s="1612"/>
      <c r="BK190" s="1614"/>
      <c r="BL190" s="1614"/>
      <c r="BM190" s="1614"/>
      <c r="BN190" s="1614"/>
      <c r="BO190" s="1614"/>
      <c r="BP190" s="1614"/>
      <c r="BQ190" s="1614"/>
      <c r="BR190" s="1614"/>
      <c r="BS190" s="1614"/>
      <c r="BT190" s="1614"/>
      <c r="BU190" s="1614"/>
      <c r="BV190" s="1614"/>
      <c r="BW190" s="1612"/>
      <c r="BX190" s="1612"/>
      <c r="BY190" s="1613"/>
      <c r="BZ190" s="1612"/>
      <c r="CA190" s="1606"/>
      <c r="CB190" s="1606"/>
      <c r="CC190" s="1606"/>
      <c r="CD190" s="1606"/>
      <c r="CE190" s="1606"/>
      <c r="CF190" s="1606"/>
      <c r="CG190" s="1606"/>
      <c r="CH190" s="1606"/>
      <c r="CI190" s="1606"/>
      <c r="CJ190" s="1606"/>
      <c r="CK190" s="1606"/>
      <c r="CL190" s="1606"/>
      <c r="CM190" s="1606"/>
      <c r="CN190" s="1606"/>
      <c r="CO190" s="1615"/>
      <c r="CP190" s="1615"/>
      <c r="CQ190" s="1616"/>
      <c r="CR190" s="1615"/>
      <c r="CS190" s="1606"/>
      <c r="CT190" s="1606"/>
      <c r="CU190" s="1606"/>
      <c r="CV190" s="1606"/>
      <c r="CW190" s="1606"/>
      <c r="CX190" s="1606"/>
      <c r="CY190" s="1606"/>
      <c r="CZ190" s="1606"/>
      <c r="DA190" s="1606"/>
      <c r="DB190" s="1606"/>
      <c r="DC190" s="1606"/>
      <c r="DD190" s="1606"/>
      <c r="DE190" s="1606"/>
      <c r="DF190" s="1606"/>
      <c r="DG190" s="1615"/>
      <c r="DH190" s="1615"/>
      <c r="DI190" s="1616"/>
      <c r="DJ190" s="1615"/>
      <c r="DK190" s="1617"/>
      <c r="DL190" s="1617"/>
    </row>
    <row r="191" ht="26.25" customHeight="1">
      <c r="A191" s="1604"/>
      <c r="B191" s="1604"/>
      <c r="C191" s="1604"/>
      <c r="D191" s="1604"/>
      <c r="E191" s="1604"/>
      <c r="F191" s="1605"/>
      <c r="G191" s="1606"/>
      <c r="H191" s="1607"/>
      <c r="I191" s="1608"/>
      <c r="J191" s="1609"/>
      <c r="K191" s="1606"/>
      <c r="L191" s="1606"/>
      <c r="M191" s="1606"/>
      <c r="N191" s="1606"/>
      <c r="O191" s="1606"/>
      <c r="P191" s="1606"/>
      <c r="Q191" s="1606"/>
      <c r="R191" s="1606"/>
      <c r="S191" s="1606"/>
      <c r="T191" s="1606"/>
      <c r="U191" s="1606"/>
      <c r="V191" s="1606"/>
      <c r="W191" s="1607"/>
      <c r="X191" s="1608"/>
      <c r="Y191" s="1621">
        <v>0.5333333333333333</v>
      </c>
      <c r="Z191" s="1606"/>
      <c r="AA191" s="1622">
        <v>0.5333333333333333</v>
      </c>
      <c r="AB191" s="1606"/>
      <c r="AC191" s="1622">
        <v>0.5333333333333333</v>
      </c>
      <c r="AD191" s="1606"/>
      <c r="AE191" s="1622">
        <v>0.5333333333333333</v>
      </c>
      <c r="AF191" s="1606"/>
      <c r="AG191" s="1622">
        <v>0.5333333333333333</v>
      </c>
      <c r="AH191" s="1606"/>
      <c r="AI191" s="1622">
        <v>0.5333333333333333</v>
      </c>
      <c r="AJ191" s="1606"/>
      <c r="AK191" s="1622">
        <v>0.5333333333333333</v>
      </c>
      <c r="AL191" s="1606"/>
      <c r="AM191" s="1612"/>
      <c r="AN191" s="1612"/>
      <c r="AO191" s="1613"/>
      <c r="AP191" s="1612"/>
      <c r="AQ191" s="1606"/>
      <c r="AR191" s="1606"/>
      <c r="AS191" s="1606"/>
      <c r="AT191" s="1606"/>
      <c r="AU191" s="1606"/>
      <c r="AV191" s="1606"/>
      <c r="AW191" s="1606"/>
      <c r="AX191" s="1606"/>
      <c r="AY191" s="1606"/>
      <c r="AZ191" s="1606"/>
      <c r="BA191" s="1606"/>
      <c r="BB191" s="1606"/>
      <c r="BC191" s="1606"/>
      <c r="BD191" s="1606"/>
      <c r="BE191" s="1612"/>
      <c r="BF191" s="1612"/>
      <c r="BG191" s="1613"/>
      <c r="BH191" s="1612"/>
      <c r="BI191" s="1612"/>
      <c r="BJ191" s="1612"/>
      <c r="BK191" s="1614"/>
      <c r="BL191" s="1614"/>
      <c r="BM191" s="1614"/>
      <c r="BN191" s="1614"/>
      <c r="BO191" s="1614"/>
      <c r="BP191" s="1614"/>
      <c r="BQ191" s="1614"/>
      <c r="BR191" s="1614"/>
      <c r="BS191" s="1614"/>
      <c r="BT191" s="1614"/>
      <c r="BU191" s="1614"/>
      <c r="BV191" s="1614"/>
      <c r="BW191" s="1612"/>
      <c r="BX191" s="1612"/>
      <c r="BY191" s="1613"/>
      <c r="BZ191" s="1612"/>
      <c r="CA191" s="1606"/>
      <c r="CB191" s="1606"/>
      <c r="CC191" s="1606"/>
      <c r="CD191" s="1606"/>
      <c r="CE191" s="1606"/>
      <c r="CF191" s="1606"/>
      <c r="CG191" s="1606"/>
      <c r="CH191" s="1606"/>
      <c r="CI191" s="1606"/>
      <c r="CJ191" s="1606"/>
      <c r="CK191" s="1606"/>
      <c r="CL191" s="1606"/>
      <c r="CM191" s="1606"/>
      <c r="CN191" s="1606"/>
      <c r="CO191" s="1615"/>
      <c r="CP191" s="1615"/>
      <c r="CQ191" s="1616"/>
      <c r="CR191" s="1615"/>
      <c r="CS191" s="1606"/>
      <c r="CT191" s="1606"/>
      <c r="CU191" s="1606"/>
      <c r="CV191" s="1606"/>
      <c r="CW191" s="1606"/>
      <c r="CX191" s="1606"/>
      <c r="CY191" s="1606"/>
      <c r="CZ191" s="1606"/>
      <c r="DA191" s="1606"/>
      <c r="DB191" s="1606"/>
      <c r="DC191" s="1606"/>
      <c r="DD191" s="1606"/>
      <c r="DE191" s="1606"/>
      <c r="DF191" s="1606"/>
      <c r="DG191" s="1615"/>
      <c r="DH191" s="1615"/>
      <c r="DI191" s="1616"/>
      <c r="DJ191" s="1615"/>
      <c r="DK191" s="1617"/>
      <c r="DL191" s="1617"/>
    </row>
    <row r="192" ht="26.25" customHeight="1">
      <c r="A192" s="1604"/>
      <c r="B192" s="1604"/>
      <c r="C192" s="1604"/>
      <c r="D192" s="1604"/>
      <c r="E192" s="1604"/>
      <c r="F192" s="1605"/>
      <c r="G192" s="1606"/>
      <c r="H192" s="1607"/>
      <c r="I192" s="1608"/>
      <c r="J192" s="1609"/>
      <c r="K192" s="1606"/>
      <c r="L192" s="1606"/>
      <c r="M192" s="1606"/>
      <c r="N192" s="1606"/>
      <c r="O192" s="1606"/>
      <c r="P192" s="1606"/>
      <c r="Q192" s="1606"/>
      <c r="R192" s="1606"/>
      <c r="S192" s="1606"/>
      <c r="T192" s="1606"/>
      <c r="U192" s="1606"/>
      <c r="V192" s="1606"/>
      <c r="W192" s="1607"/>
      <c r="X192" s="1608"/>
      <c r="Y192" s="1607">
        <v>0.8421052631578948</v>
      </c>
      <c r="Z192" s="1606"/>
      <c r="AA192" s="1618">
        <v>0.8421052631578948</v>
      </c>
      <c r="AB192" s="1606"/>
      <c r="AC192" s="1618">
        <v>0.8421052631578948</v>
      </c>
      <c r="AD192" s="1606"/>
      <c r="AE192" s="1618">
        <v>0.8421052631578948</v>
      </c>
      <c r="AF192" s="1606"/>
      <c r="AG192" s="1618">
        <v>0.8421052631578948</v>
      </c>
      <c r="AH192" s="1606"/>
      <c r="AI192" s="1618">
        <v>0.8421052631578948</v>
      </c>
      <c r="AJ192" s="1606"/>
      <c r="AK192" s="1618">
        <v>0.8421052631578948</v>
      </c>
      <c r="AL192" s="1606"/>
      <c r="AM192" s="1612"/>
      <c r="AN192" s="1612"/>
      <c r="AO192" s="1613"/>
      <c r="AP192" s="1612"/>
      <c r="AQ192" s="1606"/>
      <c r="AR192" s="1606"/>
      <c r="AS192" s="1606"/>
      <c r="AT192" s="1606"/>
      <c r="AU192" s="1606"/>
      <c r="AV192" s="1606"/>
      <c r="AW192" s="1606"/>
      <c r="AX192" s="1606"/>
      <c r="AY192" s="1606"/>
      <c r="AZ192" s="1606"/>
      <c r="BA192" s="1606"/>
      <c r="BB192" s="1606"/>
      <c r="BC192" s="1606"/>
      <c r="BD192" s="1606"/>
      <c r="BE192" s="1612"/>
      <c r="BF192" s="1612"/>
      <c r="BG192" s="1613"/>
      <c r="BH192" s="1612"/>
      <c r="BI192" s="1612"/>
      <c r="BJ192" s="1612"/>
      <c r="BK192" s="1614"/>
      <c r="BL192" s="1614"/>
      <c r="BM192" s="1614"/>
      <c r="BN192" s="1614"/>
      <c r="BO192" s="1614"/>
      <c r="BP192" s="1614"/>
      <c r="BQ192" s="1614"/>
      <c r="BR192" s="1614"/>
      <c r="BS192" s="1614"/>
      <c r="BT192" s="1614"/>
      <c r="BU192" s="1614"/>
      <c r="BV192" s="1614"/>
      <c r="BW192" s="1612"/>
      <c r="BX192" s="1612"/>
      <c r="BY192" s="1613"/>
      <c r="BZ192" s="1612"/>
      <c r="CA192" s="1606"/>
      <c r="CB192" s="1606"/>
      <c r="CC192" s="1606"/>
      <c r="CD192" s="1606"/>
      <c r="CE192" s="1606"/>
      <c r="CF192" s="1606"/>
      <c r="CG192" s="1606"/>
      <c r="CH192" s="1606"/>
      <c r="CI192" s="1606"/>
      <c r="CJ192" s="1606"/>
      <c r="CK192" s="1606"/>
      <c r="CL192" s="1606"/>
      <c r="CM192" s="1606"/>
      <c r="CN192" s="1606"/>
      <c r="CO192" s="1615"/>
      <c r="CP192" s="1615"/>
      <c r="CQ192" s="1616"/>
      <c r="CR192" s="1615"/>
      <c r="CS192" s="1606"/>
      <c r="CT192" s="1606"/>
      <c r="CU192" s="1606"/>
      <c r="CV192" s="1606"/>
      <c r="CW192" s="1606"/>
      <c r="CX192" s="1606"/>
      <c r="CY192" s="1606"/>
      <c r="CZ192" s="1606"/>
      <c r="DA192" s="1606"/>
      <c r="DB192" s="1606"/>
      <c r="DC192" s="1606"/>
      <c r="DD192" s="1606"/>
      <c r="DE192" s="1606"/>
      <c r="DF192" s="1606"/>
      <c r="DG192" s="1615"/>
      <c r="DH192" s="1615"/>
      <c r="DI192" s="1616"/>
      <c r="DJ192" s="1615"/>
      <c r="DK192" s="1617"/>
      <c r="DL192" s="1617"/>
    </row>
    <row r="193" ht="26.25" customHeight="1">
      <c r="A193" s="1604"/>
      <c r="B193" s="1604"/>
      <c r="C193" s="1604"/>
      <c r="D193" s="1604"/>
      <c r="E193" s="1604"/>
      <c r="F193" s="1605"/>
      <c r="G193" s="1606"/>
      <c r="H193" s="1607"/>
      <c r="I193" s="1608"/>
      <c r="J193" s="1609"/>
      <c r="K193" s="1606"/>
      <c r="L193" s="1606"/>
      <c r="M193" s="1606"/>
      <c r="N193" s="1606"/>
      <c r="O193" s="1606"/>
      <c r="P193" s="1606"/>
      <c r="Q193" s="1606"/>
      <c r="R193" s="1606"/>
      <c r="S193" s="1606"/>
      <c r="T193" s="1606"/>
      <c r="U193" s="1606"/>
      <c r="V193" s="1606"/>
      <c r="W193" s="1607"/>
      <c r="X193" s="1608"/>
      <c r="Y193" s="1621">
        <v>0.03333333333333333</v>
      </c>
      <c r="Z193" s="1606"/>
      <c r="AA193" s="1622">
        <v>0.03333333333333333</v>
      </c>
      <c r="AB193" s="1606"/>
      <c r="AC193" s="1622">
        <v>0.03333333333333333</v>
      </c>
      <c r="AD193" s="1606"/>
      <c r="AE193" s="1622">
        <v>0.03333333333333333</v>
      </c>
      <c r="AF193" s="1606"/>
      <c r="AG193" s="1622">
        <v>0.03333333333333333</v>
      </c>
      <c r="AH193" s="1606"/>
      <c r="AI193" s="1622">
        <v>0.03333333333333333</v>
      </c>
      <c r="AJ193" s="1606"/>
      <c r="AK193" s="1622">
        <v>0.03333333333333333</v>
      </c>
      <c r="AL193" s="1606"/>
      <c r="AM193" s="1612"/>
      <c r="AN193" s="1612"/>
      <c r="AO193" s="1613"/>
      <c r="AP193" s="1612"/>
      <c r="AQ193" s="1606"/>
      <c r="AR193" s="1606"/>
      <c r="AS193" s="1606"/>
      <c r="AT193" s="1606"/>
      <c r="AU193" s="1606"/>
      <c r="AV193" s="1606"/>
      <c r="AW193" s="1606"/>
      <c r="AX193" s="1606"/>
      <c r="AY193" s="1606"/>
      <c r="AZ193" s="1606"/>
      <c r="BA193" s="1606"/>
      <c r="BB193" s="1606"/>
      <c r="BC193" s="1606"/>
      <c r="BD193" s="1606"/>
      <c r="BE193" s="1612"/>
      <c r="BF193" s="1612"/>
      <c r="BG193" s="1613"/>
      <c r="BH193" s="1612"/>
      <c r="BI193" s="1612"/>
      <c r="BJ193" s="1612"/>
      <c r="BK193" s="1614"/>
      <c r="BL193" s="1614"/>
      <c r="BM193" s="1614"/>
      <c r="BN193" s="1614"/>
      <c r="BO193" s="1614"/>
      <c r="BP193" s="1614"/>
      <c r="BQ193" s="1614"/>
      <c r="BR193" s="1614"/>
      <c r="BS193" s="1614"/>
      <c r="BT193" s="1614"/>
      <c r="BU193" s="1614"/>
      <c r="BV193" s="1614"/>
      <c r="BW193" s="1612"/>
      <c r="BX193" s="1612"/>
      <c r="BY193" s="1613"/>
      <c r="BZ193" s="1612"/>
      <c r="CA193" s="1606"/>
      <c r="CB193" s="1606"/>
      <c r="CC193" s="1606"/>
      <c r="CD193" s="1606"/>
      <c r="CE193" s="1606"/>
      <c r="CF193" s="1606"/>
      <c r="CG193" s="1606"/>
      <c r="CH193" s="1606"/>
      <c r="CI193" s="1606"/>
      <c r="CJ193" s="1606"/>
      <c r="CK193" s="1606"/>
      <c r="CL193" s="1606"/>
      <c r="CM193" s="1606"/>
      <c r="CN193" s="1606"/>
      <c r="CO193" s="1615"/>
      <c r="CP193" s="1615"/>
      <c r="CQ193" s="1616"/>
      <c r="CR193" s="1615"/>
      <c r="CS193" s="1606"/>
      <c r="CT193" s="1606"/>
      <c r="CU193" s="1606"/>
      <c r="CV193" s="1606"/>
      <c r="CW193" s="1606"/>
      <c r="CX193" s="1606"/>
      <c r="CY193" s="1606"/>
      <c r="CZ193" s="1606"/>
      <c r="DA193" s="1606"/>
      <c r="DB193" s="1606"/>
      <c r="DC193" s="1606"/>
      <c r="DD193" s="1606"/>
      <c r="DE193" s="1606"/>
      <c r="DF193" s="1606"/>
      <c r="DG193" s="1615"/>
      <c r="DH193" s="1615"/>
      <c r="DI193" s="1616"/>
      <c r="DJ193" s="1615"/>
      <c r="DK193" s="1617"/>
      <c r="DL193" s="1617"/>
    </row>
    <row r="194" ht="26.25" customHeight="1">
      <c r="A194" s="1604"/>
      <c r="B194" s="1604"/>
      <c r="C194" s="1604"/>
      <c r="D194" s="1604"/>
      <c r="E194" s="1604"/>
      <c r="F194" s="1605"/>
      <c r="G194" s="1606"/>
      <c r="H194" s="1607"/>
      <c r="I194" s="1608"/>
      <c r="J194" s="1609"/>
      <c r="K194" s="1606"/>
      <c r="L194" s="1606"/>
      <c r="M194" s="1606"/>
      <c r="N194" s="1606"/>
      <c r="O194" s="1606"/>
      <c r="P194" s="1606"/>
      <c r="Q194" s="1606"/>
      <c r="R194" s="1606"/>
      <c r="S194" s="1606"/>
      <c r="T194" s="1606"/>
      <c r="U194" s="1606"/>
      <c r="V194" s="1606"/>
      <c r="W194" s="1607"/>
      <c r="X194" s="1608"/>
      <c r="Y194" s="1619">
        <v>33333.333333333336</v>
      </c>
      <c r="Z194" s="1606"/>
      <c r="AA194" s="1620">
        <v>33333.333333333336</v>
      </c>
      <c r="AB194" s="1606"/>
      <c r="AC194" s="1620">
        <v>33333.333333333336</v>
      </c>
      <c r="AD194" s="1606"/>
      <c r="AE194" s="1620">
        <v>33333.333333333336</v>
      </c>
      <c r="AF194" s="1606"/>
      <c r="AG194" s="1620">
        <v>33333.333333333336</v>
      </c>
      <c r="AH194" s="1606"/>
      <c r="AI194" s="1620">
        <v>33333.333333333336</v>
      </c>
      <c r="AJ194" s="1606"/>
      <c r="AK194" s="1620">
        <v>33333.333333333336</v>
      </c>
      <c r="AL194" s="1606"/>
      <c r="AM194" s="1612"/>
      <c r="AN194" s="1612"/>
      <c r="AO194" s="1613"/>
      <c r="AP194" s="1612"/>
      <c r="AQ194" s="1606"/>
      <c r="AR194" s="1606"/>
      <c r="AS194" s="1606"/>
      <c r="AT194" s="1606"/>
      <c r="AU194" s="1606"/>
      <c r="AV194" s="1606"/>
      <c r="AW194" s="1606"/>
      <c r="AX194" s="1606"/>
      <c r="AY194" s="1606"/>
      <c r="AZ194" s="1606"/>
      <c r="BA194" s="1606"/>
      <c r="BB194" s="1606"/>
      <c r="BC194" s="1606"/>
      <c r="BD194" s="1606"/>
      <c r="BE194" s="1612"/>
      <c r="BF194" s="1612"/>
      <c r="BG194" s="1613"/>
      <c r="BH194" s="1612"/>
      <c r="BI194" s="1612"/>
      <c r="BJ194" s="1612"/>
      <c r="BK194" s="1614"/>
      <c r="BL194" s="1614"/>
      <c r="BM194" s="1614"/>
      <c r="BN194" s="1614"/>
      <c r="BO194" s="1614"/>
      <c r="BP194" s="1614"/>
      <c r="BQ194" s="1614"/>
      <c r="BR194" s="1614"/>
      <c r="BS194" s="1614"/>
      <c r="BT194" s="1614"/>
      <c r="BU194" s="1614"/>
      <c r="BV194" s="1614"/>
      <c r="BW194" s="1612"/>
      <c r="BX194" s="1612"/>
      <c r="BY194" s="1613"/>
      <c r="BZ194" s="1612"/>
      <c r="CA194" s="1606"/>
      <c r="CB194" s="1606"/>
      <c r="CC194" s="1606"/>
      <c r="CD194" s="1606"/>
      <c r="CE194" s="1606"/>
      <c r="CF194" s="1606"/>
      <c r="CG194" s="1606"/>
      <c r="CH194" s="1606"/>
      <c r="CI194" s="1606"/>
      <c r="CJ194" s="1606"/>
      <c r="CK194" s="1606"/>
      <c r="CL194" s="1606"/>
      <c r="CM194" s="1606"/>
      <c r="CN194" s="1606"/>
      <c r="CO194" s="1615"/>
      <c r="CP194" s="1615"/>
      <c r="CQ194" s="1616"/>
      <c r="CR194" s="1615"/>
      <c r="CS194" s="1606"/>
      <c r="CT194" s="1606"/>
      <c r="CU194" s="1606"/>
      <c r="CV194" s="1606"/>
      <c r="CW194" s="1606"/>
      <c r="CX194" s="1606"/>
      <c r="CY194" s="1606"/>
      <c r="CZ194" s="1606"/>
      <c r="DA194" s="1606"/>
      <c r="DB194" s="1606"/>
      <c r="DC194" s="1606"/>
      <c r="DD194" s="1606"/>
      <c r="DE194" s="1606"/>
      <c r="DF194" s="1606"/>
      <c r="DG194" s="1615"/>
      <c r="DH194" s="1615"/>
      <c r="DI194" s="1616"/>
      <c r="DJ194" s="1615"/>
      <c r="DK194" s="1617"/>
      <c r="DL194" s="1617"/>
    </row>
    <row r="195" ht="26.25" customHeight="1">
      <c r="A195" s="1604"/>
      <c r="B195" s="1604"/>
      <c r="C195" s="1604"/>
      <c r="D195" s="1604"/>
      <c r="E195" s="1604"/>
      <c r="F195" s="1605"/>
      <c r="G195" s="1606"/>
      <c r="H195" s="1607"/>
      <c r="I195" s="1608"/>
      <c r="J195" s="1609"/>
      <c r="K195" s="1606"/>
      <c r="L195" s="1606"/>
      <c r="M195" s="1606"/>
      <c r="N195" s="1606"/>
      <c r="O195" s="1606"/>
      <c r="P195" s="1606"/>
      <c r="Q195" s="1606"/>
      <c r="R195" s="1606"/>
      <c r="S195" s="1606"/>
      <c r="T195" s="1606"/>
      <c r="U195" s="1606"/>
      <c r="V195" s="1606"/>
      <c r="W195" s="1607"/>
      <c r="X195" s="1608"/>
      <c r="Y195" s="1607">
        <v>0.0625</v>
      </c>
      <c r="Z195" s="1606"/>
      <c r="AA195" s="1618">
        <v>0.0625</v>
      </c>
      <c r="AB195" s="1606"/>
      <c r="AC195" s="1618">
        <v>0.0625</v>
      </c>
      <c r="AD195" s="1606"/>
      <c r="AE195" s="1618">
        <v>0.0625</v>
      </c>
      <c r="AF195" s="1606"/>
      <c r="AG195" s="1618">
        <v>0.0625</v>
      </c>
      <c r="AH195" s="1606"/>
      <c r="AI195" s="1618">
        <v>0.0625</v>
      </c>
      <c r="AJ195" s="1606"/>
      <c r="AK195" s="1618">
        <v>0.0625</v>
      </c>
      <c r="AL195" s="1606"/>
      <c r="AM195" s="1612"/>
      <c r="AN195" s="1612"/>
      <c r="AO195" s="1613"/>
      <c r="AP195" s="1612"/>
      <c r="AQ195" s="1606"/>
      <c r="AR195" s="1606"/>
      <c r="AS195" s="1606"/>
      <c r="AT195" s="1606"/>
      <c r="AU195" s="1606"/>
      <c r="AV195" s="1606"/>
      <c r="AW195" s="1606"/>
      <c r="AX195" s="1606"/>
      <c r="AY195" s="1606"/>
      <c r="AZ195" s="1606"/>
      <c r="BA195" s="1606"/>
      <c r="BB195" s="1606"/>
      <c r="BC195" s="1606"/>
      <c r="BD195" s="1606"/>
      <c r="BE195" s="1612"/>
      <c r="BF195" s="1612"/>
      <c r="BG195" s="1613"/>
      <c r="BH195" s="1612"/>
      <c r="BI195" s="1612"/>
      <c r="BJ195" s="1612"/>
      <c r="BK195" s="1614"/>
      <c r="BL195" s="1614"/>
      <c r="BM195" s="1614"/>
      <c r="BN195" s="1614"/>
      <c r="BO195" s="1614"/>
      <c r="BP195" s="1614"/>
      <c r="BQ195" s="1614"/>
      <c r="BR195" s="1614"/>
      <c r="BS195" s="1614"/>
      <c r="BT195" s="1614"/>
      <c r="BU195" s="1614"/>
      <c r="BV195" s="1614"/>
      <c r="BW195" s="1612"/>
      <c r="BX195" s="1612"/>
      <c r="BY195" s="1613"/>
      <c r="BZ195" s="1612"/>
      <c r="CA195" s="1606"/>
      <c r="CB195" s="1606"/>
      <c r="CC195" s="1606"/>
      <c r="CD195" s="1606"/>
      <c r="CE195" s="1606"/>
      <c r="CF195" s="1606"/>
      <c r="CG195" s="1606"/>
      <c r="CH195" s="1606"/>
      <c r="CI195" s="1606"/>
      <c r="CJ195" s="1606"/>
      <c r="CK195" s="1606"/>
      <c r="CL195" s="1606"/>
      <c r="CM195" s="1606"/>
      <c r="CN195" s="1606"/>
      <c r="CO195" s="1615"/>
      <c r="CP195" s="1615"/>
      <c r="CQ195" s="1616"/>
      <c r="CR195" s="1615"/>
      <c r="CS195" s="1606"/>
      <c r="CT195" s="1606"/>
      <c r="CU195" s="1606"/>
      <c r="CV195" s="1606"/>
      <c r="CW195" s="1606"/>
      <c r="CX195" s="1606"/>
      <c r="CY195" s="1606"/>
      <c r="CZ195" s="1606"/>
      <c r="DA195" s="1606"/>
      <c r="DB195" s="1606"/>
      <c r="DC195" s="1606"/>
      <c r="DD195" s="1606"/>
      <c r="DE195" s="1606"/>
      <c r="DF195" s="1606"/>
      <c r="DG195" s="1615"/>
      <c r="DH195" s="1615"/>
      <c r="DI195" s="1616"/>
      <c r="DJ195" s="1615"/>
      <c r="DK195" s="1617"/>
      <c r="DL195" s="1617"/>
    </row>
    <row r="196" ht="26.25" customHeight="1">
      <c r="A196" s="1604"/>
      <c r="B196" s="1604"/>
      <c r="C196" s="1604"/>
      <c r="D196" s="1604"/>
      <c r="E196" s="1604"/>
      <c r="F196" s="1605"/>
      <c r="G196" s="1606"/>
      <c r="H196" s="1607"/>
      <c r="I196" s="1608"/>
      <c r="J196" s="1609"/>
      <c r="K196" s="1606"/>
      <c r="L196" s="1606"/>
      <c r="M196" s="1606"/>
      <c r="N196" s="1606"/>
      <c r="O196" s="1606"/>
      <c r="P196" s="1606"/>
      <c r="Q196" s="1606"/>
      <c r="R196" s="1606"/>
      <c r="S196" s="1606"/>
      <c r="T196" s="1606"/>
      <c r="U196" s="1606"/>
      <c r="V196" s="1606"/>
      <c r="W196" s="1607"/>
      <c r="X196" s="1608"/>
      <c r="Y196" s="1619">
        <v>1635016.0</v>
      </c>
      <c r="Z196" s="1606"/>
      <c r="AA196" s="1620">
        <v>1635016.0</v>
      </c>
      <c r="AB196" s="1606"/>
      <c r="AC196" s="1620">
        <v>1635016.0</v>
      </c>
      <c r="AD196" s="1606"/>
      <c r="AE196" s="1620">
        <v>1635016.0</v>
      </c>
      <c r="AF196" s="1606"/>
      <c r="AG196" s="1620">
        <v>1635016.0</v>
      </c>
      <c r="AH196" s="1606"/>
      <c r="AI196" s="1620">
        <v>1635016.0</v>
      </c>
      <c r="AJ196" s="1606"/>
      <c r="AK196" s="1620">
        <v>1635016.0</v>
      </c>
      <c r="AL196" s="1606"/>
      <c r="AM196" s="1612"/>
      <c r="AN196" s="1612"/>
      <c r="AO196" s="1613"/>
      <c r="AP196" s="1612"/>
      <c r="AQ196" s="1606"/>
      <c r="AR196" s="1606"/>
      <c r="AS196" s="1606"/>
      <c r="AT196" s="1606"/>
      <c r="AU196" s="1606"/>
      <c r="AV196" s="1606"/>
      <c r="AW196" s="1606"/>
      <c r="AX196" s="1606"/>
      <c r="AY196" s="1606"/>
      <c r="AZ196" s="1606"/>
      <c r="BA196" s="1606"/>
      <c r="BB196" s="1606"/>
      <c r="BC196" s="1606"/>
      <c r="BD196" s="1606"/>
      <c r="BE196" s="1612"/>
      <c r="BF196" s="1612"/>
      <c r="BG196" s="1613"/>
      <c r="BH196" s="1612"/>
      <c r="BI196" s="1612"/>
      <c r="BJ196" s="1612"/>
      <c r="BK196" s="1614"/>
      <c r="BL196" s="1614"/>
      <c r="BM196" s="1614"/>
      <c r="BN196" s="1614"/>
      <c r="BO196" s="1614"/>
      <c r="BP196" s="1614"/>
      <c r="BQ196" s="1614"/>
      <c r="BR196" s="1614"/>
      <c r="BS196" s="1614"/>
      <c r="BT196" s="1614"/>
      <c r="BU196" s="1614"/>
      <c r="BV196" s="1614"/>
      <c r="BW196" s="1612"/>
      <c r="BX196" s="1612"/>
      <c r="BY196" s="1613"/>
      <c r="BZ196" s="1612"/>
      <c r="CA196" s="1606"/>
      <c r="CB196" s="1606"/>
      <c r="CC196" s="1606"/>
      <c r="CD196" s="1606"/>
      <c r="CE196" s="1606"/>
      <c r="CF196" s="1606"/>
      <c r="CG196" s="1606"/>
      <c r="CH196" s="1606"/>
      <c r="CI196" s="1606"/>
      <c r="CJ196" s="1606"/>
      <c r="CK196" s="1606"/>
      <c r="CL196" s="1606"/>
      <c r="CM196" s="1606"/>
      <c r="CN196" s="1606"/>
      <c r="CO196" s="1615"/>
      <c r="CP196" s="1615"/>
      <c r="CQ196" s="1616"/>
      <c r="CR196" s="1615"/>
      <c r="CS196" s="1606"/>
      <c r="CT196" s="1606"/>
      <c r="CU196" s="1606"/>
      <c r="CV196" s="1606"/>
      <c r="CW196" s="1606"/>
      <c r="CX196" s="1606"/>
      <c r="CY196" s="1606"/>
      <c r="CZ196" s="1606"/>
      <c r="DA196" s="1606"/>
      <c r="DB196" s="1606"/>
      <c r="DC196" s="1606"/>
      <c r="DD196" s="1606"/>
      <c r="DE196" s="1606"/>
      <c r="DF196" s="1606"/>
      <c r="DG196" s="1615"/>
      <c r="DH196" s="1615"/>
      <c r="DI196" s="1616"/>
      <c r="DJ196" s="1615"/>
      <c r="DK196" s="1617"/>
      <c r="DL196" s="1617"/>
    </row>
    <row r="197" ht="26.25" customHeight="1">
      <c r="A197" s="1604"/>
      <c r="B197" s="1604"/>
      <c r="C197" s="1604"/>
      <c r="D197" s="1604"/>
      <c r="E197" s="1604"/>
      <c r="F197" s="1605"/>
      <c r="G197" s="1606"/>
      <c r="H197" s="1607"/>
      <c r="I197" s="1608"/>
      <c r="J197" s="1609"/>
      <c r="K197" s="1606"/>
      <c r="L197" s="1606"/>
      <c r="M197" s="1606"/>
      <c r="N197" s="1606"/>
      <c r="O197" s="1606"/>
      <c r="P197" s="1606"/>
      <c r="Q197" s="1606"/>
      <c r="R197" s="1606"/>
      <c r="S197" s="1606"/>
      <c r="T197" s="1606"/>
      <c r="U197" s="1606"/>
      <c r="V197" s="1606"/>
      <c r="W197" s="1607"/>
      <c r="X197" s="1608"/>
      <c r="Y197" s="1619"/>
      <c r="Z197" s="1606"/>
      <c r="AA197" s="1620"/>
      <c r="AB197" s="1606"/>
      <c r="AC197" s="1620"/>
      <c r="AD197" s="1606"/>
      <c r="AE197" s="1620"/>
      <c r="AF197" s="1606"/>
      <c r="AG197" s="1620"/>
      <c r="AH197" s="1606"/>
      <c r="AI197" s="1620"/>
      <c r="AJ197" s="1606"/>
      <c r="AK197" s="1620"/>
      <c r="AL197" s="1606"/>
      <c r="AM197" s="1612"/>
      <c r="AN197" s="1612"/>
      <c r="AO197" s="1613"/>
      <c r="AP197" s="1612"/>
      <c r="AQ197" s="1606"/>
      <c r="AR197" s="1606"/>
      <c r="AS197" s="1606"/>
      <c r="AT197" s="1606"/>
      <c r="AU197" s="1606"/>
      <c r="AV197" s="1606"/>
      <c r="AW197" s="1606"/>
      <c r="AX197" s="1606"/>
      <c r="AY197" s="1606"/>
      <c r="AZ197" s="1606"/>
      <c r="BA197" s="1606"/>
      <c r="BB197" s="1606"/>
      <c r="BC197" s="1606"/>
      <c r="BD197" s="1606"/>
      <c r="BE197" s="1612"/>
      <c r="BF197" s="1612"/>
      <c r="BG197" s="1613"/>
      <c r="BH197" s="1612"/>
      <c r="BI197" s="1612"/>
      <c r="BJ197" s="1612"/>
      <c r="BK197" s="1614"/>
      <c r="BL197" s="1614"/>
      <c r="BM197" s="1614"/>
      <c r="BN197" s="1614"/>
      <c r="BO197" s="1614"/>
      <c r="BP197" s="1614"/>
      <c r="BQ197" s="1614"/>
      <c r="BR197" s="1614"/>
      <c r="BS197" s="1614"/>
      <c r="BT197" s="1614"/>
      <c r="BU197" s="1614"/>
      <c r="BV197" s="1614"/>
      <c r="BW197" s="1612"/>
      <c r="BX197" s="1612"/>
      <c r="BY197" s="1613"/>
      <c r="BZ197" s="1612"/>
      <c r="CA197" s="1606"/>
      <c r="CB197" s="1606"/>
      <c r="CC197" s="1606"/>
      <c r="CD197" s="1606"/>
      <c r="CE197" s="1606"/>
      <c r="CF197" s="1606"/>
      <c r="CG197" s="1606"/>
      <c r="CH197" s="1606"/>
      <c r="CI197" s="1606"/>
      <c r="CJ197" s="1606"/>
      <c r="CK197" s="1606"/>
      <c r="CL197" s="1606"/>
      <c r="CM197" s="1606"/>
      <c r="CN197" s="1606"/>
      <c r="CO197" s="1615"/>
      <c r="CP197" s="1615"/>
      <c r="CQ197" s="1616"/>
      <c r="CR197" s="1615"/>
      <c r="CS197" s="1606"/>
      <c r="CT197" s="1606"/>
      <c r="CU197" s="1606"/>
      <c r="CV197" s="1606"/>
      <c r="CW197" s="1606"/>
      <c r="CX197" s="1606"/>
      <c r="CY197" s="1606"/>
      <c r="CZ197" s="1606"/>
      <c r="DA197" s="1606"/>
      <c r="DB197" s="1606"/>
      <c r="DC197" s="1606"/>
      <c r="DD197" s="1606"/>
      <c r="DE197" s="1606"/>
      <c r="DF197" s="1606"/>
      <c r="DG197" s="1615"/>
      <c r="DH197" s="1615"/>
      <c r="DI197" s="1616"/>
      <c r="DJ197" s="1615"/>
      <c r="DK197" s="1617"/>
      <c r="DL197" s="1617"/>
    </row>
    <row r="198" ht="26.25" customHeight="1">
      <c r="A198" s="1604"/>
      <c r="B198" s="1604"/>
      <c r="C198" s="1604"/>
      <c r="D198" s="1604"/>
      <c r="E198" s="1604"/>
      <c r="F198" s="1605"/>
      <c r="G198" s="1606"/>
      <c r="H198" s="1607"/>
      <c r="I198" s="1608"/>
      <c r="J198" s="1609"/>
      <c r="K198" s="1606"/>
      <c r="L198" s="1606"/>
      <c r="M198" s="1606"/>
      <c r="N198" s="1606"/>
      <c r="O198" s="1606"/>
      <c r="P198" s="1606"/>
      <c r="Q198" s="1606"/>
      <c r="R198" s="1606"/>
      <c r="S198" s="1606"/>
      <c r="T198" s="1606"/>
      <c r="U198" s="1606"/>
      <c r="V198" s="1606"/>
      <c r="W198" s="1607"/>
      <c r="X198" s="1608"/>
      <c r="Y198" s="1619"/>
      <c r="Z198" s="1606"/>
      <c r="AA198" s="1620"/>
      <c r="AB198" s="1606"/>
      <c r="AC198" s="1620"/>
      <c r="AD198" s="1606"/>
      <c r="AE198" s="1620"/>
      <c r="AF198" s="1606"/>
      <c r="AG198" s="1620"/>
      <c r="AH198" s="1606"/>
      <c r="AI198" s="1620"/>
      <c r="AJ198" s="1606"/>
      <c r="AK198" s="1620"/>
      <c r="AL198" s="1606"/>
      <c r="AM198" s="1612"/>
      <c r="AN198" s="1612"/>
      <c r="AO198" s="1613"/>
      <c r="AP198" s="1612"/>
      <c r="AQ198" s="1606"/>
      <c r="AR198" s="1606"/>
      <c r="AS198" s="1606"/>
      <c r="AT198" s="1606"/>
      <c r="AU198" s="1606"/>
      <c r="AV198" s="1606"/>
      <c r="AW198" s="1606"/>
      <c r="AX198" s="1606"/>
      <c r="AY198" s="1606"/>
      <c r="AZ198" s="1606"/>
      <c r="BA198" s="1606"/>
      <c r="BB198" s="1606"/>
      <c r="BC198" s="1606"/>
      <c r="BD198" s="1606"/>
      <c r="BE198" s="1612"/>
      <c r="BF198" s="1612"/>
      <c r="BG198" s="1613"/>
      <c r="BH198" s="1612"/>
      <c r="BI198" s="1612"/>
      <c r="BJ198" s="1612"/>
      <c r="BK198" s="1614"/>
      <c r="BL198" s="1614"/>
      <c r="BM198" s="1614"/>
      <c r="BN198" s="1614"/>
      <c r="BO198" s="1614"/>
      <c r="BP198" s="1614"/>
      <c r="BQ198" s="1614"/>
      <c r="BR198" s="1614"/>
      <c r="BS198" s="1614"/>
      <c r="BT198" s="1614"/>
      <c r="BU198" s="1614"/>
      <c r="BV198" s="1614"/>
      <c r="BW198" s="1612"/>
      <c r="BX198" s="1612"/>
      <c r="BY198" s="1613"/>
      <c r="BZ198" s="1612"/>
      <c r="CA198" s="1606"/>
      <c r="CB198" s="1606"/>
      <c r="CC198" s="1606"/>
      <c r="CD198" s="1606"/>
      <c r="CE198" s="1606"/>
      <c r="CF198" s="1606"/>
      <c r="CG198" s="1606"/>
      <c r="CH198" s="1606"/>
      <c r="CI198" s="1606"/>
      <c r="CJ198" s="1606"/>
      <c r="CK198" s="1606"/>
      <c r="CL198" s="1606"/>
      <c r="CM198" s="1606"/>
      <c r="CN198" s="1606"/>
      <c r="CO198" s="1615"/>
      <c r="CP198" s="1615"/>
      <c r="CQ198" s="1616"/>
      <c r="CR198" s="1615"/>
      <c r="CS198" s="1606"/>
      <c r="CT198" s="1606"/>
      <c r="CU198" s="1606"/>
      <c r="CV198" s="1606"/>
      <c r="CW198" s="1606"/>
      <c r="CX198" s="1606"/>
      <c r="CY198" s="1606"/>
      <c r="CZ198" s="1606"/>
      <c r="DA198" s="1606"/>
      <c r="DB198" s="1606"/>
      <c r="DC198" s="1606"/>
      <c r="DD198" s="1606"/>
      <c r="DE198" s="1606"/>
      <c r="DF198" s="1606"/>
      <c r="DG198" s="1615"/>
      <c r="DH198" s="1615"/>
      <c r="DI198" s="1616"/>
      <c r="DJ198" s="1615"/>
      <c r="DK198" s="1617"/>
      <c r="DL198" s="1617"/>
    </row>
  </sheetData>
  <mergeCells count="397">
    <mergeCell ref="BJ4:BJ6"/>
    <mergeCell ref="BK4:BK6"/>
    <mergeCell ref="BL4:BL6"/>
    <mergeCell ref="BM4:BM6"/>
    <mergeCell ref="BN4:BN6"/>
    <mergeCell ref="BO4:BO6"/>
    <mergeCell ref="BP4:BP6"/>
    <mergeCell ref="BQ4:BQ6"/>
    <mergeCell ref="BR4:BR6"/>
    <mergeCell ref="BS4:BS6"/>
    <mergeCell ref="BT4:BT6"/>
    <mergeCell ref="BU4:BU6"/>
    <mergeCell ref="BV4:BV6"/>
    <mergeCell ref="BW4:BX6"/>
    <mergeCell ref="BW7:BX7"/>
    <mergeCell ref="BY4:BZ6"/>
    <mergeCell ref="CA4:CA6"/>
    <mergeCell ref="CB4:CB6"/>
    <mergeCell ref="CC4:CC6"/>
    <mergeCell ref="CD4:CD6"/>
    <mergeCell ref="CE4:CE6"/>
    <mergeCell ref="CF4:CF6"/>
    <mergeCell ref="BY7:BZ7"/>
    <mergeCell ref="CG4:CG6"/>
    <mergeCell ref="CH4:CH6"/>
    <mergeCell ref="CI4:CI6"/>
    <mergeCell ref="CJ4:CJ6"/>
    <mergeCell ref="CK4:CK6"/>
    <mergeCell ref="CL4:CL6"/>
    <mergeCell ref="CM4:CM6"/>
    <mergeCell ref="DD4:DD6"/>
    <mergeCell ref="DE4:DE6"/>
    <mergeCell ref="DF4:DF6"/>
    <mergeCell ref="DG4:DH6"/>
    <mergeCell ref="DI4:DJ6"/>
    <mergeCell ref="DG7:DH7"/>
    <mergeCell ref="DI7:DJ7"/>
    <mergeCell ref="CW4:CW6"/>
    <mergeCell ref="CX4:CX6"/>
    <mergeCell ref="CY4:CY6"/>
    <mergeCell ref="CZ4:CZ6"/>
    <mergeCell ref="DA4:DA6"/>
    <mergeCell ref="DB4:DB6"/>
    <mergeCell ref="DC4:DC6"/>
    <mergeCell ref="CO7:CP7"/>
    <mergeCell ref="CQ7:CR7"/>
    <mergeCell ref="CN4:CN6"/>
    <mergeCell ref="CO4:CP6"/>
    <mergeCell ref="CQ4:CR6"/>
    <mergeCell ref="CS4:CS6"/>
    <mergeCell ref="CT4:CT6"/>
    <mergeCell ref="CU4:CU6"/>
    <mergeCell ref="CV4:CV6"/>
    <mergeCell ref="AT4:AT6"/>
    <mergeCell ref="AU4:AU6"/>
    <mergeCell ref="AV4:AV6"/>
    <mergeCell ref="AW4:AW6"/>
    <mergeCell ref="AX4:AX6"/>
    <mergeCell ref="AY4:AY6"/>
    <mergeCell ref="AZ4:AZ6"/>
    <mergeCell ref="AK4:AK6"/>
    <mergeCell ref="AL4:AL6"/>
    <mergeCell ref="AM4:AN6"/>
    <mergeCell ref="AO4:AP6"/>
    <mergeCell ref="AQ4:AQ6"/>
    <mergeCell ref="AR4:AR6"/>
    <mergeCell ref="AS4:AS6"/>
    <mergeCell ref="N4:N6"/>
    <mergeCell ref="O4:O6"/>
    <mergeCell ref="P4:P6"/>
    <mergeCell ref="Q4:Q6"/>
    <mergeCell ref="R4:R6"/>
    <mergeCell ref="S4:S6"/>
    <mergeCell ref="T4:T6"/>
    <mergeCell ref="AD4:AD6"/>
    <mergeCell ref="AE4:AE6"/>
    <mergeCell ref="AF4:AF6"/>
    <mergeCell ref="AG4:AG6"/>
    <mergeCell ref="AH4:AH6"/>
    <mergeCell ref="AI4:AI6"/>
    <mergeCell ref="AJ4:AJ6"/>
    <mergeCell ref="U7:V7"/>
    <mergeCell ref="W7:X7"/>
    <mergeCell ref="U4:V6"/>
    <mergeCell ref="W4:X6"/>
    <mergeCell ref="Y4:Y6"/>
    <mergeCell ref="Z4:Z6"/>
    <mergeCell ref="AA4:AA6"/>
    <mergeCell ref="AB4:AB6"/>
    <mergeCell ref="AC4:AC6"/>
    <mergeCell ref="AM7:AN7"/>
    <mergeCell ref="AO7:AP7"/>
    <mergeCell ref="BE7:BF7"/>
    <mergeCell ref="BG7:BH7"/>
    <mergeCell ref="BA4:BA6"/>
    <mergeCell ref="BB4:BB6"/>
    <mergeCell ref="BC4:BC6"/>
    <mergeCell ref="BD4:BD6"/>
    <mergeCell ref="BE4:BF6"/>
    <mergeCell ref="BG4:BH6"/>
    <mergeCell ref="BI4:BI6"/>
    <mergeCell ref="L4:L6"/>
    <mergeCell ref="K8:L9"/>
    <mergeCell ref="M8:N9"/>
    <mergeCell ref="O8:P9"/>
    <mergeCell ref="Q8:R9"/>
    <mergeCell ref="S8:T9"/>
    <mergeCell ref="U8:X9"/>
    <mergeCell ref="A2:B2"/>
    <mergeCell ref="D2:I2"/>
    <mergeCell ref="B4:E4"/>
    <mergeCell ref="G4:H4"/>
    <mergeCell ref="K4:K6"/>
    <mergeCell ref="M4:M6"/>
    <mergeCell ref="G6:H7"/>
    <mergeCell ref="BE10:BH10"/>
    <mergeCell ref="BI10:BJ10"/>
    <mergeCell ref="AQ10:AR10"/>
    <mergeCell ref="AS10:AT10"/>
    <mergeCell ref="AU10:AV10"/>
    <mergeCell ref="AW10:AX10"/>
    <mergeCell ref="AY10:AZ10"/>
    <mergeCell ref="BA10:BB10"/>
    <mergeCell ref="BC10:BD10"/>
    <mergeCell ref="CA10:CB10"/>
    <mergeCell ref="CC10:CD10"/>
    <mergeCell ref="BK10:BL10"/>
    <mergeCell ref="BM10:BN10"/>
    <mergeCell ref="BO10:BP10"/>
    <mergeCell ref="BQ10:BR10"/>
    <mergeCell ref="BS10:BT10"/>
    <mergeCell ref="BU10:BV10"/>
    <mergeCell ref="BW10:BZ10"/>
    <mergeCell ref="CU10:CV10"/>
    <mergeCell ref="CW10:CX10"/>
    <mergeCell ref="CE10:CF10"/>
    <mergeCell ref="CG10:CH10"/>
    <mergeCell ref="CI10:CJ10"/>
    <mergeCell ref="CK10:CL10"/>
    <mergeCell ref="CM10:CN10"/>
    <mergeCell ref="CO10:CR10"/>
    <mergeCell ref="CS10:CT10"/>
    <mergeCell ref="B97:E97"/>
    <mergeCell ref="B98:E98"/>
    <mergeCell ref="B76:E76"/>
    <mergeCell ref="B77:E77"/>
    <mergeCell ref="A78:A98"/>
    <mergeCell ref="B78:E78"/>
    <mergeCell ref="J78:J98"/>
    <mergeCell ref="B79:E79"/>
    <mergeCell ref="B80:E80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95:E95"/>
    <mergeCell ref="B96:E96"/>
    <mergeCell ref="A99:A115"/>
    <mergeCell ref="B99:E99"/>
    <mergeCell ref="J99:J115"/>
    <mergeCell ref="B100:E100"/>
    <mergeCell ref="B101:E101"/>
    <mergeCell ref="B120:E120"/>
    <mergeCell ref="B121:E121"/>
    <mergeCell ref="CQ152:CR152"/>
    <mergeCell ref="DI152:DJ152"/>
    <mergeCell ref="CQ153:CR153"/>
    <mergeCell ref="DI153:DJ153"/>
    <mergeCell ref="AO152:AP152"/>
    <mergeCell ref="AO153:AP153"/>
    <mergeCell ref="BY152:BZ152"/>
    <mergeCell ref="BY153:BZ153"/>
    <mergeCell ref="B150:E150"/>
    <mergeCell ref="B151:E151"/>
    <mergeCell ref="H152:I152"/>
    <mergeCell ref="W152:X152"/>
    <mergeCell ref="BG152:BH152"/>
    <mergeCell ref="W153:X153"/>
    <mergeCell ref="BG153:BH153"/>
    <mergeCell ref="H153:I153"/>
    <mergeCell ref="H154:I154"/>
    <mergeCell ref="B143:E143"/>
    <mergeCell ref="B144:E144"/>
    <mergeCell ref="B145:E145"/>
    <mergeCell ref="B146:E146"/>
    <mergeCell ref="B147:E147"/>
    <mergeCell ref="B148:E148"/>
    <mergeCell ref="B149:E149"/>
    <mergeCell ref="B122:E122"/>
    <mergeCell ref="B123:E123"/>
    <mergeCell ref="B124:E124"/>
    <mergeCell ref="B125:E125"/>
    <mergeCell ref="B126:E126"/>
    <mergeCell ref="B127:E127"/>
    <mergeCell ref="A116:A128"/>
    <mergeCell ref="A129:A143"/>
    <mergeCell ref="A144:A154"/>
    <mergeCell ref="B114:E114"/>
    <mergeCell ref="B115:E115"/>
    <mergeCell ref="B116:E116"/>
    <mergeCell ref="B117:E117"/>
    <mergeCell ref="B118:E118"/>
    <mergeCell ref="B119:E119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52:E152"/>
    <mergeCell ref="B153:E153"/>
    <mergeCell ref="B154:E154"/>
    <mergeCell ref="B136:E136"/>
    <mergeCell ref="B137:E137"/>
    <mergeCell ref="B138:E138"/>
    <mergeCell ref="B139:E139"/>
    <mergeCell ref="B140:E140"/>
    <mergeCell ref="B141:E141"/>
    <mergeCell ref="B142:E142"/>
    <mergeCell ref="AK10:AL10"/>
    <mergeCell ref="AM10:AP10"/>
    <mergeCell ref="AO11:AP11"/>
    <mergeCell ref="BG11:BH11"/>
    <mergeCell ref="BY11:BZ11"/>
    <mergeCell ref="CQ11:CR11"/>
    <mergeCell ref="DI11:DJ11"/>
    <mergeCell ref="AO13:AP13"/>
    <mergeCell ref="BG13:BH13"/>
    <mergeCell ref="DI13:DJ13"/>
    <mergeCell ref="U10:X10"/>
    <mergeCell ref="Y10:Z10"/>
    <mergeCell ref="AA10:AB10"/>
    <mergeCell ref="AC10:AD10"/>
    <mergeCell ref="AE10:AF10"/>
    <mergeCell ref="AG10:AH10"/>
    <mergeCell ref="AI10:AJ10"/>
    <mergeCell ref="Y8:Z9"/>
    <mergeCell ref="AA8:AB9"/>
    <mergeCell ref="AC8:AD9"/>
    <mergeCell ref="AE8:AF9"/>
    <mergeCell ref="AG8:AH9"/>
    <mergeCell ref="AI8:AJ9"/>
    <mergeCell ref="AK8:AL9"/>
    <mergeCell ref="CI8:CJ9"/>
    <mergeCell ref="CK8:CL9"/>
    <mergeCell ref="CM8:CN9"/>
    <mergeCell ref="CO8:CR9"/>
    <mergeCell ref="CS8:CT9"/>
    <mergeCell ref="CU8:CV9"/>
    <mergeCell ref="CW8:CX9"/>
    <mergeCell ref="AM8:AP9"/>
    <mergeCell ref="AQ8:AR9"/>
    <mergeCell ref="AS8:AT9"/>
    <mergeCell ref="AU8:AV9"/>
    <mergeCell ref="AW8:AX9"/>
    <mergeCell ref="AY8:AZ9"/>
    <mergeCell ref="BA8:BB9"/>
    <mergeCell ref="BC8:BD9"/>
    <mergeCell ref="BE8:BH9"/>
    <mergeCell ref="BI8:BJ9"/>
    <mergeCell ref="BK8:BL9"/>
    <mergeCell ref="BM8:BN9"/>
    <mergeCell ref="BO8:BP9"/>
    <mergeCell ref="BQ8:BR9"/>
    <mergeCell ref="BS8:BT9"/>
    <mergeCell ref="BU8:BV9"/>
    <mergeCell ref="BW8:BZ9"/>
    <mergeCell ref="CA8:CB9"/>
    <mergeCell ref="CC8:CD9"/>
    <mergeCell ref="CE8:CF9"/>
    <mergeCell ref="CG8:CH9"/>
    <mergeCell ref="DC10:DD10"/>
    <mergeCell ref="DE10:DF10"/>
    <mergeCell ref="CY8:CZ9"/>
    <mergeCell ref="DA8:DB9"/>
    <mergeCell ref="DC8:DD9"/>
    <mergeCell ref="DE8:DF9"/>
    <mergeCell ref="DG8:DJ9"/>
    <mergeCell ref="CY10:CZ10"/>
    <mergeCell ref="DA10:DB10"/>
    <mergeCell ref="DG10:DJ10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CQ36:CR36"/>
    <mergeCell ref="DI36:DJ36"/>
    <mergeCell ref="B36:E36"/>
    <mergeCell ref="B37:E37"/>
    <mergeCell ref="B38:E38"/>
    <mergeCell ref="B39:E39"/>
    <mergeCell ref="AO40:AP40"/>
    <mergeCell ref="BG40:BH40"/>
    <mergeCell ref="BY40:BZ40"/>
    <mergeCell ref="CQ40:CR40"/>
    <mergeCell ref="DI40:DJ40"/>
    <mergeCell ref="B20:E20"/>
    <mergeCell ref="B21:E21"/>
    <mergeCell ref="A23:A39"/>
    <mergeCell ref="B23:E23"/>
    <mergeCell ref="J23:J39"/>
    <mergeCell ref="B24:E24"/>
    <mergeCell ref="B25:E25"/>
    <mergeCell ref="S10:T10"/>
    <mergeCell ref="W11:X11"/>
    <mergeCell ref="W13:X13"/>
    <mergeCell ref="W40:X40"/>
    <mergeCell ref="A10:E11"/>
    <mergeCell ref="B12:E12"/>
    <mergeCell ref="H11:I11"/>
    <mergeCell ref="B13:E13"/>
    <mergeCell ref="H13:I13"/>
    <mergeCell ref="B14:E14"/>
    <mergeCell ref="B15:E15"/>
    <mergeCell ref="B16:E16"/>
    <mergeCell ref="B17:E17"/>
    <mergeCell ref="F10:I10"/>
    <mergeCell ref="K10:L10"/>
    <mergeCell ref="M10:N10"/>
    <mergeCell ref="O10:P10"/>
    <mergeCell ref="Q10:R10"/>
    <mergeCell ref="A12:A22"/>
    <mergeCell ref="J12:J21"/>
    <mergeCell ref="B22:E22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60:E60"/>
    <mergeCell ref="B61:E61"/>
    <mergeCell ref="B62:E62"/>
    <mergeCell ref="B63:E63"/>
    <mergeCell ref="B18:E18"/>
    <mergeCell ref="B19:E19"/>
    <mergeCell ref="A40:A56"/>
    <mergeCell ref="B40:E40"/>
    <mergeCell ref="H40:I40"/>
    <mergeCell ref="J40:J56"/>
    <mergeCell ref="B41:E41"/>
    <mergeCell ref="B56:E56"/>
    <mergeCell ref="B54:E54"/>
    <mergeCell ref="B55:E55"/>
    <mergeCell ref="A57:A77"/>
    <mergeCell ref="B57:E57"/>
    <mergeCell ref="J57:J77"/>
    <mergeCell ref="B58:E58"/>
    <mergeCell ref="B59:E59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81:E81"/>
    <mergeCell ref="B82:E82"/>
  </mergeCells>
  <conditionalFormatting sqref="A12:A154">
    <cfRule type="cellIs" dxfId="3" priority="1" operator="equal">
      <formula>"Введите название направления"</formula>
    </cfRule>
  </conditionalFormatting>
  <conditionalFormatting sqref="K7:DL7 H12:H13 J12:J154 W12:X143 AO12:AP145 BG12:BH154 BY12:BZ154 CJ12 CL12 CN12 CP12 CQ12:CR154 CS12:CS13 CT12:CT16 CU12:CU13 CV12:CV16 CW12:DF151 DG12:DH39 DI12:DL154 I13 CO13 H18:H133 I23:I143 AX23:AX35 AZ23:AZ35 BB23:BB35 BD23:BD35 BJ23:BJ39 BL23:BL39 BN23:BN39 BP23:BP53 BR23:BR53 CT23:CT39 CV23:CV151 M36:N39 P36:P39 R36:R39 T36:T39 Y36:Y39 AA36:AA39 AC36:AC39 AE36:AE39 AG36:AG39 AI36:AI39 AK36:AK39 AQ36:AQ39 AS36:AS39 AU36:AU39 AW36:AW39 AY36:AY39 BA36:BA39 BC36:BC39 BI36:BI39 BK36:BK39 BM36:BM39 BO36:BO39 BQ36:BQ39 BS36:BS39 BU36:BU39 CA36:CA39 CC36:CC39 CE36:CE39 CG36:CG39 CI36:CI39 CK36:CK39 CM36:CM39 CO36:CO37 CS36:CS148 CU36:CU148 K37:L39 O37 Q37 S37 U37 Z37:Z39 AB37:AB39 AD37:AD39 AF37:AF39 AH37:AH39 AJ37:AJ39 AL37:AL39 AM37 AR37:AR39 AT37:AT39 AV37:AV39 AX37:AX39 AZ37:AZ39 BB37:BB39 BD37:BD39 BT37:BT53 BV37:BV53 CB37:CB53 CD37:CD53 CF37:CF53 CH37:CH53 CJ37:CJ53 CL37:CL53 CN37:CN53 K41:N53 O41:O56 P41:P53 Q41:Q56 R41:R53 S41:S56 T41:T53 Y41:Y54 Z41:Z53 AA41:AA54 AB41:AB53 AC41:AC54 AD41:AD53 AE41:AE54 AF41:AF53 AG41:AG54 AH41:AH53 AI41:AI54 AJ41:AJ53 AK41:AK54 AL41:AL53 AQ41:AQ54 AR41:AR53 AS41:AS54 AT41:AT53 AU41:AU57 AV41:AV53 AW41:AW57 AX41:AX53 AY41:AY57 AZ41:AZ53 BA41:BA57 BB41:BB53 BC41:BC57 BD41:BD53 BI41:BI57 BJ41:BJ53 BK41:BK57 BL41:BL42 BM41:BM57 BN41:BN53 BO41:BO57 BQ41:BQ57 BS41:BS57 BU41:BU57 CA41:CA57 CC41:CC57 CE41:CE57 CG41:CG57 CI41:CI57 CK41:CK57 CM41:CM57 CT41:CT151 DG41:DH151 AM45:AM53 AN45 BL45:BL53 U48 BE48:BE51 BW48 CO48 CO54 AU76:AU77 AW76:AW77 AY76:AY77 BA76:BA77 BC76:BC77 BI76:BI77 BK76:BK77 BM76:BM77 BO76:BO77 BQ76:BQ77 BS76:BS77 BU76:BU77 CA76:CA77 CC76:CC77 CE76:CE77 CG76:CG77 CI76:CI77 CK76:CK77 CM76:CM77 AU97:AU128 AW97:AW128 AY97:AY128 BA97:BA128 BC97:BC128 BI97:BI128 BK97:BK128 BM97:BM128 BO97:BO128 BQ97:BQ128 BS97:BS128 BU97:BU128 CA97:CA128 CC97:CC128 CE97:CE128 CG97:CG128 CI97:CI128 CK97:CK128 CM97:CM128 AU130:AU143 AV130 AW130:AW143 AY130:AY143 BA130:BA143 BC130:BC143 BI130:BI143 BK130:BK143 BM130:BM143 BO130:BO143 BQ130:BQ143 BS130:BS143 BU130:BU143 CA130:CA143 CB130 CC130:CC143 CD130 CE130:CE143 CF130 CG130:CG143 CH130 CI130:CI143 CJ130 CK130:CK143 CL130 CM130:CM143 CN130 H135:H143 H146:H154 I147:I154 W147:AA147 AC147:AE147 AF147:AF148 AG147 AH147:AH148 AI147:AI151 AJ147:AJ148 AK147:AK151 AL147:AL148 AO147:AP154 AQ147:AS148 AT147 AU147:AW148 AX147:AX149 AY147:AZ148 BA147:BA151 BB147:BB148 BC147:BC151 BD147:BD148 BI147:BI148 BK147:BK148 BM147:BM148 BO147:BO148 BQ147:BQ148 BS147:BS151 BU147:BU151 CA147:CA148 CC147:CC148 CE147:CE148 CG147:CG148 CI147:CI148 CK147:CK151 CM147:CM151 AD150:AD151 AF150:AF151 AH150:AH151 AJ150:AJ151 AL150:AL151 AR150 AT150:AT151 AV150:AV151 AZ150:AZ151 BB150:BB151 BD150:BD151 AX151 CS151 CU151 W152:X153 CK153 CM153 CS153:DH154 BJ154 BL154 BN154 BP154 BR154 BT154 BV154">
    <cfRule type="cellIs" dxfId="4" priority="2" operator="equal">
      <formula>"В плане"</formula>
    </cfRule>
  </conditionalFormatting>
  <conditionalFormatting sqref="K7:DL7 H12:H13 J12:J154 W12:X143 AO12:AP145 BG12:BH154 BY12:BZ154 CJ12 CL12 CN12 CP12 CQ12:CR154 CS12:CS13 CT12:CT16 CU12:CU13 CV12:CV16 CW12:DF151 DG12:DH39 DI12:DL154 I13 CO13 H18:H133 I23:I143 AX23:AX35 AZ23:AZ35 BB23:BB35 BD23:BD35 BJ23:BJ39 BL23:BL39 BN23:BN39 BP23:BP53 BR23:BR53 CT23:CT39 CV23:CV151 M36:N39 P36:P39 R36:R39 T36:T39 Y36:Y39 AA36:AA39 AC36:AC39 AE36:AE39 AG36:AG39 AI36:AI39 AK36:AK39 AQ36:AQ39 AS36:AS39 AU36:AU39 AW36:AW39 AY36:AY39 BA36:BA39 BC36:BC39 BI36:BI39 BK36:BK39 BM36:BM39 BO36:BO39 BQ36:BQ39 BS36:BS39 BU36:BU39 CA36:CA39 CC36:CC39 CE36:CE39 CG36:CG39 CI36:CI39 CK36:CK39 CM36:CM39 CO36:CO37 CS36:CS148 CU36:CU148 K37:L39 O37 Q37 S37 U37 Z37:Z39 AB37:AB39 AD37:AD39 AF37:AF39 AH37:AH39 AJ37:AJ39 AL37:AL39 AM37 AR37:AR39 AT37:AT39 AV37:AV39 AX37:AX39 AZ37:AZ39 BB37:BB39 BD37:BD39 BT37:BT53 BV37:BV53 CB37:CB53 CD37:CD53 CF37:CF53 CH37:CH53 CJ37:CJ53 CL37:CL53 CN37:CN53 K41:N53 O41:O56 P41:P53 Q41:Q56 R41:R53 S41:S56 T41:T53 Y41:Y54 Z41:Z53 AA41:AA54 AB41:AB53 AC41:AC54 AD41:AD53 AE41:AE54 AF41:AF53 AG41:AG54 AH41:AH53 AI41:AI54 AJ41:AJ53 AK41:AK54 AL41:AL53 AQ41:AQ54 AR41:AR53 AS41:AS54 AT41:AT53 AU41:AU57 AV41:AV53 AW41:AW57 AX41:AX53 AY41:AY57 AZ41:AZ53 BA41:BA57 BB41:BB53 BC41:BC57 BD41:BD53 BI41:BI57 BJ41:BJ53 BK41:BK57 BL41:BL42 BM41:BM57 BN41:BN53 BO41:BO57 BQ41:BQ57 BS41:BS57 BU41:BU57 CA41:CA57 CC41:CC57 CE41:CE57 CG41:CG57 CI41:CI57 CK41:CK57 CM41:CM57 CT41:CT151 DG41:DH151 AM45:AM53 AN45 BL45:BL53 U48 BE48:BE51 BW48 CO48 CO54 AU76:AU77 AW76:AW77 AY76:AY77 BA76:BA77 BC76:BC77 BI76:BI77 BK76:BK77 BM76:BM77 BO76:BO77 BQ76:BQ77 BS76:BS77 BU76:BU77 CA76:CA77 CC76:CC77 CE76:CE77 CG76:CG77 CI76:CI77 CK76:CK77 CM76:CM77 AU97:AU128 AW97:AW128 AY97:AY128 BA97:BA128 BC97:BC128 BI97:BI128 BK97:BK128 BM97:BM128 BO97:BO128 BQ97:BQ128 BS97:BS128 BU97:BU128 CA97:CA128 CC97:CC128 CE97:CE128 CG97:CG128 CI97:CI128 CK97:CK128 CM97:CM128 AU130:AU143 AV130 AW130:AW143 AY130:AY143 BA130:BA143 BC130:BC143 BI130:BI143 BK130:BK143 BM130:BM143 BO130:BO143 BQ130:BQ143 BS130:BS143 BU130:BU143 CA130:CA143 CB130 CC130:CC143 CD130 CE130:CE143 CF130 CG130:CG143 CH130 CI130:CI143 CJ130 CK130:CK143 CL130 CM130:CM143 CN130 H135:H143 H146:H154 I147:I154 W147:AA147 AC147:AE147 AF147:AF148 AG147 AH147:AH148 AI147:AI151 AJ147:AJ148 AK147:AK151 AL147:AL148 AO147:AP154 AQ147:AS148 AT147 AU147:AW148 AX147:AX149 AY147:AZ148 BA147:BA151 BB147:BB148 BC147:BC151 BD147:BD148 BI147:BI148 BK147:BK148 BM147:BM148 BO147:BO148 BQ147:BQ148 BS147:BS151 BU147:BU151 CA147:CA148 CC147:CC148 CE147:CE148 CG147:CG148 CI147:CI148 CK147:CK151 CM147:CM151 AD150:AD151 AF150:AF151 AH150:AH151 AJ150:AJ151 AL150:AL151 AR150 AT150:AT151 AV150:AV151 AZ150:AZ151 BB150:BB151 BD150:BD151 AX151 CS151 CU151 W152:X153 CK153 CM153 CS153:DH154 BJ154 BL154 BN154 BP154 BR154 BT154 BV154">
    <cfRule type="cellIs" dxfId="5" priority="3" operator="equal">
      <formula>"Не в плане"</formula>
    </cfRule>
  </conditionalFormatting>
  <conditionalFormatting sqref="J12:J154">
    <cfRule type="containsBlanks" dxfId="6" priority="4">
      <formula>LEN(TRIM(J12))=0</formula>
    </cfRule>
  </conditionalFormatting>
  <printOptions gridLines="1" horizontalCentered="1"/>
  <pageMargins bottom="0.75" footer="0.0" header="0.0" left="0.7" right="0.7" top="0.75"/>
  <pageSetup paperSize="9" cellComments="atEnd" orientation="landscape" pageOrder="overThenDown"/>
  <drawing r:id="rId2"/>
  <legacyDrawing r:id="rId3"/>
  <tableParts count="66">
    <tablePart r:id="rId70"/>
    <tablePart r:id="rId71"/>
    <tablePart r:id="rId72"/>
    <tablePart r:id="rId73"/>
    <tablePart r:id="rId74"/>
    <tablePart r:id="rId75"/>
    <tablePart r:id="rId76"/>
    <tablePart r:id="rId77"/>
    <tablePart r:id="rId78"/>
    <tablePart r:id="rId79"/>
    <tablePart r:id="rId80"/>
    <tablePart r:id="rId81"/>
    <tablePart r:id="rId82"/>
    <tablePart r:id="rId83"/>
    <tablePart r:id="rId84"/>
    <tablePart r:id="rId85"/>
    <tablePart r:id="rId86"/>
    <tablePart r:id="rId87"/>
    <tablePart r:id="rId88"/>
    <tablePart r:id="rId89"/>
    <tablePart r:id="rId90"/>
    <tablePart r:id="rId91"/>
    <tablePart r:id="rId92"/>
    <tablePart r:id="rId93"/>
    <tablePart r:id="rId94"/>
    <tablePart r:id="rId95"/>
    <tablePart r:id="rId96"/>
    <tablePart r:id="rId97"/>
    <tablePart r:id="rId98"/>
    <tablePart r:id="rId99"/>
    <tablePart r:id="rId100"/>
    <tablePart r:id="rId101"/>
    <tablePart r:id="rId102"/>
    <tablePart r:id="rId103"/>
    <tablePart r:id="rId104"/>
    <tablePart r:id="rId105"/>
    <tablePart r:id="rId106"/>
    <tablePart r:id="rId107"/>
    <tablePart r:id="rId108"/>
    <tablePart r:id="rId109"/>
    <tablePart r:id="rId110"/>
    <tablePart r:id="rId111"/>
    <tablePart r:id="rId112"/>
    <tablePart r:id="rId113"/>
    <tablePart r:id="rId114"/>
    <tablePart r:id="rId115"/>
    <tablePart r:id="rId116"/>
    <tablePart r:id="rId117"/>
    <tablePart r:id="rId118"/>
    <tablePart r:id="rId119"/>
    <tablePart r:id="rId120"/>
    <tablePart r:id="rId121"/>
    <tablePart r:id="rId122"/>
    <tablePart r:id="rId123"/>
    <tablePart r:id="rId124"/>
    <tablePart r:id="rId125"/>
    <tablePart r:id="rId126"/>
    <tablePart r:id="rId127"/>
    <tablePart r:id="rId128"/>
    <tablePart r:id="rId129"/>
    <tablePart r:id="rId130"/>
    <tablePart r:id="rId131"/>
    <tablePart r:id="rId132"/>
    <tablePart r:id="rId133"/>
    <tablePart r:id="rId134"/>
    <tablePart r:id="rId135"/>
  </tableParts>
</worksheet>
</file>